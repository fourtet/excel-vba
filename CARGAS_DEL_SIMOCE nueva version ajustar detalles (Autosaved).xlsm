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ahiddehara/Documents/clientes/excel-vba/"/>
    </mc:Choice>
  </mc:AlternateContent>
  <bookViews>
    <workbookView xWindow="0" yWindow="460" windowWidth="25600" windowHeight="15460" tabRatio="921" activeTab="5"/>
  </bookViews>
  <sheets>
    <sheet name="config" sheetId="91" r:id="rId1"/>
    <sheet name="CONSULTA" sheetId="848" r:id="rId2"/>
    <sheet name="SUB" sheetId="589" r:id="rId3"/>
    <sheet name="FECHA" sheetId="588" r:id="rId4"/>
    <sheet name="Hoja8" sheetId="14" state="hidden" r:id="rId5"/>
    <sheet name="SOLOA1" sheetId="9" r:id="rId6"/>
    <sheet name="PROM EST 1" sheetId="587" r:id="rId7"/>
    <sheet name="GRA1" sheetId="842" r:id="rId8"/>
    <sheet name="ESTACIÓN 1" sheetId="77" r:id="rId9"/>
    <sheet name="SOLOA2" sheetId="10" r:id="rId10"/>
    <sheet name="PROM EST 2" sheetId="586" r:id="rId11"/>
    <sheet name="GRA2" sheetId="843" r:id="rId12"/>
    <sheet name="ESTACIÓN 2" sheetId="78" r:id="rId13"/>
    <sheet name="SOLOA3" sheetId="11" r:id="rId14"/>
    <sheet name="PROM EST 3" sheetId="585" r:id="rId15"/>
    <sheet name="GRA3" sheetId="846" r:id="rId16"/>
    <sheet name="ESTACIÓN 3" sheetId="79" r:id="rId17"/>
    <sheet name="SOLOA4" sheetId="12" r:id="rId18"/>
    <sheet name="PROM EST 4" sheetId="584" r:id="rId19"/>
    <sheet name="GRA4" sheetId="847" r:id="rId20"/>
    <sheet name="ESTACIÓN 4" sheetId="80" r:id="rId21"/>
    <sheet name="Total_se_por_gerencia" sheetId="75" r:id="rId22"/>
    <sheet name="Hoja1" sheetId="81" r:id="rId23"/>
    <sheet name="LISTA_DO" sheetId="145" r:id="rId24"/>
  </sheets>
  <definedNames>
    <definedName name="_xlnm._FilterDatabase" localSheetId="22" hidden="1">Hoja1!$L$1:$M$1073</definedName>
    <definedName name="_xlnm._FilterDatabase" localSheetId="4" hidden="1">Hoja8!$K$1:$K$1125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6" i="588" l="1"/>
  <c r="S25" i="588"/>
  <c r="S24" i="588"/>
  <c r="S23" i="588"/>
  <c r="S22" i="588"/>
  <c r="S21" i="588"/>
  <c r="S20" i="588"/>
  <c r="S19" i="588"/>
  <c r="S18" i="588"/>
  <c r="S17" i="588"/>
  <c r="S16" i="588"/>
  <c r="S15" i="588"/>
  <c r="S14" i="588"/>
  <c r="S13" i="588"/>
  <c r="S12" i="588"/>
  <c r="S11" i="588"/>
  <c r="S10" i="588"/>
  <c r="S9" i="588"/>
  <c r="S8" i="588"/>
  <c r="S7" i="588"/>
  <c r="S6" i="588"/>
  <c r="S5" i="588"/>
  <c r="S4" i="588"/>
  <c r="S3" i="588"/>
  <c r="N26" i="588"/>
  <c r="N25" i="588"/>
  <c r="N24" i="588"/>
  <c r="N23" i="588"/>
  <c r="N22" i="588"/>
  <c r="N21" i="588"/>
  <c r="N20" i="588"/>
  <c r="N19" i="588"/>
  <c r="N18" i="588"/>
  <c r="N17" i="588"/>
  <c r="N16" i="588"/>
  <c r="N15" i="588"/>
  <c r="N14" i="588"/>
  <c r="N13" i="588"/>
  <c r="N12" i="588"/>
  <c r="N11" i="588"/>
  <c r="N10" i="588"/>
  <c r="N9" i="588"/>
  <c r="N8" i="588"/>
  <c r="N7" i="588"/>
  <c r="N6" i="588"/>
  <c r="N5" i="588"/>
  <c r="N4" i="588"/>
  <c r="N3" i="588"/>
  <c r="I26" i="588"/>
  <c r="I25" i="588"/>
  <c r="I24" i="588"/>
  <c r="I23" i="588"/>
  <c r="I22" i="588"/>
  <c r="I21" i="588"/>
  <c r="I20" i="588"/>
  <c r="I19" i="588"/>
  <c r="I18" i="588"/>
  <c r="I17" i="588"/>
  <c r="I16" i="588"/>
  <c r="I15" i="588"/>
  <c r="I14" i="588"/>
  <c r="I13" i="588"/>
  <c r="I12" i="588"/>
  <c r="I11" i="588"/>
  <c r="I10" i="588"/>
  <c r="I9" i="588"/>
  <c r="I8" i="588"/>
  <c r="I7" i="588"/>
  <c r="I6" i="588"/>
  <c r="I5" i="588"/>
  <c r="I4" i="588"/>
  <c r="I3" i="588"/>
  <c r="D26" i="588"/>
  <c r="D25" i="588"/>
  <c r="D24" i="588"/>
  <c r="D23" i="588"/>
  <c r="D22" i="588"/>
  <c r="D21" i="588"/>
  <c r="D20" i="588"/>
  <c r="D18" i="588"/>
  <c r="D17" i="588"/>
  <c r="D16" i="588"/>
  <c r="D15" i="588"/>
  <c r="D14" i="588"/>
  <c r="D13" i="588"/>
  <c r="D12" i="588"/>
  <c r="D11" i="588"/>
  <c r="D10" i="588"/>
  <c r="D9" i="588"/>
  <c r="D7" i="588"/>
  <c r="D6" i="588"/>
  <c r="D5" i="588"/>
  <c r="D4" i="588"/>
  <c r="D3" i="588"/>
  <c r="A84" i="91"/>
  <c r="A78" i="91"/>
  <c r="A59" i="91"/>
  <c r="A53" i="91"/>
  <c r="A34" i="91"/>
  <c r="A28" i="91"/>
  <c r="A9" i="91"/>
  <c r="A4" i="91"/>
  <c r="B78" i="91"/>
  <c r="B53" i="91"/>
  <c r="B28" i="91"/>
  <c r="D78" i="91"/>
  <c r="D53" i="91"/>
  <c r="D28" i="91"/>
  <c r="C78" i="91"/>
  <c r="C53" i="91"/>
  <c r="C28" i="91"/>
  <c r="H102" i="91"/>
  <c r="D102" i="91"/>
  <c r="C102" i="91"/>
  <c r="B102" i="91"/>
  <c r="A102" i="91"/>
  <c r="H101" i="91"/>
  <c r="D101" i="91"/>
  <c r="C101" i="91"/>
  <c r="B101" i="91"/>
  <c r="A101" i="91"/>
  <c r="H100" i="91"/>
  <c r="D100" i="91"/>
  <c r="C100" i="91"/>
  <c r="B100" i="91"/>
  <c r="A100" i="91"/>
  <c r="H99" i="91"/>
  <c r="D99" i="91"/>
  <c r="C99" i="91"/>
  <c r="B99" i="91"/>
  <c r="A99" i="91"/>
  <c r="H98" i="91"/>
  <c r="D98" i="91"/>
  <c r="C98" i="91"/>
  <c r="B98" i="91"/>
  <c r="A98" i="91"/>
  <c r="H97" i="91"/>
  <c r="D97" i="91"/>
  <c r="C97" i="91"/>
  <c r="B97" i="91"/>
  <c r="A97" i="91"/>
  <c r="H96" i="91"/>
  <c r="D96" i="91"/>
  <c r="C96" i="91"/>
  <c r="B96" i="91"/>
  <c r="A96" i="91"/>
  <c r="H95" i="91"/>
  <c r="D95" i="91"/>
  <c r="C95" i="91"/>
  <c r="B95" i="91"/>
  <c r="A95" i="91"/>
  <c r="H94" i="91"/>
  <c r="D94" i="91"/>
  <c r="C94" i="91"/>
  <c r="B94" i="91"/>
  <c r="A94" i="91"/>
  <c r="H93" i="91"/>
  <c r="D93" i="91"/>
  <c r="C93" i="91"/>
  <c r="B93" i="91"/>
  <c r="A93" i="91"/>
  <c r="H92" i="91"/>
  <c r="D92" i="91"/>
  <c r="C92" i="91"/>
  <c r="B92" i="91"/>
  <c r="A92" i="91"/>
  <c r="H91" i="91"/>
  <c r="D91" i="91"/>
  <c r="C91" i="91"/>
  <c r="B91" i="91"/>
  <c r="A91" i="91"/>
  <c r="H90" i="91"/>
  <c r="D90" i="91"/>
  <c r="C90" i="91"/>
  <c r="B90" i="91"/>
  <c r="A90" i="91"/>
  <c r="H89" i="91"/>
  <c r="D89" i="91"/>
  <c r="C89" i="91"/>
  <c r="B89" i="91"/>
  <c r="A89" i="91"/>
  <c r="H88" i="91"/>
  <c r="D88" i="91"/>
  <c r="C88" i="91"/>
  <c r="B88" i="91"/>
  <c r="A88" i="91"/>
  <c r="H87" i="91"/>
  <c r="D87" i="91"/>
  <c r="C87" i="91"/>
  <c r="B87" i="91"/>
  <c r="A87" i="91"/>
  <c r="H86" i="91"/>
  <c r="D86" i="91"/>
  <c r="C86" i="91"/>
  <c r="B86" i="91"/>
  <c r="A86" i="91"/>
  <c r="H85" i="91"/>
  <c r="D85" i="91"/>
  <c r="C85" i="91"/>
  <c r="B85" i="91"/>
  <c r="A85" i="91"/>
  <c r="H84" i="91"/>
  <c r="D84" i="91"/>
  <c r="C84" i="91"/>
  <c r="B84" i="91"/>
  <c r="H83" i="91"/>
  <c r="D83" i="91"/>
  <c r="C83" i="91"/>
  <c r="B83" i="91"/>
  <c r="A83" i="91"/>
  <c r="H82" i="91"/>
  <c r="D82" i="91"/>
  <c r="C82" i="91"/>
  <c r="B82" i="91"/>
  <c r="A82" i="91"/>
  <c r="H81" i="91"/>
  <c r="D81" i="91"/>
  <c r="C81" i="91"/>
  <c r="B81" i="91"/>
  <c r="A81" i="91"/>
  <c r="H80" i="91"/>
  <c r="D80" i="91"/>
  <c r="C80" i="91"/>
  <c r="B80" i="91"/>
  <c r="A80" i="91"/>
  <c r="H79" i="91"/>
  <c r="D79" i="91"/>
  <c r="C79" i="91"/>
  <c r="B79" i="91"/>
  <c r="A79" i="91"/>
  <c r="H77" i="91"/>
  <c r="D77" i="91"/>
  <c r="C77" i="91"/>
  <c r="B77" i="91"/>
  <c r="A77" i="91"/>
  <c r="H76" i="91"/>
  <c r="D76" i="91"/>
  <c r="C76" i="91"/>
  <c r="B76" i="91"/>
  <c r="A76" i="91"/>
  <c r="H75" i="91"/>
  <c r="D75" i="91"/>
  <c r="C75" i="91"/>
  <c r="B75" i="91"/>
  <c r="A75" i="91"/>
  <c r="H74" i="91"/>
  <c r="D74" i="91"/>
  <c r="C74" i="91"/>
  <c r="B74" i="91"/>
  <c r="A74" i="91"/>
  <c r="H73" i="91"/>
  <c r="D73" i="91"/>
  <c r="C73" i="91"/>
  <c r="B73" i="91"/>
  <c r="A73" i="91"/>
  <c r="H72" i="91"/>
  <c r="D72" i="91"/>
  <c r="C72" i="91"/>
  <c r="B72" i="91"/>
  <c r="A72" i="91"/>
  <c r="H71" i="91"/>
  <c r="D71" i="91"/>
  <c r="C71" i="91"/>
  <c r="B71" i="91"/>
  <c r="A71" i="91"/>
  <c r="H70" i="91"/>
  <c r="D70" i="91"/>
  <c r="C70" i="91"/>
  <c r="B70" i="91"/>
  <c r="A70" i="91"/>
  <c r="H69" i="91"/>
  <c r="D69" i="91"/>
  <c r="C69" i="91"/>
  <c r="B69" i="91"/>
  <c r="A69" i="91"/>
  <c r="H68" i="91"/>
  <c r="D68" i="91"/>
  <c r="C68" i="91"/>
  <c r="B68" i="91"/>
  <c r="A68" i="91"/>
  <c r="H67" i="91"/>
  <c r="D67" i="91"/>
  <c r="C67" i="91"/>
  <c r="B67" i="91"/>
  <c r="A67" i="91"/>
  <c r="H66" i="91"/>
  <c r="D66" i="91"/>
  <c r="C66" i="91"/>
  <c r="B66" i="91"/>
  <c r="A66" i="91"/>
  <c r="H65" i="91"/>
  <c r="D65" i="91"/>
  <c r="C65" i="91"/>
  <c r="B65" i="91"/>
  <c r="A65" i="91"/>
  <c r="H64" i="91"/>
  <c r="D64" i="91"/>
  <c r="C64" i="91"/>
  <c r="B64" i="91"/>
  <c r="A64" i="91"/>
  <c r="H63" i="91"/>
  <c r="D63" i="91"/>
  <c r="C63" i="91"/>
  <c r="B63" i="91"/>
  <c r="A63" i="91"/>
  <c r="H62" i="91"/>
  <c r="D62" i="91"/>
  <c r="C62" i="91"/>
  <c r="B62" i="91"/>
  <c r="A62" i="91"/>
  <c r="H61" i="91"/>
  <c r="D61" i="91"/>
  <c r="C61" i="91"/>
  <c r="B61" i="91"/>
  <c r="A61" i="91"/>
  <c r="H60" i="91"/>
  <c r="D60" i="91"/>
  <c r="C60" i="91"/>
  <c r="B60" i="91"/>
  <c r="A60" i="91"/>
  <c r="H59" i="91"/>
  <c r="D59" i="91"/>
  <c r="C59" i="91"/>
  <c r="B59" i="91"/>
  <c r="H58" i="91"/>
  <c r="D58" i="91"/>
  <c r="C58" i="91"/>
  <c r="B58" i="91"/>
  <c r="A58" i="91"/>
  <c r="H57" i="91"/>
  <c r="D57" i="91"/>
  <c r="C57" i="91"/>
  <c r="B57" i="91"/>
  <c r="A57" i="91"/>
  <c r="H56" i="91"/>
  <c r="D56" i="91"/>
  <c r="C56" i="91"/>
  <c r="B56" i="91"/>
  <c r="A56" i="91"/>
  <c r="H55" i="91"/>
  <c r="D55" i="91"/>
  <c r="C55" i="91"/>
  <c r="B55" i="91"/>
  <c r="A55" i="91"/>
  <c r="H54" i="91"/>
  <c r="D54" i="91"/>
  <c r="C54" i="91"/>
  <c r="B54" i="91"/>
  <c r="A54" i="91"/>
  <c r="H52" i="91"/>
  <c r="D52" i="91"/>
  <c r="C52" i="91"/>
  <c r="B52" i="91"/>
  <c r="A52" i="91"/>
  <c r="H51" i="91"/>
  <c r="D51" i="91"/>
  <c r="C51" i="91"/>
  <c r="B51" i="91"/>
  <c r="A51" i="91"/>
  <c r="H50" i="91"/>
  <c r="D50" i="91"/>
  <c r="C50" i="91"/>
  <c r="B50" i="91"/>
  <c r="A50" i="91"/>
  <c r="H49" i="91"/>
  <c r="D49" i="91"/>
  <c r="C49" i="91"/>
  <c r="B49" i="91"/>
  <c r="A49" i="91"/>
  <c r="H48" i="91"/>
  <c r="D48" i="91"/>
  <c r="C48" i="91"/>
  <c r="B48" i="91"/>
  <c r="A48" i="91"/>
  <c r="H47" i="91"/>
  <c r="D47" i="91"/>
  <c r="C47" i="91"/>
  <c r="B47" i="91"/>
  <c r="A47" i="91"/>
  <c r="H46" i="91"/>
  <c r="D46" i="91"/>
  <c r="C46" i="91"/>
  <c r="B46" i="91"/>
  <c r="A46" i="91"/>
  <c r="H45" i="91"/>
  <c r="D45" i="91"/>
  <c r="C45" i="91"/>
  <c r="B45" i="91"/>
  <c r="A45" i="91"/>
  <c r="H44" i="91"/>
  <c r="D44" i="91"/>
  <c r="C44" i="91"/>
  <c r="B44" i="91"/>
  <c r="A44" i="91"/>
  <c r="H43" i="91"/>
  <c r="D43" i="91"/>
  <c r="C43" i="91"/>
  <c r="B43" i="91"/>
  <c r="A43" i="91"/>
  <c r="H42" i="91"/>
  <c r="D42" i="91"/>
  <c r="C42" i="91"/>
  <c r="B42" i="91"/>
  <c r="A42" i="91"/>
  <c r="H41" i="91"/>
  <c r="D41" i="91"/>
  <c r="C41" i="91"/>
  <c r="B41" i="91"/>
  <c r="A41" i="91"/>
  <c r="H40" i="91"/>
  <c r="D40" i="91"/>
  <c r="C40" i="91"/>
  <c r="B40" i="91"/>
  <c r="A40" i="91"/>
  <c r="H39" i="91"/>
  <c r="D39" i="91"/>
  <c r="C39" i="91"/>
  <c r="B39" i="91"/>
  <c r="A39" i="91"/>
  <c r="H38" i="91"/>
  <c r="D38" i="91"/>
  <c r="C38" i="91"/>
  <c r="B38" i="91"/>
  <c r="A38" i="91"/>
  <c r="H37" i="91"/>
  <c r="D37" i="91"/>
  <c r="C37" i="91"/>
  <c r="B37" i="91"/>
  <c r="A37" i="91"/>
  <c r="H36" i="91"/>
  <c r="D36" i="91"/>
  <c r="C36" i="91"/>
  <c r="B36" i="91"/>
  <c r="A36" i="91"/>
  <c r="H35" i="91"/>
  <c r="D35" i="91"/>
  <c r="C35" i="91"/>
  <c r="B35" i="91"/>
  <c r="A35" i="91"/>
  <c r="H34" i="91"/>
  <c r="D34" i="91"/>
  <c r="C34" i="91"/>
  <c r="B34" i="91"/>
  <c r="H33" i="91"/>
  <c r="D33" i="91"/>
  <c r="C33" i="91"/>
  <c r="B33" i="91"/>
  <c r="A33" i="91"/>
  <c r="H32" i="91"/>
  <c r="D32" i="91"/>
  <c r="C32" i="91"/>
  <c r="B32" i="91"/>
  <c r="A32" i="91"/>
  <c r="H31" i="91"/>
  <c r="D31" i="91"/>
  <c r="C31" i="91"/>
  <c r="B31" i="91"/>
  <c r="A31" i="91"/>
  <c r="H30" i="91"/>
  <c r="D30" i="91"/>
  <c r="C30" i="91"/>
  <c r="B30" i="91"/>
  <c r="A30" i="91"/>
  <c r="H29" i="91"/>
  <c r="D29" i="91"/>
  <c r="C29" i="91"/>
  <c r="B29" i="91"/>
  <c r="A29" i="91"/>
  <c r="H27" i="91"/>
  <c r="D27" i="91"/>
  <c r="C27" i="91"/>
  <c r="B27" i="91"/>
  <c r="A27" i="91"/>
  <c r="H26" i="91"/>
  <c r="D26" i="91"/>
  <c r="C26" i="91"/>
  <c r="B26" i="91"/>
  <c r="A26" i="91"/>
  <c r="H25" i="91"/>
  <c r="D25" i="91"/>
  <c r="C25" i="91"/>
  <c r="B25" i="91"/>
  <c r="A25" i="91"/>
  <c r="H24" i="91"/>
  <c r="D24" i="91"/>
  <c r="C24" i="91"/>
  <c r="B24" i="91"/>
  <c r="A24" i="91"/>
  <c r="H23" i="91"/>
  <c r="D23" i="91"/>
  <c r="C23" i="91"/>
  <c r="B23" i="91"/>
  <c r="A23" i="91"/>
  <c r="H22" i="91"/>
  <c r="D22" i="91"/>
  <c r="C22" i="91"/>
  <c r="B22" i="91"/>
  <c r="A22" i="91"/>
  <c r="H21" i="91"/>
  <c r="D21" i="91"/>
  <c r="C21" i="91"/>
  <c r="B21" i="91"/>
  <c r="A21" i="91"/>
  <c r="D20" i="91"/>
  <c r="C20" i="91"/>
  <c r="B20" i="91"/>
  <c r="A20" i="91"/>
  <c r="H19" i="91"/>
  <c r="D19" i="91"/>
  <c r="C19" i="91"/>
  <c r="B19" i="91"/>
  <c r="A19" i="91"/>
  <c r="H18" i="91"/>
  <c r="D18" i="91"/>
  <c r="C18" i="91"/>
  <c r="B18" i="91"/>
  <c r="A18" i="91"/>
  <c r="H17" i="91"/>
  <c r="D17" i="91"/>
  <c r="C17" i="91"/>
  <c r="B17" i="91"/>
  <c r="A17" i="91"/>
  <c r="H16" i="91"/>
  <c r="D16" i="91"/>
  <c r="C16" i="91"/>
  <c r="B16" i="91"/>
  <c r="A16" i="91"/>
  <c r="H15" i="91"/>
  <c r="D15" i="91"/>
  <c r="C15" i="91"/>
  <c r="B15" i="91"/>
  <c r="A15" i="91"/>
  <c r="H14" i="91"/>
  <c r="D14" i="91"/>
  <c r="C14" i="91"/>
  <c r="B14" i="91"/>
  <c r="A14" i="91"/>
  <c r="H13" i="91"/>
  <c r="D13" i="91"/>
  <c r="C13" i="91"/>
  <c r="B13" i="91"/>
  <c r="A13" i="91"/>
  <c r="H12" i="91"/>
  <c r="D12" i="91"/>
  <c r="C12" i="91"/>
  <c r="B12" i="91"/>
  <c r="A12" i="91"/>
  <c r="H11" i="91"/>
  <c r="D11" i="91"/>
  <c r="C11" i="91"/>
  <c r="B11" i="91"/>
  <c r="A11" i="91"/>
  <c r="H10" i="91"/>
  <c r="D10" i="91"/>
  <c r="C10" i="91"/>
  <c r="B10" i="91"/>
  <c r="A10" i="91"/>
  <c r="D9" i="91"/>
  <c r="C9" i="91"/>
  <c r="B9" i="91"/>
  <c r="H8" i="91"/>
  <c r="D8" i="91"/>
  <c r="C8" i="91"/>
  <c r="B8" i="91"/>
  <c r="A8" i="91"/>
  <c r="H7" i="91"/>
  <c r="D7" i="91"/>
  <c r="C7" i="91"/>
  <c r="B7" i="91"/>
  <c r="A7" i="91"/>
  <c r="H6" i="91"/>
  <c r="D6" i="91"/>
  <c r="C6" i="91"/>
  <c r="B6" i="91"/>
  <c r="A6" i="91"/>
  <c r="H5" i="91"/>
  <c r="D5" i="91"/>
  <c r="C5" i="91"/>
  <c r="B5" i="91"/>
  <c r="A5" i="91"/>
  <c r="H4" i="91"/>
  <c r="D4" i="91"/>
  <c r="C4" i="91"/>
  <c r="B4" i="91"/>
  <c r="L11" i="81"/>
  <c r="L4" i="81"/>
  <c r="L5" i="81"/>
  <c r="M5" i="81"/>
  <c r="L6" i="81"/>
  <c r="M6" i="81"/>
  <c r="L7" i="81"/>
  <c r="M7" i="81"/>
  <c r="L8" i="81"/>
  <c r="M8" i="81"/>
  <c r="L9" i="81"/>
  <c r="M9" i="81"/>
  <c r="L10" i="81"/>
  <c r="M10" i="81"/>
  <c r="M11" i="81"/>
  <c r="L12" i="81"/>
  <c r="M12" i="81"/>
  <c r="L13" i="81"/>
  <c r="M13" i="81"/>
  <c r="L14" i="81"/>
  <c r="M14" i="81"/>
  <c r="L15" i="81"/>
  <c r="M15" i="81"/>
  <c r="L16" i="81"/>
  <c r="M16" i="81"/>
  <c r="L17" i="81"/>
  <c r="M17" i="81"/>
  <c r="L18" i="81"/>
  <c r="M18" i="81"/>
  <c r="L19" i="81"/>
  <c r="M19" i="81"/>
  <c r="L20" i="81"/>
  <c r="M20" i="81"/>
  <c r="L21" i="81"/>
  <c r="M21" i="81"/>
  <c r="L22" i="81"/>
  <c r="M22" i="81"/>
  <c r="L23" i="81"/>
  <c r="M23" i="81"/>
  <c r="L24" i="81"/>
  <c r="M24" i="81"/>
  <c r="L25" i="81"/>
  <c r="M25" i="81"/>
  <c r="L26" i="81"/>
  <c r="M26" i="81"/>
  <c r="L27" i="81"/>
  <c r="M27" i="81"/>
  <c r="L28" i="81"/>
  <c r="M28" i="81"/>
  <c r="L29" i="81"/>
  <c r="M29" i="81"/>
  <c r="L30" i="81"/>
  <c r="M30" i="81"/>
  <c r="L31" i="81"/>
  <c r="M31" i="81"/>
  <c r="L32" i="81"/>
  <c r="M32" i="81"/>
  <c r="L33" i="81"/>
  <c r="M33" i="81"/>
  <c r="L34" i="81"/>
  <c r="M34" i="81"/>
  <c r="L35" i="81"/>
  <c r="M35" i="81"/>
  <c r="L36" i="81"/>
  <c r="M36" i="81"/>
  <c r="L37" i="81"/>
  <c r="M37" i="81"/>
  <c r="L38" i="81"/>
  <c r="M38" i="81"/>
  <c r="L39" i="81"/>
  <c r="M39" i="81"/>
  <c r="L40" i="81"/>
  <c r="M40" i="81"/>
  <c r="L41" i="81"/>
  <c r="M41" i="81"/>
  <c r="L42" i="81"/>
  <c r="M42" i="81"/>
  <c r="L43" i="81"/>
  <c r="M43" i="81"/>
  <c r="L44" i="81"/>
  <c r="M44" i="81"/>
  <c r="L45" i="81"/>
  <c r="M45" i="81"/>
  <c r="L46" i="81"/>
  <c r="M46" i="81"/>
  <c r="L47" i="81"/>
  <c r="M47" i="81"/>
  <c r="L48" i="81"/>
  <c r="M48" i="81"/>
  <c r="L49" i="81"/>
  <c r="M49" i="81"/>
  <c r="L50" i="81"/>
  <c r="M50" i="81"/>
  <c r="L51" i="81"/>
  <c r="M51" i="81"/>
  <c r="L52" i="81"/>
  <c r="M52" i="81"/>
  <c r="L53" i="81"/>
  <c r="M53" i="81"/>
  <c r="L54" i="81"/>
  <c r="M54" i="81"/>
  <c r="L55" i="81"/>
  <c r="M55" i="81"/>
  <c r="L56" i="81"/>
  <c r="M56" i="81"/>
  <c r="L57" i="81"/>
  <c r="M57" i="81"/>
  <c r="L58" i="81"/>
  <c r="M58" i="81"/>
  <c r="L59" i="81"/>
  <c r="M59" i="81"/>
  <c r="L60" i="81"/>
  <c r="M60" i="81"/>
  <c r="L61" i="81"/>
  <c r="M61" i="81"/>
  <c r="L62" i="81"/>
  <c r="M62" i="81"/>
  <c r="L63" i="81"/>
  <c r="M63" i="81"/>
  <c r="L64" i="81"/>
  <c r="M64" i="81"/>
  <c r="L65" i="81"/>
  <c r="M65" i="81"/>
  <c r="L66" i="81"/>
  <c r="M66" i="81"/>
  <c r="L67" i="81"/>
  <c r="M67" i="81"/>
  <c r="L68" i="81"/>
  <c r="M68" i="81"/>
  <c r="L69" i="81"/>
  <c r="M69" i="81"/>
  <c r="L70" i="81"/>
  <c r="M70" i="81"/>
  <c r="L71" i="81"/>
  <c r="M71" i="81"/>
  <c r="L72" i="81"/>
  <c r="M72" i="81"/>
  <c r="L73" i="81"/>
  <c r="M73" i="81"/>
  <c r="L74" i="81"/>
  <c r="M74" i="81"/>
  <c r="L75" i="81"/>
  <c r="M75" i="81"/>
  <c r="L76" i="81"/>
  <c r="M76" i="81"/>
  <c r="L77" i="81"/>
  <c r="M77" i="81"/>
  <c r="L78" i="81"/>
  <c r="M78" i="81"/>
  <c r="L79" i="81"/>
  <c r="M79" i="81"/>
  <c r="L80" i="81"/>
  <c r="M80" i="81"/>
  <c r="L81" i="81"/>
  <c r="M81" i="81"/>
  <c r="L82" i="81"/>
  <c r="M82" i="81"/>
  <c r="L83" i="81"/>
  <c r="M83" i="81"/>
  <c r="L84" i="81"/>
  <c r="M84" i="81"/>
  <c r="L85" i="81"/>
  <c r="M85" i="81"/>
  <c r="L86" i="81"/>
  <c r="M86" i="81"/>
  <c r="L87" i="81"/>
  <c r="M87" i="81"/>
  <c r="L88" i="81"/>
  <c r="M88" i="81"/>
  <c r="L89" i="81"/>
  <c r="M89" i="81"/>
  <c r="L90" i="81"/>
  <c r="M90" i="81"/>
  <c r="L91" i="81"/>
  <c r="M91" i="81"/>
  <c r="L92" i="81"/>
  <c r="M92" i="81"/>
  <c r="L93" i="81"/>
  <c r="M93" i="81"/>
  <c r="L94" i="81"/>
  <c r="M94" i="81"/>
  <c r="L95" i="81"/>
  <c r="M95" i="81"/>
  <c r="L96" i="81"/>
  <c r="M96" i="81"/>
  <c r="L97" i="81"/>
  <c r="M97" i="81"/>
  <c r="L98" i="81"/>
  <c r="M98" i="81"/>
  <c r="L99" i="81"/>
  <c r="M99" i="81"/>
  <c r="L100" i="81"/>
  <c r="M100" i="81"/>
  <c r="L101" i="81"/>
  <c r="M101" i="81"/>
  <c r="L102" i="81"/>
  <c r="M102" i="81"/>
  <c r="L103" i="81"/>
  <c r="M103" i="81"/>
  <c r="L104" i="81"/>
  <c r="M104" i="81"/>
  <c r="L105" i="81"/>
  <c r="M105" i="81"/>
  <c r="L106" i="81"/>
  <c r="M106" i="81"/>
  <c r="L107" i="81"/>
  <c r="M107" i="81"/>
  <c r="L108" i="81"/>
  <c r="M108" i="81"/>
  <c r="L109" i="81"/>
  <c r="M109" i="81"/>
  <c r="L110" i="81"/>
  <c r="M110" i="81"/>
  <c r="L111" i="81"/>
  <c r="M111" i="81"/>
  <c r="L112" i="81"/>
  <c r="M112" i="81"/>
  <c r="L113" i="81"/>
  <c r="M113" i="81"/>
  <c r="L114" i="81"/>
  <c r="M114" i="81"/>
  <c r="L115" i="81"/>
  <c r="M115" i="81"/>
  <c r="L116" i="81"/>
  <c r="M116" i="81"/>
  <c r="L117" i="81"/>
  <c r="M117" i="81"/>
  <c r="L118" i="81"/>
  <c r="M118" i="81"/>
  <c r="L119" i="81"/>
  <c r="M119" i="81"/>
  <c r="L120" i="81"/>
  <c r="M120" i="81"/>
  <c r="L121" i="81"/>
  <c r="M121" i="81"/>
  <c r="L122" i="81"/>
  <c r="M122" i="81"/>
  <c r="L123" i="81"/>
  <c r="M123" i="81"/>
  <c r="L124" i="81"/>
  <c r="M124" i="81"/>
  <c r="L125" i="81"/>
  <c r="M125" i="81"/>
  <c r="L126" i="81"/>
  <c r="M126" i="81"/>
  <c r="L127" i="81"/>
  <c r="M127" i="81"/>
  <c r="L128" i="81"/>
  <c r="M128" i="81"/>
  <c r="L129" i="81"/>
  <c r="M129" i="81"/>
  <c r="L130" i="81"/>
  <c r="M130" i="81"/>
  <c r="L131" i="81"/>
  <c r="M131" i="81"/>
  <c r="L132" i="81"/>
  <c r="M132" i="81"/>
  <c r="L133" i="81"/>
  <c r="M133" i="81"/>
  <c r="L134" i="81"/>
  <c r="M134" i="81"/>
  <c r="L135" i="81"/>
  <c r="M135" i="81"/>
  <c r="L136" i="81"/>
  <c r="M136" i="81"/>
  <c r="L137" i="81"/>
  <c r="M137" i="81"/>
  <c r="L138" i="81"/>
  <c r="M138" i="81"/>
  <c r="L139" i="81"/>
  <c r="M139" i="81"/>
  <c r="L140" i="81"/>
  <c r="M140" i="81"/>
  <c r="L141" i="81"/>
  <c r="M141" i="81"/>
  <c r="L142" i="81"/>
  <c r="M142" i="81"/>
  <c r="L143" i="81"/>
  <c r="M143" i="81"/>
  <c r="L144" i="81"/>
  <c r="M144" i="81"/>
  <c r="L145" i="81"/>
  <c r="M145" i="81"/>
  <c r="L146" i="81"/>
  <c r="M146" i="81"/>
  <c r="L147" i="81"/>
  <c r="M147" i="81"/>
  <c r="L148" i="81"/>
  <c r="M148" i="81"/>
  <c r="L149" i="81"/>
  <c r="M149" i="81"/>
  <c r="L150" i="81"/>
  <c r="M150" i="81"/>
  <c r="L151" i="81"/>
  <c r="M151" i="81"/>
  <c r="L152" i="81"/>
  <c r="M152" i="81"/>
  <c r="L153" i="81"/>
  <c r="M153" i="81"/>
  <c r="L154" i="81"/>
  <c r="M154" i="81"/>
  <c r="L155" i="81"/>
  <c r="M155" i="81"/>
  <c r="L156" i="81"/>
  <c r="M156" i="81"/>
  <c r="L157" i="81"/>
  <c r="M157" i="81"/>
  <c r="L158" i="81"/>
  <c r="M158" i="81"/>
  <c r="L159" i="81"/>
  <c r="M159" i="81"/>
  <c r="L160" i="81"/>
  <c r="M160" i="81"/>
  <c r="L161" i="81"/>
  <c r="M161" i="81"/>
  <c r="L162" i="81"/>
  <c r="M162" i="81"/>
  <c r="L163" i="81"/>
  <c r="M163" i="81"/>
  <c r="L164" i="81"/>
  <c r="M164" i="81"/>
  <c r="L165" i="81"/>
  <c r="M165" i="81"/>
  <c r="L166" i="81"/>
  <c r="M166" i="81"/>
  <c r="L167" i="81"/>
  <c r="M167" i="81"/>
  <c r="L168" i="81"/>
  <c r="M168" i="81"/>
  <c r="L169" i="81"/>
  <c r="M169" i="81"/>
  <c r="L170" i="81"/>
  <c r="M170" i="81"/>
  <c r="L171" i="81"/>
  <c r="M171" i="81"/>
  <c r="L172" i="81"/>
  <c r="M172" i="81"/>
  <c r="L173" i="81"/>
  <c r="M173" i="81"/>
  <c r="L174" i="81"/>
  <c r="M174" i="81"/>
  <c r="L175" i="81"/>
  <c r="M175" i="81"/>
  <c r="L176" i="81"/>
  <c r="M176" i="81"/>
  <c r="L177" i="81"/>
  <c r="M177" i="81"/>
  <c r="L178" i="81"/>
  <c r="M178" i="81"/>
  <c r="L179" i="81"/>
  <c r="M179" i="81"/>
  <c r="L180" i="81"/>
  <c r="M180" i="81"/>
  <c r="L181" i="81"/>
  <c r="M181" i="81"/>
  <c r="L182" i="81"/>
  <c r="M182" i="81"/>
  <c r="L183" i="81"/>
  <c r="M183" i="81"/>
  <c r="L184" i="81"/>
  <c r="M184" i="81"/>
  <c r="L185" i="81"/>
  <c r="M185" i="81"/>
  <c r="L186" i="81"/>
  <c r="M186" i="81"/>
  <c r="L187" i="81"/>
  <c r="M187" i="81"/>
  <c r="L188" i="81"/>
  <c r="M188" i="81"/>
  <c r="L189" i="81"/>
  <c r="M189" i="81"/>
  <c r="L190" i="81"/>
  <c r="M190" i="81"/>
  <c r="L191" i="81"/>
  <c r="M191" i="81"/>
  <c r="L192" i="81"/>
  <c r="M192" i="81"/>
  <c r="L193" i="81"/>
  <c r="M193" i="81"/>
  <c r="L194" i="81"/>
  <c r="M194" i="81"/>
  <c r="L195" i="81"/>
  <c r="M195" i="81"/>
  <c r="L196" i="81"/>
  <c r="M196" i="81"/>
  <c r="L197" i="81"/>
  <c r="M197" i="81"/>
  <c r="L198" i="81"/>
  <c r="M198" i="81"/>
  <c r="L199" i="81"/>
  <c r="M199" i="81"/>
  <c r="L200" i="81"/>
  <c r="M200" i="81"/>
  <c r="L201" i="81"/>
  <c r="M201" i="81"/>
  <c r="L202" i="81"/>
  <c r="M202" i="81"/>
  <c r="L203" i="81"/>
  <c r="M203" i="81"/>
  <c r="L204" i="81"/>
  <c r="M204" i="81"/>
  <c r="L205" i="81"/>
  <c r="M205" i="81"/>
  <c r="L206" i="81"/>
  <c r="M206" i="81"/>
  <c r="L207" i="81"/>
  <c r="M207" i="81"/>
  <c r="L208" i="81"/>
  <c r="M208" i="81"/>
  <c r="L209" i="81"/>
  <c r="M209" i="81"/>
  <c r="L210" i="81"/>
  <c r="M210" i="81"/>
  <c r="L211" i="81"/>
  <c r="M211" i="81"/>
  <c r="L212" i="81"/>
  <c r="M212" i="81"/>
  <c r="L213" i="81"/>
  <c r="M213" i="81"/>
  <c r="L214" i="81"/>
  <c r="M214" i="81"/>
  <c r="L215" i="81"/>
  <c r="M215" i="81"/>
  <c r="L216" i="81"/>
  <c r="M216" i="81"/>
  <c r="L217" i="81"/>
  <c r="M217" i="81"/>
  <c r="L218" i="81"/>
  <c r="M218" i="81"/>
  <c r="L219" i="81"/>
  <c r="M219" i="81"/>
  <c r="L220" i="81"/>
  <c r="M220" i="81"/>
  <c r="L221" i="81"/>
  <c r="M221" i="81"/>
  <c r="L222" i="81"/>
  <c r="M222" i="81"/>
  <c r="L223" i="81"/>
  <c r="M223" i="81"/>
  <c r="L224" i="81"/>
  <c r="M224" i="81"/>
  <c r="L225" i="81"/>
  <c r="M225" i="81"/>
  <c r="L226" i="81"/>
  <c r="M226" i="81"/>
  <c r="L227" i="81"/>
  <c r="M227" i="81"/>
  <c r="L228" i="81"/>
  <c r="M228" i="81"/>
  <c r="L229" i="81"/>
  <c r="M229" i="81"/>
  <c r="L230" i="81"/>
  <c r="M230" i="81"/>
  <c r="L231" i="81"/>
  <c r="M231" i="81"/>
  <c r="L232" i="81"/>
  <c r="M232" i="81"/>
  <c r="L233" i="81"/>
  <c r="M233" i="81"/>
  <c r="L234" i="81"/>
  <c r="M234" i="81"/>
  <c r="L235" i="81"/>
  <c r="M235" i="81"/>
  <c r="L236" i="81"/>
  <c r="M236" i="81"/>
  <c r="L237" i="81"/>
  <c r="M237" i="81"/>
  <c r="L238" i="81"/>
  <c r="M238" i="81"/>
  <c r="L239" i="81"/>
  <c r="M239" i="81"/>
  <c r="L240" i="81"/>
  <c r="M240" i="81"/>
  <c r="L241" i="81"/>
  <c r="M241" i="81"/>
  <c r="L242" i="81"/>
  <c r="M242" i="81"/>
  <c r="L243" i="81"/>
  <c r="M243" i="81"/>
  <c r="L244" i="81"/>
  <c r="M244" i="81"/>
  <c r="L245" i="81"/>
  <c r="M245" i="81"/>
  <c r="L246" i="81"/>
  <c r="M246" i="81"/>
  <c r="L247" i="81"/>
  <c r="M247" i="81"/>
  <c r="L248" i="81"/>
  <c r="M248" i="81"/>
  <c r="L249" i="81"/>
  <c r="M249" i="81"/>
  <c r="L250" i="81"/>
  <c r="M250" i="81"/>
  <c r="L251" i="81"/>
  <c r="M251" i="81"/>
  <c r="L252" i="81"/>
  <c r="M252" i="81"/>
  <c r="L253" i="81"/>
  <c r="M253" i="81"/>
  <c r="L254" i="81"/>
  <c r="M254" i="81"/>
  <c r="L255" i="81"/>
  <c r="M255" i="81"/>
  <c r="L256" i="81"/>
  <c r="M256" i="81"/>
  <c r="L257" i="81"/>
  <c r="M257" i="81"/>
  <c r="L258" i="81"/>
  <c r="M258" i="81"/>
  <c r="L259" i="81"/>
  <c r="M259" i="81"/>
  <c r="L260" i="81"/>
  <c r="M260" i="81"/>
  <c r="L261" i="81"/>
  <c r="M261" i="81"/>
  <c r="L262" i="81"/>
  <c r="M262" i="81"/>
  <c r="L263" i="81"/>
  <c r="M263" i="81"/>
  <c r="L264" i="81"/>
  <c r="M264" i="81"/>
  <c r="L265" i="81"/>
  <c r="M265" i="81"/>
  <c r="L266" i="81"/>
  <c r="M266" i="81"/>
  <c r="L267" i="81"/>
  <c r="M267" i="81"/>
  <c r="L268" i="81"/>
  <c r="M268" i="81"/>
  <c r="L269" i="81"/>
  <c r="M269" i="81"/>
  <c r="L270" i="81"/>
  <c r="M270" i="81"/>
  <c r="L271" i="81"/>
  <c r="M271" i="81"/>
  <c r="L272" i="81"/>
  <c r="M272" i="81"/>
  <c r="L273" i="81"/>
  <c r="M273" i="81"/>
  <c r="L274" i="81"/>
  <c r="M274" i="81"/>
  <c r="L275" i="81"/>
  <c r="M275" i="81"/>
  <c r="L276" i="81"/>
  <c r="M276" i="81"/>
  <c r="L277" i="81"/>
  <c r="M277" i="81"/>
  <c r="L278" i="81"/>
  <c r="M278" i="81"/>
  <c r="L279" i="81"/>
  <c r="M279" i="81"/>
  <c r="L280" i="81"/>
  <c r="M280" i="81"/>
  <c r="L281" i="81"/>
  <c r="M281" i="81"/>
  <c r="L282" i="81"/>
  <c r="M282" i="81"/>
  <c r="L283" i="81"/>
  <c r="M283" i="81"/>
  <c r="L284" i="81"/>
  <c r="M284" i="81"/>
  <c r="L285" i="81"/>
  <c r="M285" i="81"/>
  <c r="L286" i="81"/>
  <c r="M286" i="81"/>
  <c r="L287" i="81"/>
  <c r="M287" i="81"/>
  <c r="L288" i="81"/>
  <c r="M288" i="81"/>
  <c r="L289" i="81"/>
  <c r="M289" i="81"/>
  <c r="L290" i="81"/>
  <c r="M290" i="81"/>
  <c r="L291" i="81"/>
  <c r="M291" i="81"/>
  <c r="L292" i="81"/>
  <c r="M292" i="81"/>
  <c r="L293" i="81"/>
  <c r="M293" i="81"/>
  <c r="L294" i="81"/>
  <c r="M294" i="81"/>
  <c r="L295" i="81"/>
  <c r="M295" i="81"/>
  <c r="L296" i="81"/>
  <c r="M296" i="81"/>
  <c r="L297" i="81"/>
  <c r="M297" i="81"/>
  <c r="L298" i="81"/>
  <c r="M298" i="81"/>
  <c r="L299" i="81"/>
  <c r="M299" i="81"/>
  <c r="L300" i="81"/>
  <c r="M300" i="81"/>
  <c r="L301" i="81"/>
  <c r="M301" i="81"/>
  <c r="L302" i="81"/>
  <c r="M302" i="81"/>
  <c r="L303" i="81"/>
  <c r="M303" i="81"/>
  <c r="L304" i="81"/>
  <c r="M304" i="81"/>
  <c r="L305" i="81"/>
  <c r="M305" i="81"/>
  <c r="L306" i="81"/>
  <c r="M306" i="81"/>
  <c r="L307" i="81"/>
  <c r="M307" i="81"/>
  <c r="L308" i="81"/>
  <c r="M308" i="81"/>
  <c r="L309" i="81"/>
  <c r="M309" i="81"/>
  <c r="L310" i="81"/>
  <c r="M310" i="81"/>
  <c r="L311" i="81"/>
  <c r="M311" i="81"/>
  <c r="L312" i="81"/>
  <c r="M312" i="81"/>
  <c r="L313" i="81"/>
  <c r="M313" i="81"/>
  <c r="L314" i="81"/>
  <c r="M314" i="81"/>
  <c r="L315" i="81"/>
  <c r="M315" i="81"/>
  <c r="L316" i="81"/>
  <c r="M316" i="81"/>
  <c r="L317" i="81"/>
  <c r="M317" i="81"/>
  <c r="L318" i="81"/>
  <c r="M318" i="81"/>
  <c r="L319" i="81"/>
  <c r="M319" i="81"/>
  <c r="L320" i="81"/>
  <c r="M320" i="81"/>
  <c r="L321" i="81"/>
  <c r="M321" i="81"/>
  <c r="L322" i="81"/>
  <c r="M322" i="81"/>
  <c r="L323" i="81"/>
  <c r="M323" i="81"/>
  <c r="L324" i="81"/>
  <c r="M324" i="81"/>
  <c r="L325" i="81"/>
  <c r="M325" i="81"/>
  <c r="L326" i="81"/>
  <c r="M326" i="81"/>
  <c r="L327" i="81"/>
  <c r="M327" i="81"/>
  <c r="L328" i="81"/>
  <c r="M328" i="81"/>
  <c r="L329" i="81"/>
  <c r="M329" i="81"/>
  <c r="L330" i="81"/>
  <c r="M330" i="81"/>
  <c r="L331" i="81"/>
  <c r="M331" i="81"/>
  <c r="L332" i="81"/>
  <c r="M332" i="81"/>
  <c r="L333" i="81"/>
  <c r="M333" i="81"/>
  <c r="L334" i="81"/>
  <c r="M334" i="81"/>
  <c r="L335" i="81"/>
  <c r="M335" i="81"/>
  <c r="L336" i="81"/>
  <c r="M336" i="81"/>
  <c r="L337" i="81"/>
  <c r="M337" i="81"/>
  <c r="L338" i="81"/>
  <c r="M338" i="81"/>
  <c r="L339" i="81"/>
  <c r="M339" i="81"/>
  <c r="L340" i="81"/>
  <c r="M340" i="81"/>
  <c r="L341" i="81"/>
  <c r="M341" i="81"/>
  <c r="L342" i="81"/>
  <c r="M342" i="81"/>
  <c r="L343" i="81"/>
  <c r="M343" i="81"/>
  <c r="L344" i="81"/>
  <c r="M344" i="81"/>
  <c r="L345" i="81"/>
  <c r="M345" i="81"/>
  <c r="L346" i="81"/>
  <c r="M346" i="81"/>
  <c r="L347" i="81"/>
  <c r="M347" i="81"/>
  <c r="L348" i="81"/>
  <c r="M348" i="81"/>
  <c r="L349" i="81"/>
  <c r="M349" i="81"/>
  <c r="L350" i="81"/>
  <c r="M350" i="81"/>
  <c r="L351" i="81"/>
  <c r="M351" i="81"/>
  <c r="L352" i="81"/>
  <c r="M352" i="81"/>
  <c r="L353" i="81"/>
  <c r="M353" i="81"/>
  <c r="L354" i="81"/>
  <c r="M354" i="81"/>
  <c r="L355" i="81"/>
  <c r="M355" i="81"/>
  <c r="L356" i="81"/>
  <c r="M356" i="81"/>
  <c r="L357" i="81"/>
  <c r="M357" i="81"/>
  <c r="L358" i="81"/>
  <c r="M358" i="81"/>
  <c r="L359" i="81"/>
  <c r="M359" i="81"/>
  <c r="L360" i="81"/>
  <c r="M360" i="81"/>
  <c r="L361" i="81"/>
  <c r="M361" i="81"/>
  <c r="L362" i="81"/>
  <c r="M362" i="81"/>
  <c r="L363" i="81"/>
  <c r="M363" i="81"/>
  <c r="L364" i="81"/>
  <c r="M364" i="81"/>
  <c r="L365" i="81"/>
  <c r="M365" i="81"/>
  <c r="L366" i="81"/>
  <c r="M366" i="81"/>
  <c r="L367" i="81"/>
  <c r="M367" i="81"/>
  <c r="L368" i="81"/>
  <c r="M368" i="81"/>
  <c r="L369" i="81"/>
  <c r="M369" i="81"/>
  <c r="L370" i="81"/>
  <c r="M370" i="81"/>
  <c r="L371" i="81"/>
  <c r="M371" i="81"/>
  <c r="L372" i="81"/>
  <c r="M372" i="81"/>
  <c r="L373" i="81"/>
  <c r="M373" i="81"/>
  <c r="L374" i="81"/>
  <c r="M374" i="81"/>
  <c r="L375" i="81"/>
  <c r="M375" i="81"/>
  <c r="L376" i="81"/>
  <c r="M376" i="81"/>
  <c r="L377" i="81"/>
  <c r="M377" i="81"/>
  <c r="L378" i="81"/>
  <c r="M378" i="81"/>
  <c r="L379" i="81"/>
  <c r="M379" i="81"/>
  <c r="L380" i="81"/>
  <c r="M380" i="81"/>
  <c r="L381" i="81"/>
  <c r="M381" i="81"/>
  <c r="L382" i="81"/>
  <c r="M382" i="81"/>
  <c r="L383" i="81"/>
  <c r="M383" i="81"/>
  <c r="L384" i="81"/>
  <c r="M384" i="81"/>
  <c r="L385" i="81"/>
  <c r="M385" i="81"/>
  <c r="L386" i="81"/>
  <c r="M386" i="81"/>
  <c r="L387" i="81"/>
  <c r="M387" i="81"/>
  <c r="L388" i="81"/>
  <c r="M388" i="81"/>
  <c r="L389" i="81"/>
  <c r="M389" i="81"/>
  <c r="L390" i="81"/>
  <c r="M390" i="81"/>
  <c r="L391" i="81"/>
  <c r="M391" i="81"/>
  <c r="L392" i="81"/>
  <c r="M392" i="81"/>
  <c r="L393" i="81"/>
  <c r="M393" i="81"/>
  <c r="L394" i="81"/>
  <c r="M394" i="81"/>
  <c r="L395" i="81"/>
  <c r="M395" i="81"/>
  <c r="L396" i="81"/>
  <c r="M396" i="81"/>
  <c r="L397" i="81"/>
  <c r="M397" i="81"/>
  <c r="L398" i="81"/>
  <c r="M398" i="81"/>
  <c r="L399" i="81"/>
  <c r="M399" i="81"/>
  <c r="L400" i="81"/>
  <c r="M400" i="81"/>
  <c r="L401" i="81"/>
  <c r="M401" i="81"/>
  <c r="L402" i="81"/>
  <c r="M402" i="81"/>
  <c r="L403" i="81"/>
  <c r="M403" i="81"/>
  <c r="L404" i="81"/>
  <c r="M404" i="81"/>
  <c r="L405" i="81"/>
  <c r="M405" i="81"/>
  <c r="L406" i="81"/>
  <c r="M406" i="81"/>
  <c r="L407" i="81"/>
  <c r="M407" i="81"/>
  <c r="L408" i="81"/>
  <c r="M408" i="81"/>
  <c r="L409" i="81"/>
  <c r="M409" i="81"/>
  <c r="L410" i="81"/>
  <c r="M410" i="81"/>
  <c r="L411" i="81"/>
  <c r="M411" i="81"/>
  <c r="L412" i="81"/>
  <c r="M412" i="81"/>
  <c r="L413" i="81"/>
  <c r="M413" i="81"/>
  <c r="L414" i="81"/>
  <c r="M414" i="81"/>
  <c r="L415" i="81"/>
  <c r="M415" i="81"/>
  <c r="L416" i="81"/>
  <c r="M416" i="81"/>
  <c r="L417" i="81"/>
  <c r="M417" i="81"/>
  <c r="L418" i="81"/>
  <c r="M418" i="81"/>
  <c r="L419" i="81"/>
  <c r="M419" i="81"/>
  <c r="L420" i="81"/>
  <c r="M420" i="81"/>
  <c r="L421" i="81"/>
  <c r="M421" i="81"/>
  <c r="L422" i="81"/>
  <c r="M422" i="81"/>
  <c r="L423" i="81"/>
  <c r="M423" i="81"/>
  <c r="L424" i="81"/>
  <c r="M424" i="81"/>
  <c r="L425" i="81"/>
  <c r="M425" i="81"/>
  <c r="L426" i="81"/>
  <c r="M426" i="81"/>
  <c r="L427" i="81"/>
  <c r="M427" i="81"/>
  <c r="L428" i="81"/>
  <c r="M428" i="81"/>
  <c r="L429" i="81"/>
  <c r="M429" i="81"/>
  <c r="L430" i="81"/>
  <c r="M430" i="81"/>
  <c r="L431" i="81"/>
  <c r="M431" i="81"/>
  <c r="L432" i="81"/>
  <c r="M432" i="81"/>
  <c r="L433" i="81"/>
  <c r="M433" i="81"/>
  <c r="L434" i="81"/>
  <c r="M434" i="81"/>
  <c r="L435" i="81"/>
  <c r="M435" i="81"/>
  <c r="L436" i="81"/>
  <c r="M436" i="81"/>
  <c r="L437" i="81"/>
  <c r="M437" i="81"/>
  <c r="L438" i="81"/>
  <c r="M438" i="81"/>
  <c r="L439" i="81"/>
  <c r="M439" i="81"/>
  <c r="L440" i="81"/>
  <c r="M440" i="81"/>
  <c r="L441" i="81"/>
  <c r="M441" i="81"/>
  <c r="L442" i="81"/>
  <c r="M442" i="81"/>
  <c r="L443" i="81"/>
  <c r="M443" i="81"/>
  <c r="L444" i="81"/>
  <c r="M444" i="81"/>
  <c r="L445" i="81"/>
  <c r="M445" i="81"/>
  <c r="L446" i="81"/>
  <c r="M446" i="81"/>
  <c r="L447" i="81"/>
  <c r="M447" i="81"/>
  <c r="L448" i="81"/>
  <c r="M448" i="81"/>
  <c r="L449" i="81"/>
  <c r="M449" i="81"/>
  <c r="L450" i="81"/>
  <c r="M450" i="81"/>
  <c r="L451" i="81"/>
  <c r="M451" i="81"/>
  <c r="L452" i="81"/>
  <c r="M452" i="81"/>
  <c r="L453" i="81"/>
  <c r="M453" i="81"/>
  <c r="L454" i="81"/>
  <c r="M454" i="81"/>
  <c r="L455" i="81"/>
  <c r="M455" i="81"/>
  <c r="L456" i="81"/>
  <c r="M456" i="81"/>
  <c r="L457" i="81"/>
  <c r="M457" i="81"/>
  <c r="L458" i="81"/>
  <c r="M458" i="81"/>
  <c r="L459" i="81"/>
  <c r="M459" i="81"/>
  <c r="L460" i="81"/>
  <c r="M460" i="81"/>
  <c r="L461" i="81"/>
  <c r="M461" i="81"/>
  <c r="L462" i="81"/>
  <c r="M462" i="81"/>
  <c r="L463" i="81"/>
  <c r="M463" i="81"/>
  <c r="L464" i="81"/>
  <c r="M464" i="81"/>
  <c r="L465" i="81"/>
  <c r="M465" i="81"/>
  <c r="L466" i="81"/>
  <c r="M466" i="81"/>
  <c r="L467" i="81"/>
  <c r="M467" i="81"/>
  <c r="L468" i="81"/>
  <c r="M468" i="81"/>
  <c r="L469" i="81"/>
  <c r="M469" i="81"/>
  <c r="L470" i="81"/>
  <c r="M470" i="81"/>
  <c r="L471" i="81"/>
  <c r="M471" i="81"/>
  <c r="L472" i="81"/>
  <c r="M472" i="81"/>
  <c r="L473" i="81"/>
  <c r="M473" i="81"/>
  <c r="L474" i="81"/>
  <c r="M474" i="81"/>
  <c r="L475" i="81"/>
  <c r="M475" i="81"/>
  <c r="L476" i="81"/>
  <c r="M476" i="81"/>
  <c r="L477" i="81"/>
  <c r="M477" i="81"/>
  <c r="L478" i="81"/>
  <c r="M478" i="81"/>
  <c r="L479" i="81"/>
  <c r="M479" i="81"/>
  <c r="L480" i="81"/>
  <c r="M480" i="81"/>
  <c r="L481" i="81"/>
  <c r="M481" i="81"/>
  <c r="L482" i="81"/>
  <c r="M482" i="81"/>
  <c r="L483" i="81"/>
  <c r="M483" i="81"/>
  <c r="L484" i="81"/>
  <c r="M484" i="81"/>
  <c r="L485" i="81"/>
  <c r="M485" i="81"/>
  <c r="L486" i="81"/>
  <c r="M486" i="81"/>
  <c r="L487" i="81"/>
  <c r="M487" i="81"/>
  <c r="L488" i="81"/>
  <c r="M488" i="81"/>
  <c r="L489" i="81"/>
  <c r="M489" i="81"/>
  <c r="L490" i="81"/>
  <c r="M490" i="81"/>
  <c r="L491" i="81"/>
  <c r="M491" i="81"/>
  <c r="L492" i="81"/>
  <c r="M492" i="81"/>
  <c r="L493" i="81"/>
  <c r="M493" i="81"/>
  <c r="L494" i="81"/>
  <c r="M494" i="81"/>
  <c r="L495" i="81"/>
  <c r="M495" i="81"/>
  <c r="L496" i="81"/>
  <c r="M496" i="81"/>
  <c r="L497" i="81"/>
  <c r="M497" i="81"/>
  <c r="L498" i="81"/>
  <c r="M498" i="81"/>
  <c r="L499" i="81"/>
  <c r="M499" i="81"/>
  <c r="L500" i="81"/>
  <c r="M500" i="81"/>
  <c r="L501" i="81"/>
  <c r="M501" i="81"/>
  <c r="L502" i="81"/>
  <c r="M502" i="81"/>
  <c r="L503" i="81"/>
  <c r="M503" i="81"/>
  <c r="L504" i="81"/>
  <c r="M504" i="81"/>
  <c r="L505" i="81"/>
  <c r="M505" i="81"/>
  <c r="L506" i="81"/>
  <c r="M506" i="81"/>
  <c r="L507" i="81"/>
  <c r="M507" i="81"/>
  <c r="L508" i="81"/>
  <c r="M508" i="81"/>
  <c r="L509" i="81"/>
  <c r="M509" i="81"/>
  <c r="L510" i="81"/>
  <c r="M510" i="81"/>
  <c r="L511" i="81"/>
  <c r="M511" i="81"/>
  <c r="L512" i="81"/>
  <c r="M512" i="81"/>
  <c r="L513" i="81"/>
  <c r="M513" i="81"/>
  <c r="L514" i="81"/>
  <c r="M514" i="81"/>
  <c r="L515" i="81"/>
  <c r="M515" i="81"/>
  <c r="L516" i="81"/>
  <c r="M516" i="81"/>
  <c r="L517" i="81"/>
  <c r="M517" i="81"/>
  <c r="L518" i="81"/>
  <c r="M518" i="81"/>
  <c r="L519" i="81"/>
  <c r="M519" i="81"/>
  <c r="L520" i="81"/>
  <c r="M520" i="81"/>
  <c r="L521" i="81"/>
  <c r="M521" i="81"/>
  <c r="L522" i="81"/>
  <c r="M522" i="81"/>
  <c r="L523" i="81"/>
  <c r="M523" i="81"/>
  <c r="L524" i="81"/>
  <c r="M524" i="81"/>
  <c r="L525" i="81"/>
  <c r="M525" i="81"/>
  <c r="L526" i="81"/>
  <c r="M526" i="81"/>
  <c r="L527" i="81"/>
  <c r="M527" i="81"/>
  <c r="L528" i="81"/>
  <c r="M528" i="81"/>
  <c r="L529" i="81"/>
  <c r="M529" i="81"/>
  <c r="L530" i="81"/>
  <c r="M530" i="81"/>
  <c r="L531" i="81"/>
  <c r="M531" i="81"/>
  <c r="L532" i="81"/>
  <c r="M532" i="81"/>
  <c r="L533" i="81"/>
  <c r="M533" i="81"/>
  <c r="L534" i="81"/>
  <c r="M534" i="81"/>
  <c r="L535" i="81"/>
  <c r="M535" i="81"/>
  <c r="L536" i="81"/>
  <c r="M536" i="81"/>
  <c r="L537" i="81"/>
  <c r="M537" i="81"/>
  <c r="L538" i="81"/>
  <c r="M538" i="81"/>
  <c r="L539" i="81"/>
  <c r="M539" i="81"/>
  <c r="L540" i="81"/>
  <c r="M540" i="81"/>
  <c r="L541" i="81"/>
  <c r="M541" i="81"/>
  <c r="L542" i="81"/>
  <c r="M542" i="81"/>
  <c r="L543" i="81"/>
  <c r="M543" i="81"/>
  <c r="L544" i="81"/>
  <c r="M544" i="81"/>
  <c r="L545" i="81"/>
  <c r="M545" i="81"/>
  <c r="L546" i="81"/>
  <c r="M546" i="81"/>
  <c r="L547" i="81"/>
  <c r="M547" i="81"/>
  <c r="L548" i="81"/>
  <c r="M548" i="81"/>
  <c r="L549" i="81"/>
  <c r="M549" i="81"/>
  <c r="L550" i="81"/>
  <c r="M550" i="81"/>
  <c r="L551" i="81"/>
  <c r="M551" i="81"/>
  <c r="L552" i="81"/>
  <c r="M552" i="81"/>
  <c r="L553" i="81"/>
  <c r="M553" i="81"/>
  <c r="L554" i="81"/>
  <c r="M554" i="81"/>
  <c r="L555" i="81"/>
  <c r="M555" i="81"/>
  <c r="L556" i="81"/>
  <c r="M556" i="81"/>
  <c r="L557" i="81"/>
  <c r="M557" i="81"/>
  <c r="L558" i="81"/>
  <c r="M558" i="81"/>
  <c r="L559" i="81"/>
  <c r="M559" i="81"/>
  <c r="L560" i="81"/>
  <c r="M560" i="81"/>
  <c r="L561" i="81"/>
  <c r="M561" i="81"/>
  <c r="L562" i="81"/>
  <c r="M562" i="81"/>
  <c r="L563" i="81"/>
  <c r="M563" i="81"/>
  <c r="L564" i="81"/>
  <c r="M564" i="81"/>
  <c r="L565" i="81"/>
  <c r="M565" i="81"/>
  <c r="L566" i="81"/>
  <c r="M566" i="81"/>
  <c r="L567" i="81"/>
  <c r="M567" i="81"/>
  <c r="L568" i="81"/>
  <c r="M568" i="81"/>
  <c r="L569" i="81"/>
  <c r="M569" i="81"/>
  <c r="L570" i="81"/>
  <c r="M570" i="81"/>
  <c r="L571" i="81"/>
  <c r="M571" i="81"/>
  <c r="L572" i="81"/>
  <c r="M572" i="81"/>
  <c r="L573" i="81"/>
  <c r="M573" i="81"/>
  <c r="L574" i="81"/>
  <c r="M574" i="81"/>
  <c r="L575" i="81"/>
  <c r="M575" i="81"/>
  <c r="L576" i="81"/>
  <c r="M576" i="81"/>
  <c r="L577" i="81"/>
  <c r="M577" i="81"/>
  <c r="L578" i="81"/>
  <c r="M578" i="81"/>
  <c r="L579" i="81"/>
  <c r="M579" i="81"/>
  <c r="L580" i="81"/>
  <c r="M580" i="81"/>
  <c r="L581" i="81"/>
  <c r="M581" i="81"/>
  <c r="L582" i="81"/>
  <c r="M582" i="81"/>
  <c r="L583" i="81"/>
  <c r="M583" i="81"/>
  <c r="L584" i="81"/>
  <c r="M584" i="81"/>
  <c r="L585" i="81"/>
  <c r="M585" i="81"/>
  <c r="L586" i="81"/>
  <c r="M586" i="81"/>
  <c r="L587" i="81"/>
  <c r="M587" i="81"/>
  <c r="L588" i="81"/>
  <c r="M588" i="81"/>
  <c r="L589" i="81"/>
  <c r="M589" i="81"/>
  <c r="L590" i="81"/>
  <c r="M590" i="81"/>
  <c r="L591" i="81"/>
  <c r="M591" i="81"/>
  <c r="L592" i="81"/>
  <c r="M592" i="81"/>
  <c r="L593" i="81"/>
  <c r="M593" i="81"/>
  <c r="L594" i="81"/>
  <c r="M594" i="81"/>
  <c r="L595" i="81"/>
  <c r="M595" i="81"/>
  <c r="L596" i="81"/>
  <c r="M596" i="81"/>
  <c r="L597" i="81"/>
  <c r="M597" i="81"/>
  <c r="L598" i="81"/>
  <c r="M598" i="81"/>
  <c r="L599" i="81"/>
  <c r="M599" i="81"/>
  <c r="L600" i="81"/>
  <c r="M600" i="81"/>
  <c r="L601" i="81"/>
  <c r="M601" i="81"/>
  <c r="L602" i="81"/>
  <c r="M602" i="81"/>
  <c r="L603" i="81"/>
  <c r="M603" i="81"/>
  <c r="L604" i="81"/>
  <c r="M604" i="81"/>
  <c r="L605" i="81"/>
  <c r="M605" i="81"/>
  <c r="L606" i="81"/>
  <c r="M606" i="81"/>
  <c r="L607" i="81"/>
  <c r="M607" i="81"/>
  <c r="L608" i="81"/>
  <c r="M608" i="81"/>
  <c r="L609" i="81"/>
  <c r="M609" i="81"/>
  <c r="L610" i="81"/>
  <c r="M610" i="81"/>
  <c r="L611" i="81"/>
  <c r="M611" i="81"/>
  <c r="L612" i="81"/>
  <c r="M612" i="81"/>
  <c r="L613" i="81"/>
  <c r="M613" i="81"/>
  <c r="L614" i="81"/>
  <c r="M614" i="81"/>
  <c r="L615" i="81"/>
  <c r="M615" i="81"/>
  <c r="L616" i="81"/>
  <c r="M616" i="81"/>
  <c r="L617" i="81"/>
  <c r="M617" i="81"/>
  <c r="L618" i="81"/>
  <c r="M618" i="81"/>
  <c r="L619" i="81"/>
  <c r="M619" i="81"/>
  <c r="L620" i="81"/>
  <c r="M620" i="81"/>
  <c r="L621" i="81"/>
  <c r="M621" i="81"/>
  <c r="L622" i="81"/>
  <c r="M622" i="81"/>
  <c r="L623" i="81"/>
  <c r="M623" i="81"/>
  <c r="L624" i="81"/>
  <c r="M624" i="81"/>
  <c r="L625" i="81"/>
  <c r="M625" i="81"/>
  <c r="L626" i="81"/>
  <c r="M626" i="81"/>
  <c r="L627" i="81"/>
  <c r="M627" i="81"/>
  <c r="L628" i="81"/>
  <c r="M628" i="81"/>
  <c r="L629" i="81"/>
  <c r="M629" i="81"/>
  <c r="L630" i="81"/>
  <c r="M630" i="81"/>
  <c r="L631" i="81"/>
  <c r="M631" i="81"/>
  <c r="L632" i="81"/>
  <c r="M632" i="81"/>
  <c r="L633" i="81"/>
  <c r="M633" i="81"/>
  <c r="L634" i="81"/>
  <c r="M634" i="81"/>
  <c r="L635" i="81"/>
  <c r="M635" i="81"/>
  <c r="L636" i="81"/>
  <c r="M636" i="81"/>
  <c r="L637" i="81"/>
  <c r="M637" i="81"/>
  <c r="L638" i="81"/>
  <c r="M638" i="81"/>
  <c r="L639" i="81"/>
  <c r="M639" i="81"/>
  <c r="L640" i="81"/>
  <c r="M640" i="81"/>
  <c r="L641" i="81"/>
  <c r="M641" i="81"/>
  <c r="L642" i="81"/>
  <c r="M642" i="81"/>
  <c r="L643" i="81"/>
  <c r="M643" i="81"/>
  <c r="L644" i="81"/>
  <c r="M644" i="81"/>
  <c r="L645" i="81"/>
  <c r="M645" i="81"/>
  <c r="L646" i="81"/>
  <c r="M646" i="81"/>
  <c r="L647" i="81"/>
  <c r="M647" i="81"/>
  <c r="L648" i="81"/>
  <c r="M648" i="81"/>
  <c r="L649" i="81"/>
  <c r="M649" i="81"/>
  <c r="L650" i="81"/>
  <c r="M650" i="81"/>
  <c r="L651" i="81"/>
  <c r="M651" i="81"/>
  <c r="L652" i="81"/>
  <c r="M652" i="81"/>
  <c r="L653" i="81"/>
  <c r="M653" i="81"/>
  <c r="L654" i="81"/>
  <c r="M654" i="81"/>
  <c r="L655" i="81"/>
  <c r="M655" i="81"/>
  <c r="L656" i="81"/>
  <c r="M656" i="81"/>
  <c r="L657" i="81"/>
  <c r="M657" i="81"/>
  <c r="L658" i="81"/>
  <c r="M658" i="81"/>
  <c r="L659" i="81"/>
  <c r="M659" i="81"/>
  <c r="L660" i="81"/>
  <c r="M660" i="81"/>
  <c r="L661" i="81"/>
  <c r="M661" i="81"/>
  <c r="L662" i="81"/>
  <c r="M662" i="81"/>
  <c r="L663" i="81"/>
  <c r="M663" i="81"/>
  <c r="L664" i="81"/>
  <c r="M664" i="81"/>
  <c r="L665" i="81"/>
  <c r="M665" i="81"/>
  <c r="L666" i="81"/>
  <c r="M666" i="81"/>
  <c r="L667" i="81"/>
  <c r="M667" i="81"/>
  <c r="L668" i="81"/>
  <c r="M668" i="81"/>
  <c r="L669" i="81"/>
  <c r="M669" i="81"/>
  <c r="L670" i="81"/>
  <c r="M670" i="81"/>
  <c r="L671" i="81"/>
  <c r="M671" i="81"/>
  <c r="L672" i="81"/>
  <c r="M672" i="81"/>
  <c r="L673" i="81"/>
  <c r="M673" i="81"/>
  <c r="L674" i="81"/>
  <c r="M674" i="81"/>
  <c r="L675" i="81"/>
  <c r="M675" i="81"/>
  <c r="L676" i="81"/>
  <c r="M676" i="81"/>
  <c r="L677" i="81"/>
  <c r="M677" i="81"/>
  <c r="L678" i="81"/>
  <c r="M678" i="81"/>
  <c r="L679" i="81"/>
  <c r="M679" i="81"/>
  <c r="L680" i="81"/>
  <c r="M680" i="81"/>
  <c r="L681" i="81"/>
  <c r="M681" i="81"/>
  <c r="L682" i="81"/>
  <c r="M682" i="81"/>
  <c r="L683" i="81"/>
  <c r="M683" i="81"/>
  <c r="L684" i="81"/>
  <c r="M684" i="81"/>
  <c r="L685" i="81"/>
  <c r="M685" i="81"/>
  <c r="L686" i="81"/>
  <c r="M686" i="81"/>
  <c r="L687" i="81"/>
  <c r="M687" i="81"/>
  <c r="L688" i="81"/>
  <c r="M688" i="81"/>
  <c r="L689" i="81"/>
  <c r="M689" i="81"/>
  <c r="L690" i="81"/>
  <c r="M690" i="81"/>
  <c r="L691" i="81"/>
  <c r="M691" i="81"/>
  <c r="L692" i="81"/>
  <c r="M692" i="81"/>
  <c r="L693" i="81"/>
  <c r="M693" i="81"/>
  <c r="L694" i="81"/>
  <c r="M694" i="81"/>
  <c r="L695" i="81"/>
  <c r="M695" i="81"/>
  <c r="L696" i="81"/>
  <c r="M696" i="81"/>
  <c r="L697" i="81"/>
  <c r="M697" i="81"/>
  <c r="L698" i="81"/>
  <c r="M698" i="81"/>
  <c r="L699" i="81"/>
  <c r="M699" i="81"/>
  <c r="L700" i="81"/>
  <c r="M700" i="81"/>
  <c r="L701" i="81"/>
  <c r="M701" i="81"/>
  <c r="L702" i="81"/>
  <c r="M702" i="81"/>
  <c r="L703" i="81"/>
  <c r="M703" i="81"/>
  <c r="L704" i="81"/>
  <c r="M704" i="81"/>
  <c r="L705" i="81"/>
  <c r="M705" i="81"/>
  <c r="L706" i="81"/>
  <c r="M706" i="81"/>
  <c r="L707" i="81"/>
  <c r="M707" i="81"/>
  <c r="L708" i="81"/>
  <c r="M708" i="81"/>
  <c r="L709" i="81"/>
  <c r="M709" i="81"/>
  <c r="L710" i="81"/>
  <c r="M710" i="81"/>
  <c r="L711" i="81"/>
  <c r="M711" i="81"/>
  <c r="L712" i="81"/>
  <c r="M712" i="81"/>
  <c r="L713" i="81"/>
  <c r="M713" i="81"/>
  <c r="L714" i="81"/>
  <c r="M714" i="81"/>
  <c r="L715" i="81"/>
  <c r="M715" i="81"/>
  <c r="L716" i="81"/>
  <c r="M716" i="81"/>
  <c r="L717" i="81"/>
  <c r="M717" i="81"/>
  <c r="L718" i="81"/>
  <c r="M718" i="81"/>
  <c r="L719" i="81"/>
  <c r="M719" i="81"/>
  <c r="L720" i="81"/>
  <c r="M720" i="81"/>
  <c r="L721" i="81"/>
  <c r="M721" i="81"/>
  <c r="L722" i="81"/>
  <c r="M722" i="81"/>
  <c r="L723" i="81"/>
  <c r="M723" i="81"/>
  <c r="L724" i="81"/>
  <c r="M724" i="81"/>
  <c r="L725" i="81"/>
  <c r="M725" i="81"/>
  <c r="L726" i="81"/>
  <c r="M726" i="81"/>
  <c r="L727" i="81"/>
  <c r="M727" i="81"/>
  <c r="L728" i="81"/>
  <c r="M728" i="81"/>
  <c r="L729" i="81"/>
  <c r="M729" i="81"/>
  <c r="L730" i="81"/>
  <c r="M730" i="81"/>
  <c r="L731" i="81"/>
  <c r="M731" i="81"/>
  <c r="L732" i="81"/>
  <c r="M732" i="81"/>
  <c r="L733" i="81"/>
  <c r="M733" i="81"/>
  <c r="L734" i="81"/>
  <c r="M734" i="81"/>
  <c r="L735" i="81"/>
  <c r="M735" i="81"/>
  <c r="L736" i="81"/>
  <c r="M736" i="81"/>
  <c r="L737" i="81"/>
  <c r="M737" i="81"/>
  <c r="L738" i="81"/>
  <c r="M738" i="81"/>
  <c r="L739" i="81"/>
  <c r="M739" i="81"/>
  <c r="L740" i="81"/>
  <c r="M740" i="81"/>
  <c r="L741" i="81"/>
  <c r="M741" i="81"/>
  <c r="L742" i="81"/>
  <c r="M742" i="81"/>
  <c r="L743" i="81"/>
  <c r="M743" i="81"/>
  <c r="L744" i="81"/>
  <c r="M744" i="81"/>
  <c r="L745" i="81"/>
  <c r="M745" i="81"/>
  <c r="L746" i="81"/>
  <c r="M746" i="81"/>
  <c r="L747" i="81"/>
  <c r="M747" i="81"/>
  <c r="L748" i="81"/>
  <c r="M748" i="81"/>
  <c r="L749" i="81"/>
  <c r="M749" i="81"/>
  <c r="L750" i="81"/>
  <c r="M750" i="81"/>
  <c r="L751" i="81"/>
  <c r="M751" i="81"/>
  <c r="L752" i="81"/>
  <c r="M752" i="81"/>
  <c r="L753" i="81"/>
  <c r="M753" i="81"/>
  <c r="L754" i="81"/>
  <c r="M754" i="81"/>
  <c r="L755" i="81"/>
  <c r="M755" i="81"/>
  <c r="L756" i="81"/>
  <c r="M756" i="81"/>
  <c r="L757" i="81"/>
  <c r="M757" i="81"/>
  <c r="L758" i="81"/>
  <c r="M758" i="81"/>
  <c r="L759" i="81"/>
  <c r="M759" i="81"/>
  <c r="L760" i="81"/>
  <c r="M760" i="81"/>
  <c r="L761" i="81"/>
  <c r="M761" i="81"/>
  <c r="L762" i="81"/>
  <c r="M762" i="81"/>
  <c r="L763" i="81"/>
  <c r="M763" i="81"/>
  <c r="L764" i="81"/>
  <c r="M764" i="81"/>
  <c r="L765" i="81"/>
  <c r="M765" i="81"/>
  <c r="L766" i="81"/>
  <c r="M766" i="81"/>
  <c r="L767" i="81"/>
  <c r="M767" i="81"/>
  <c r="L768" i="81"/>
  <c r="M768" i="81"/>
  <c r="L769" i="81"/>
  <c r="M769" i="81"/>
  <c r="L770" i="81"/>
  <c r="M770" i="81"/>
  <c r="L771" i="81"/>
  <c r="M771" i="81"/>
  <c r="L772" i="81"/>
  <c r="M772" i="81"/>
  <c r="L773" i="81"/>
  <c r="M773" i="81"/>
  <c r="L774" i="81"/>
  <c r="M774" i="81"/>
  <c r="L775" i="81"/>
  <c r="M775" i="81"/>
  <c r="L776" i="81"/>
  <c r="M776" i="81"/>
  <c r="L777" i="81"/>
  <c r="M777" i="81"/>
  <c r="L778" i="81"/>
  <c r="M778" i="81"/>
  <c r="L779" i="81"/>
  <c r="M779" i="81"/>
  <c r="L780" i="81"/>
  <c r="M780" i="81"/>
  <c r="L781" i="81"/>
  <c r="M781" i="81"/>
  <c r="L782" i="81"/>
  <c r="M782" i="81"/>
  <c r="L783" i="81"/>
  <c r="M783" i="81"/>
  <c r="L784" i="81"/>
  <c r="M784" i="81"/>
  <c r="L785" i="81"/>
  <c r="M785" i="81"/>
  <c r="L786" i="81"/>
  <c r="M786" i="81"/>
  <c r="L787" i="81"/>
  <c r="M787" i="81"/>
  <c r="L788" i="81"/>
  <c r="M788" i="81"/>
  <c r="L789" i="81"/>
  <c r="M789" i="81"/>
  <c r="L790" i="81"/>
  <c r="M790" i="81"/>
  <c r="L791" i="81"/>
  <c r="M791" i="81"/>
  <c r="L792" i="81"/>
  <c r="M792" i="81"/>
  <c r="L793" i="81"/>
  <c r="M793" i="81"/>
  <c r="L794" i="81"/>
  <c r="M794" i="81"/>
  <c r="L795" i="81"/>
  <c r="M795" i="81"/>
  <c r="L796" i="81"/>
  <c r="M796" i="81"/>
  <c r="L797" i="81"/>
  <c r="M797" i="81"/>
  <c r="L798" i="81"/>
  <c r="M798" i="81"/>
  <c r="L799" i="81"/>
  <c r="M799" i="81"/>
  <c r="L800" i="81"/>
  <c r="M800" i="81"/>
  <c r="L801" i="81"/>
  <c r="M801" i="81"/>
  <c r="L802" i="81"/>
  <c r="M802" i="81"/>
  <c r="L803" i="81"/>
  <c r="M803" i="81"/>
  <c r="L804" i="81"/>
  <c r="M804" i="81"/>
  <c r="L805" i="81"/>
  <c r="M805" i="81"/>
  <c r="L806" i="81"/>
  <c r="M806" i="81"/>
  <c r="L807" i="81"/>
  <c r="M807" i="81"/>
  <c r="L808" i="81"/>
  <c r="M808" i="81"/>
  <c r="L809" i="81"/>
  <c r="M809" i="81"/>
  <c r="L810" i="81"/>
  <c r="M810" i="81"/>
  <c r="L811" i="81"/>
  <c r="M811" i="81"/>
  <c r="L812" i="81"/>
  <c r="M812" i="81"/>
  <c r="L813" i="81"/>
  <c r="M813" i="81"/>
  <c r="L814" i="81"/>
  <c r="M814" i="81"/>
  <c r="L815" i="81"/>
  <c r="M815" i="81"/>
  <c r="L816" i="81"/>
  <c r="M816" i="81"/>
  <c r="L817" i="81"/>
  <c r="M817" i="81"/>
  <c r="L818" i="81"/>
  <c r="M818" i="81"/>
  <c r="L819" i="81"/>
  <c r="M819" i="81"/>
  <c r="L820" i="81"/>
  <c r="M820" i="81"/>
  <c r="L821" i="81"/>
  <c r="M821" i="81"/>
  <c r="L822" i="81"/>
  <c r="M822" i="81"/>
  <c r="L823" i="81"/>
  <c r="M823" i="81"/>
  <c r="L824" i="81"/>
  <c r="M824" i="81"/>
  <c r="L825" i="81"/>
  <c r="M825" i="81"/>
  <c r="L826" i="81"/>
  <c r="M826" i="81"/>
  <c r="L827" i="81"/>
  <c r="M827" i="81"/>
  <c r="L828" i="81"/>
  <c r="M828" i="81"/>
  <c r="L829" i="81"/>
  <c r="M829" i="81"/>
  <c r="M830" i="81"/>
  <c r="L831" i="81"/>
  <c r="M831" i="81"/>
  <c r="L832" i="81"/>
  <c r="M832" i="81"/>
  <c r="L833" i="81"/>
  <c r="M833" i="81"/>
  <c r="L834" i="81"/>
  <c r="M834" i="81"/>
  <c r="L835" i="81"/>
  <c r="M835" i="81"/>
  <c r="L836" i="81"/>
  <c r="M836" i="81"/>
  <c r="M837" i="81"/>
  <c r="L838" i="81"/>
  <c r="M838" i="81"/>
  <c r="L839" i="81"/>
  <c r="M839" i="81"/>
  <c r="L840" i="81"/>
  <c r="M840" i="81"/>
  <c r="L841" i="81"/>
  <c r="M841" i="81"/>
  <c r="L842" i="81"/>
  <c r="M842" i="81"/>
  <c r="L843" i="81"/>
  <c r="M843" i="81"/>
  <c r="M844" i="81"/>
  <c r="L845" i="81"/>
  <c r="M845" i="81"/>
  <c r="L846" i="81"/>
  <c r="M846" i="81"/>
  <c r="L847" i="81"/>
  <c r="M847" i="81"/>
  <c r="L848" i="81"/>
  <c r="M848" i="81"/>
  <c r="L849" i="81"/>
  <c r="M849" i="81"/>
  <c r="L850" i="81"/>
  <c r="M850" i="81"/>
  <c r="M851" i="81"/>
  <c r="L852" i="81"/>
  <c r="M852" i="81"/>
  <c r="L853" i="81"/>
  <c r="M853" i="81"/>
  <c r="L854" i="81"/>
  <c r="M854" i="81"/>
  <c r="L855" i="81"/>
  <c r="M855" i="81"/>
  <c r="L856" i="81"/>
  <c r="M856" i="81"/>
  <c r="L857" i="81"/>
  <c r="M857" i="81"/>
  <c r="M858" i="81"/>
  <c r="L859" i="81"/>
  <c r="M859" i="81"/>
  <c r="L860" i="81"/>
  <c r="M860" i="81"/>
  <c r="L861" i="81"/>
  <c r="M861" i="81"/>
  <c r="L862" i="81"/>
  <c r="M862" i="81"/>
  <c r="L863" i="81"/>
  <c r="M863" i="81"/>
  <c r="L864" i="81"/>
  <c r="M864" i="81"/>
  <c r="M865" i="81"/>
  <c r="L866" i="81"/>
  <c r="M866" i="81"/>
  <c r="L867" i="81"/>
  <c r="M867" i="81"/>
  <c r="L868" i="81"/>
  <c r="M868" i="81"/>
  <c r="L869" i="81"/>
  <c r="M869" i="81"/>
  <c r="L870" i="81"/>
  <c r="M870" i="81"/>
  <c r="L871" i="81"/>
  <c r="M871" i="81"/>
  <c r="M872" i="81"/>
  <c r="L873" i="81"/>
  <c r="M873" i="81"/>
  <c r="L874" i="81"/>
  <c r="M874" i="81"/>
  <c r="L875" i="81"/>
  <c r="M875" i="81"/>
  <c r="L876" i="81"/>
  <c r="M876" i="81"/>
  <c r="L877" i="81"/>
  <c r="M877" i="81"/>
  <c r="L878" i="81"/>
  <c r="M878" i="81"/>
  <c r="M879" i="81"/>
  <c r="L880" i="81"/>
  <c r="M880" i="81"/>
  <c r="L881" i="81"/>
  <c r="M881" i="81"/>
  <c r="L882" i="81"/>
  <c r="M882" i="81"/>
  <c r="L883" i="81"/>
  <c r="M883" i="81"/>
  <c r="L884" i="81"/>
  <c r="M884" i="81"/>
  <c r="L885" i="81"/>
  <c r="M885" i="81"/>
  <c r="M886" i="81"/>
  <c r="L887" i="81"/>
  <c r="M887" i="81"/>
  <c r="L888" i="81"/>
  <c r="M888" i="81"/>
  <c r="L889" i="81"/>
  <c r="M889" i="81"/>
  <c r="L890" i="81"/>
  <c r="M890" i="81"/>
  <c r="L891" i="81"/>
  <c r="M891" i="81"/>
  <c r="L892" i="81"/>
  <c r="M892" i="81"/>
  <c r="M893" i="81"/>
  <c r="L894" i="81"/>
  <c r="M894" i="81"/>
  <c r="L895" i="81"/>
  <c r="M895" i="81"/>
  <c r="L896" i="81"/>
  <c r="M896" i="81"/>
  <c r="L897" i="81"/>
  <c r="M897" i="81"/>
  <c r="L898" i="81"/>
  <c r="M898" i="81"/>
  <c r="L899" i="81"/>
  <c r="M899" i="81"/>
  <c r="M900" i="81"/>
  <c r="L901" i="81"/>
  <c r="M901" i="81"/>
  <c r="L902" i="81"/>
  <c r="M902" i="81"/>
  <c r="L903" i="81"/>
  <c r="M903" i="81"/>
  <c r="L904" i="81"/>
  <c r="M904" i="81"/>
  <c r="L905" i="81"/>
  <c r="M905" i="81"/>
  <c r="L906" i="81"/>
  <c r="M906" i="81"/>
  <c r="M907" i="81"/>
  <c r="L908" i="81"/>
  <c r="M908" i="81"/>
  <c r="L909" i="81"/>
  <c r="M909" i="81"/>
  <c r="L910" i="81"/>
  <c r="M910" i="81"/>
  <c r="L911" i="81"/>
  <c r="M911" i="81"/>
  <c r="L912" i="81"/>
  <c r="M912" i="81"/>
  <c r="L913" i="81"/>
  <c r="M913" i="81"/>
  <c r="M914" i="81"/>
  <c r="L915" i="81"/>
  <c r="M915" i="81"/>
  <c r="L916" i="81"/>
  <c r="M916" i="81"/>
  <c r="L917" i="81"/>
  <c r="M917" i="81"/>
  <c r="L918" i="81"/>
  <c r="M918" i="81"/>
  <c r="L919" i="81"/>
  <c r="M919" i="81"/>
  <c r="L920" i="81"/>
  <c r="M920" i="81"/>
  <c r="M921" i="81"/>
  <c r="L922" i="81"/>
  <c r="M922" i="81"/>
  <c r="L923" i="81"/>
  <c r="M923" i="81"/>
  <c r="L924" i="81"/>
  <c r="M924" i="81"/>
  <c r="L925" i="81"/>
  <c r="M925" i="81"/>
  <c r="L926" i="81"/>
  <c r="M926" i="81"/>
  <c r="L927" i="81"/>
  <c r="M927" i="81"/>
  <c r="M928" i="81"/>
  <c r="L929" i="81"/>
  <c r="M929" i="81"/>
  <c r="L930" i="81"/>
  <c r="M930" i="81"/>
  <c r="L931" i="81"/>
  <c r="M931" i="81"/>
  <c r="L932" i="81"/>
  <c r="M932" i="81"/>
  <c r="L933" i="81"/>
  <c r="M933" i="81"/>
  <c r="L934" i="81"/>
  <c r="M934" i="81"/>
  <c r="M935" i="81"/>
  <c r="L936" i="81"/>
  <c r="M936" i="81"/>
  <c r="L937" i="81"/>
  <c r="M937" i="81"/>
  <c r="L938" i="81"/>
  <c r="M938" i="81"/>
  <c r="L939" i="81"/>
  <c r="M939" i="81"/>
  <c r="L940" i="81"/>
  <c r="M940" i="81"/>
  <c r="L941" i="81"/>
  <c r="M941" i="81"/>
  <c r="M942" i="81"/>
  <c r="L943" i="81"/>
  <c r="M943" i="81"/>
  <c r="L944" i="81"/>
  <c r="M944" i="81"/>
  <c r="L945" i="81"/>
  <c r="M945" i="81"/>
  <c r="L946" i="81"/>
  <c r="M946" i="81"/>
  <c r="L947" i="81"/>
  <c r="M947" i="81"/>
  <c r="L948" i="81"/>
  <c r="M948" i="81"/>
  <c r="M949" i="81"/>
  <c r="L950" i="81"/>
  <c r="M950" i="81"/>
  <c r="L951" i="81"/>
  <c r="M951" i="81"/>
  <c r="L952" i="81"/>
  <c r="M952" i="81"/>
  <c r="L953" i="81"/>
  <c r="M953" i="81"/>
  <c r="L954" i="81"/>
  <c r="M954" i="81"/>
  <c r="L955" i="81"/>
  <c r="M955" i="81"/>
  <c r="M956" i="81"/>
  <c r="L957" i="81"/>
  <c r="M957" i="81"/>
  <c r="L958" i="81"/>
  <c r="M958" i="81"/>
  <c r="L959" i="81"/>
  <c r="M959" i="81"/>
  <c r="L960" i="81"/>
  <c r="M960" i="81"/>
  <c r="L961" i="81"/>
  <c r="M961" i="81"/>
  <c r="L962" i="81"/>
  <c r="M962" i="81"/>
  <c r="M963" i="81"/>
  <c r="L964" i="81"/>
  <c r="M964" i="81"/>
  <c r="L965" i="81"/>
  <c r="M965" i="81"/>
  <c r="L966" i="81"/>
  <c r="M966" i="81"/>
  <c r="L967" i="81"/>
  <c r="M967" i="81"/>
  <c r="L968" i="81"/>
  <c r="M968" i="81"/>
  <c r="L969" i="81"/>
  <c r="M969" i="81"/>
  <c r="L970" i="81"/>
  <c r="M970" i="81"/>
  <c r="L971" i="81"/>
  <c r="M971" i="81"/>
  <c r="L972" i="81"/>
  <c r="M972" i="81"/>
  <c r="L973" i="81"/>
  <c r="M973" i="81"/>
  <c r="L974" i="81"/>
  <c r="M974" i="81"/>
  <c r="L975" i="81"/>
  <c r="M975" i="81"/>
  <c r="L976" i="81"/>
  <c r="M976" i="81"/>
  <c r="L977" i="81"/>
  <c r="M977" i="81"/>
  <c r="L978" i="81"/>
  <c r="M978" i="81"/>
  <c r="L979" i="81"/>
  <c r="M979" i="81"/>
  <c r="L980" i="81"/>
  <c r="M980" i="81"/>
  <c r="L981" i="81"/>
  <c r="M981" i="81"/>
  <c r="L982" i="81"/>
  <c r="M982" i="81"/>
  <c r="L983" i="81"/>
  <c r="M983" i="81"/>
  <c r="L984" i="81"/>
  <c r="M984" i="81"/>
  <c r="L985" i="81"/>
  <c r="M985" i="81"/>
  <c r="L986" i="81"/>
  <c r="M986" i="81"/>
  <c r="L987" i="81"/>
  <c r="M987" i="81"/>
  <c r="L988" i="81"/>
  <c r="M988" i="81"/>
  <c r="L989" i="81"/>
  <c r="M989" i="81"/>
  <c r="L990" i="81"/>
  <c r="M990" i="81"/>
  <c r="L991" i="81"/>
  <c r="M991" i="81"/>
  <c r="L992" i="81"/>
  <c r="M992" i="81"/>
  <c r="L993" i="81"/>
  <c r="M993" i="81"/>
  <c r="L994" i="81"/>
  <c r="M994" i="81"/>
  <c r="L995" i="81"/>
  <c r="M995" i="81"/>
  <c r="L996" i="81"/>
  <c r="M996" i="81"/>
  <c r="L997" i="81"/>
  <c r="M997" i="81"/>
  <c r="L998" i="81"/>
  <c r="M998" i="81"/>
  <c r="L999" i="81"/>
  <c r="M999" i="81"/>
  <c r="L1000" i="81"/>
  <c r="M1000" i="81"/>
  <c r="L1001" i="81"/>
  <c r="M1001" i="81"/>
  <c r="L1002" i="81"/>
  <c r="M1002" i="81"/>
  <c r="L1003" i="81"/>
  <c r="M1003" i="81"/>
  <c r="L1004" i="81"/>
  <c r="M1004" i="81"/>
  <c r="L1005" i="81"/>
  <c r="M1005" i="81"/>
  <c r="L1006" i="81"/>
  <c r="M1006" i="81"/>
  <c r="L1007" i="81"/>
  <c r="M1007" i="81"/>
  <c r="L1008" i="81"/>
  <c r="M1008" i="81"/>
  <c r="L1009" i="81"/>
  <c r="M1009" i="81"/>
  <c r="L1010" i="81"/>
  <c r="M1010" i="81"/>
  <c r="L1011" i="81"/>
  <c r="M1011" i="81"/>
  <c r="L1012" i="81"/>
  <c r="M1012" i="81"/>
  <c r="L1013" i="81"/>
  <c r="M1013" i="81"/>
  <c r="L1014" i="81"/>
  <c r="M1014" i="81"/>
  <c r="L1015" i="81"/>
  <c r="M1015" i="81"/>
  <c r="L1016" i="81"/>
  <c r="M1016" i="81"/>
  <c r="L1017" i="81"/>
  <c r="M1017" i="81"/>
  <c r="L1018" i="81"/>
  <c r="M1018" i="81"/>
  <c r="L1019" i="81"/>
  <c r="M1019" i="81"/>
  <c r="L1020" i="81"/>
  <c r="M1020" i="81"/>
  <c r="L1021" i="81"/>
  <c r="M1021" i="81"/>
  <c r="L1022" i="81"/>
  <c r="M1022" i="81"/>
  <c r="L1023" i="81"/>
  <c r="M1023" i="81"/>
  <c r="L1024" i="81"/>
  <c r="M1024" i="81"/>
  <c r="L1025" i="81"/>
  <c r="M1025" i="81"/>
  <c r="L1026" i="81"/>
  <c r="M1026" i="81"/>
  <c r="L1027" i="81"/>
  <c r="M1027" i="81"/>
  <c r="L1028" i="81"/>
  <c r="M1028" i="81"/>
  <c r="L1029" i="81"/>
  <c r="M1029" i="81"/>
  <c r="L1030" i="81"/>
  <c r="M1030" i="81"/>
  <c r="L1031" i="81"/>
  <c r="M1031" i="81"/>
  <c r="L1032" i="81"/>
  <c r="M1032" i="81"/>
  <c r="L1033" i="81"/>
  <c r="M1033" i="81"/>
  <c r="L1034" i="81"/>
  <c r="M1034" i="81"/>
  <c r="L1035" i="81"/>
  <c r="M1035" i="81"/>
  <c r="L1036" i="81"/>
  <c r="M1036" i="81"/>
  <c r="L1037" i="81"/>
  <c r="M1037" i="81"/>
  <c r="M4" i="81"/>
  <c r="M940" i="14"/>
  <c r="L940" i="14"/>
  <c r="M933" i="14"/>
  <c r="L933" i="14"/>
  <c r="M926" i="14"/>
  <c r="L926" i="14"/>
  <c r="M919" i="14"/>
  <c r="L919" i="14"/>
  <c r="M912" i="14"/>
  <c r="L912" i="14"/>
  <c r="M905" i="14"/>
  <c r="L905" i="14"/>
  <c r="M898" i="14"/>
  <c r="L898" i="14"/>
  <c r="M891" i="14"/>
  <c r="L891" i="14"/>
  <c r="M884" i="14"/>
  <c r="L884" i="14"/>
  <c r="M877" i="14"/>
  <c r="L877" i="14"/>
  <c r="M870" i="14"/>
  <c r="L870" i="14"/>
  <c r="M863" i="14"/>
  <c r="L863" i="14"/>
  <c r="M856" i="14"/>
  <c r="L856" i="14"/>
  <c r="M849" i="14"/>
  <c r="L849" i="14"/>
  <c r="M842" i="14"/>
  <c r="L842" i="14"/>
  <c r="M835" i="14"/>
  <c r="L835" i="14"/>
  <c r="M828" i="14"/>
  <c r="L828" i="14"/>
  <c r="M821" i="14"/>
  <c r="L821" i="14"/>
  <c r="M814" i="14"/>
  <c r="L814" i="14"/>
  <c r="M807" i="14"/>
  <c r="L807" i="14"/>
  <c r="M800" i="14"/>
  <c r="L800" i="14"/>
  <c r="M793" i="14"/>
  <c r="L793" i="14"/>
  <c r="M786" i="14"/>
  <c r="L786" i="14"/>
  <c r="M779" i="14"/>
  <c r="L779" i="14"/>
  <c r="M772" i="14"/>
  <c r="L772" i="14"/>
  <c r="M765" i="14"/>
  <c r="L765" i="14"/>
  <c r="M758" i="14"/>
  <c r="L758" i="14"/>
  <c r="M751" i="14"/>
  <c r="L751" i="14"/>
  <c r="M744" i="14"/>
  <c r="L744" i="14"/>
  <c r="M737" i="14"/>
  <c r="L737" i="14"/>
  <c r="M730" i="14"/>
  <c r="L730" i="14"/>
  <c r="M723" i="14"/>
  <c r="L723" i="14"/>
  <c r="M716" i="14"/>
  <c r="L716" i="14"/>
  <c r="M709" i="14"/>
  <c r="L709" i="14"/>
  <c r="M702" i="14"/>
  <c r="L702" i="14"/>
  <c r="M695" i="14"/>
  <c r="L695" i="14"/>
  <c r="M688" i="14"/>
  <c r="L688" i="14"/>
  <c r="M681" i="14"/>
  <c r="L681" i="14"/>
  <c r="M674" i="14"/>
  <c r="L674" i="14"/>
  <c r="M667" i="14"/>
  <c r="L667" i="14"/>
  <c r="M660" i="14"/>
  <c r="L660" i="14"/>
  <c r="M653" i="14"/>
  <c r="L653" i="14"/>
  <c r="M646" i="14"/>
  <c r="L646" i="14"/>
  <c r="M639" i="14"/>
  <c r="L639" i="14"/>
  <c r="M632" i="14"/>
  <c r="L632" i="14"/>
  <c r="M625" i="14"/>
  <c r="L625" i="14"/>
  <c r="M618" i="14"/>
  <c r="L618" i="14"/>
  <c r="M611" i="14"/>
  <c r="L611" i="14"/>
  <c r="M604" i="14"/>
  <c r="L604" i="14"/>
  <c r="M597" i="14"/>
  <c r="L597" i="14"/>
  <c r="M590" i="14"/>
  <c r="L590" i="14"/>
  <c r="M583" i="14"/>
  <c r="L583" i="14"/>
  <c r="M576" i="14"/>
  <c r="L576" i="14"/>
  <c r="M569" i="14"/>
  <c r="L569" i="14"/>
  <c r="M562" i="14"/>
  <c r="L562" i="14"/>
  <c r="M555" i="14"/>
  <c r="L555" i="14"/>
  <c r="M548" i="14"/>
  <c r="L548" i="14"/>
  <c r="M541" i="14"/>
  <c r="L541" i="14"/>
  <c r="M534" i="14"/>
  <c r="L534" i="14"/>
  <c r="M527" i="14"/>
  <c r="L527" i="14"/>
  <c r="M520" i="14"/>
  <c r="L520" i="14"/>
  <c r="M513" i="14"/>
  <c r="L513" i="14"/>
  <c r="M506" i="14"/>
  <c r="L506" i="14"/>
  <c r="M499" i="14"/>
  <c r="L499" i="14"/>
  <c r="M492" i="14"/>
  <c r="L492" i="14"/>
  <c r="M485" i="14"/>
  <c r="L485" i="14"/>
  <c r="M478" i="14"/>
  <c r="L478" i="14"/>
  <c r="M471" i="14"/>
  <c r="L471" i="14"/>
  <c r="M464" i="14"/>
  <c r="L464" i="14"/>
  <c r="M457" i="14"/>
  <c r="L457" i="14"/>
  <c r="M450" i="14"/>
  <c r="L450" i="14"/>
  <c r="M443" i="14"/>
  <c r="L443" i="14"/>
  <c r="M436" i="14"/>
  <c r="L436" i="14"/>
  <c r="M429" i="14"/>
  <c r="L429" i="14"/>
  <c r="M422" i="14"/>
  <c r="L422" i="14"/>
  <c r="M415" i="14"/>
  <c r="L415" i="14"/>
  <c r="M408" i="14"/>
  <c r="L408" i="14"/>
  <c r="M401" i="14"/>
  <c r="L401" i="14"/>
  <c r="M394" i="14"/>
  <c r="L394" i="14"/>
  <c r="M387" i="14"/>
  <c r="L387" i="14"/>
  <c r="M380" i="14"/>
  <c r="L380" i="14"/>
  <c r="M373" i="14"/>
  <c r="L373" i="14"/>
  <c r="M366" i="14"/>
  <c r="L366" i="14"/>
  <c r="M359" i="14"/>
  <c r="L359" i="14"/>
  <c r="M352" i="14"/>
  <c r="L352" i="14"/>
  <c r="M345" i="14"/>
  <c r="L345" i="14"/>
  <c r="M338" i="14"/>
  <c r="L338" i="14"/>
  <c r="M331" i="14"/>
  <c r="L331" i="14"/>
  <c r="M324" i="14"/>
  <c r="L324" i="14"/>
  <c r="M317" i="14"/>
  <c r="L317" i="14"/>
  <c r="M310" i="14"/>
  <c r="L310" i="14"/>
  <c r="M303" i="14"/>
  <c r="L303" i="14"/>
  <c r="M296" i="14"/>
  <c r="L296" i="14"/>
  <c r="M289" i="14"/>
  <c r="L289" i="14"/>
  <c r="M282" i="14"/>
  <c r="L282" i="14"/>
  <c r="M275" i="14"/>
  <c r="L275" i="14"/>
  <c r="M268" i="14"/>
  <c r="L268" i="14"/>
  <c r="M261" i="14"/>
  <c r="L261" i="14"/>
  <c r="M254" i="14"/>
  <c r="L254" i="14"/>
  <c r="M247" i="14"/>
  <c r="L247" i="14"/>
  <c r="M240" i="14"/>
  <c r="L240" i="14"/>
  <c r="M233" i="14"/>
  <c r="L233" i="14"/>
  <c r="M226" i="14"/>
  <c r="L226" i="14"/>
  <c r="M219" i="14"/>
  <c r="L219" i="14"/>
  <c r="M212" i="14"/>
  <c r="L212" i="14"/>
  <c r="M205" i="14"/>
  <c r="L205" i="14"/>
  <c r="M198" i="14"/>
  <c r="L198" i="14"/>
  <c r="M191" i="14"/>
  <c r="L191" i="14"/>
  <c r="M184" i="14"/>
  <c r="L184" i="14"/>
  <c r="M177" i="14"/>
  <c r="L177" i="14"/>
  <c r="M170" i="14"/>
  <c r="L170" i="14"/>
  <c r="M163" i="14"/>
  <c r="L163" i="14"/>
  <c r="M156" i="14"/>
  <c r="L156" i="14"/>
  <c r="M149" i="14"/>
  <c r="L149" i="14"/>
  <c r="M142" i="14"/>
  <c r="L142" i="14"/>
  <c r="M135" i="14"/>
  <c r="L135" i="14"/>
  <c r="M128" i="14"/>
  <c r="L128" i="14"/>
  <c r="M121" i="14"/>
  <c r="L121" i="14"/>
  <c r="M114" i="14"/>
  <c r="L114" i="14"/>
  <c r="M107" i="14"/>
  <c r="L107" i="14"/>
  <c r="M100" i="14"/>
  <c r="L100" i="14"/>
  <c r="M93" i="14"/>
  <c r="L93" i="14"/>
  <c r="M86" i="14"/>
  <c r="L86" i="14"/>
  <c r="M79" i="14"/>
  <c r="L79" i="14"/>
  <c r="M72" i="14"/>
  <c r="L72" i="14"/>
  <c r="M65" i="14"/>
  <c r="L65" i="14"/>
  <c r="M58" i="14"/>
  <c r="L58" i="14"/>
  <c r="M51" i="14"/>
  <c r="L51" i="14"/>
  <c r="M44" i="14"/>
  <c r="L44" i="14"/>
  <c r="M37" i="14"/>
  <c r="L37" i="14"/>
  <c r="M30" i="14"/>
  <c r="L30" i="14"/>
  <c r="M23" i="14"/>
  <c r="L23" i="14"/>
  <c r="M16" i="14"/>
  <c r="L16" i="14"/>
  <c r="M9" i="14"/>
  <c r="L9" i="14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1001" i="14"/>
  <c r="K1002" i="14"/>
  <c r="K1003" i="14"/>
  <c r="K1004" i="14"/>
  <c r="K1005" i="14"/>
  <c r="K1006" i="14"/>
  <c r="K1007" i="14"/>
  <c r="K1008" i="14"/>
  <c r="K1009" i="14"/>
  <c r="K1010" i="14"/>
  <c r="K1011" i="14"/>
  <c r="K1012" i="14"/>
  <c r="K1013" i="14"/>
  <c r="K1014" i="14"/>
  <c r="K1015" i="14"/>
  <c r="K1016" i="14"/>
  <c r="K1017" i="14"/>
  <c r="K1018" i="14"/>
  <c r="K1019" i="14"/>
  <c r="K1020" i="14"/>
  <c r="K1021" i="14"/>
  <c r="K1022" i="14"/>
  <c r="K1023" i="14"/>
  <c r="K1024" i="14"/>
  <c r="K1025" i="14"/>
  <c r="K1026" i="14"/>
  <c r="K1027" i="14"/>
  <c r="K1028" i="14"/>
  <c r="K1029" i="14"/>
  <c r="K1030" i="14"/>
  <c r="K1031" i="14"/>
  <c r="K1032" i="14"/>
  <c r="K1033" i="14"/>
  <c r="K1034" i="14"/>
  <c r="K1035" i="14"/>
  <c r="K1036" i="14"/>
  <c r="K1037" i="14"/>
  <c r="K1038" i="14"/>
  <c r="K1039" i="14"/>
  <c r="K1040" i="14"/>
  <c r="K1041" i="14"/>
  <c r="K1042" i="14"/>
  <c r="K1043" i="14"/>
  <c r="K1044" i="14"/>
  <c r="K1045" i="14"/>
  <c r="K1046" i="14"/>
  <c r="K1047" i="14"/>
  <c r="K1048" i="14"/>
  <c r="K1049" i="14"/>
  <c r="K1050" i="14"/>
  <c r="K1051" i="14"/>
  <c r="K1052" i="14"/>
  <c r="K1053" i="14"/>
  <c r="K1054" i="14"/>
  <c r="K1055" i="14"/>
  <c r="K1056" i="14"/>
  <c r="K1057" i="14"/>
  <c r="K1058" i="14"/>
  <c r="K1059" i="14"/>
  <c r="K1060" i="14"/>
  <c r="K1061" i="14"/>
  <c r="K1062" i="14"/>
  <c r="K1063" i="14"/>
  <c r="K1064" i="14"/>
  <c r="K1065" i="14"/>
  <c r="K1066" i="14"/>
  <c r="K1067" i="14"/>
  <c r="K1068" i="14"/>
  <c r="K1069" i="14"/>
  <c r="K1070" i="14"/>
  <c r="K1071" i="14"/>
  <c r="K1072" i="14"/>
  <c r="K1073" i="14"/>
  <c r="K1074" i="14"/>
  <c r="K1075" i="14"/>
  <c r="K1076" i="14"/>
  <c r="K1077" i="14"/>
  <c r="K1078" i="14"/>
  <c r="K1079" i="14"/>
  <c r="K1080" i="14"/>
  <c r="K1081" i="14"/>
  <c r="K1082" i="14"/>
  <c r="K1083" i="14"/>
  <c r="K1084" i="14"/>
  <c r="K1085" i="14"/>
  <c r="K1086" i="14"/>
  <c r="K1087" i="14"/>
  <c r="K1088" i="14"/>
  <c r="K1089" i="14"/>
  <c r="K1090" i="14"/>
  <c r="K1091" i="14"/>
  <c r="K1092" i="14"/>
  <c r="K1093" i="14"/>
  <c r="K1094" i="14"/>
  <c r="K1095" i="14"/>
  <c r="K1096" i="14"/>
  <c r="K1097" i="14"/>
  <c r="K1098" i="14"/>
  <c r="K1099" i="14"/>
  <c r="K1100" i="14"/>
  <c r="K1101" i="14"/>
  <c r="K1102" i="14"/>
  <c r="K1103" i="14"/>
  <c r="K1104" i="14"/>
  <c r="K1105" i="14"/>
  <c r="K1106" i="14"/>
  <c r="K1107" i="14"/>
  <c r="K1108" i="14"/>
  <c r="K1109" i="14"/>
  <c r="K1110" i="14"/>
  <c r="K1111" i="14"/>
  <c r="M2" i="14"/>
  <c r="L2" i="14"/>
  <c r="K2" i="14"/>
</calcChain>
</file>

<file path=xl/sharedStrings.xml><?xml version="1.0" encoding="utf-8"?>
<sst xmlns="http://schemas.openxmlformats.org/spreadsheetml/2006/main" count="7260" uniqueCount="2643">
  <si>
    <t>SUBESTACIONES</t>
  </si>
  <si>
    <t>FECHA</t>
  </si>
  <si>
    <t>OAXACA</t>
  </si>
  <si>
    <t>SAN CRISTOBAL</t>
  </si>
  <si>
    <t>TUXTLA</t>
  </si>
  <si>
    <t>HUATULCO</t>
  </si>
  <si>
    <t>HUAJUAPAN</t>
  </si>
  <si>
    <t>TAPACHULA</t>
  </si>
  <si>
    <t>TEHUANTEPEC</t>
  </si>
  <si>
    <t>VILLAHERMOSA</t>
  </si>
  <si>
    <t>CHONTALPA</t>
  </si>
  <si>
    <t>LOS RIOS</t>
  </si>
  <si>
    <t>EQUIPO</t>
  </si>
  <si>
    <t>AAA</t>
  </si>
  <si>
    <t>ATM</t>
  </si>
  <si>
    <t>CHE</t>
  </si>
  <si>
    <t>CSX</t>
  </si>
  <si>
    <t>CBLNAM</t>
  </si>
  <si>
    <t>P1H00</t>
  </si>
  <si>
    <t>Q1H00</t>
  </si>
  <si>
    <t>P2H00</t>
  </si>
  <si>
    <t>Q2H00</t>
  </si>
  <si>
    <t>P3H00</t>
  </si>
  <si>
    <t>Q3H00</t>
  </si>
  <si>
    <t>P4H00</t>
  </si>
  <si>
    <t>Q4H00</t>
  </si>
  <si>
    <t>P5H00</t>
  </si>
  <si>
    <t>Q5H00</t>
  </si>
  <si>
    <t>P1H01</t>
  </si>
  <si>
    <t>Q1H01</t>
  </si>
  <si>
    <t>P2H01</t>
  </si>
  <si>
    <t>Q2H01</t>
  </si>
  <si>
    <t>P3H01</t>
  </si>
  <si>
    <t>Q3H01</t>
  </si>
  <si>
    <t>P4H01</t>
  </si>
  <si>
    <t>Q4H01</t>
  </si>
  <si>
    <t>P5H01</t>
  </si>
  <si>
    <t>Q5H01</t>
  </si>
  <si>
    <t>P1H02</t>
  </si>
  <si>
    <t>Q1H02</t>
  </si>
  <si>
    <t>P2H02</t>
  </si>
  <si>
    <t>Q2H02</t>
  </si>
  <si>
    <t>P3H02</t>
  </si>
  <si>
    <t>Q3H02</t>
  </si>
  <si>
    <t>P4H02</t>
  </si>
  <si>
    <t>Q4H02</t>
  </si>
  <si>
    <t>P5H02</t>
  </si>
  <si>
    <t>Q5H02</t>
  </si>
  <si>
    <t>P1H03</t>
  </si>
  <si>
    <t>Q1H03</t>
  </si>
  <si>
    <t>P2H03</t>
  </si>
  <si>
    <t>Q2H03</t>
  </si>
  <si>
    <t>P3H03</t>
  </si>
  <si>
    <t>Q3H03</t>
  </si>
  <si>
    <t>P4H03</t>
  </si>
  <si>
    <t>Q4H03</t>
  </si>
  <si>
    <t>P5H03</t>
  </si>
  <si>
    <t>Q5H03</t>
  </si>
  <si>
    <t>P1H04</t>
  </si>
  <si>
    <t>Q1H04</t>
  </si>
  <si>
    <t>P2H04</t>
  </si>
  <si>
    <t>Q2H04</t>
  </si>
  <si>
    <t>P3H04</t>
  </si>
  <si>
    <t>Q3H04</t>
  </si>
  <si>
    <t>P4H04</t>
  </si>
  <si>
    <t>Q4H04</t>
  </si>
  <si>
    <t>P5H04</t>
  </si>
  <si>
    <t>Q5H04</t>
  </si>
  <si>
    <t>P1H05</t>
  </si>
  <si>
    <t>Q1H05</t>
  </si>
  <si>
    <t>P2H05</t>
  </si>
  <si>
    <t>Q2H05</t>
  </si>
  <si>
    <t>P3H05</t>
  </si>
  <si>
    <t>Q3H05</t>
  </si>
  <si>
    <t>P4H05</t>
  </si>
  <si>
    <t>Q4H05</t>
  </si>
  <si>
    <t>P5H05</t>
  </si>
  <si>
    <t>Q5H05</t>
  </si>
  <si>
    <t>P1H06</t>
  </si>
  <si>
    <t>Q1H06</t>
  </si>
  <si>
    <t>P2H06</t>
  </si>
  <si>
    <t>Q2H06</t>
  </si>
  <si>
    <t>P3H06</t>
  </si>
  <si>
    <t>Q3H06</t>
  </si>
  <si>
    <t>P4H06</t>
  </si>
  <si>
    <t>Q4H06</t>
  </si>
  <si>
    <t>P5H06</t>
  </si>
  <si>
    <t>Q5H06</t>
  </si>
  <si>
    <t>P1H07</t>
  </si>
  <si>
    <t>Q1H07</t>
  </si>
  <si>
    <t>P2H07</t>
  </si>
  <si>
    <t>Q2H07</t>
  </si>
  <si>
    <t>P3H07</t>
  </si>
  <si>
    <t>Q3H07</t>
  </si>
  <si>
    <t>P4H07</t>
  </si>
  <si>
    <t>Q4H07</t>
  </si>
  <si>
    <t>P5H07</t>
  </si>
  <si>
    <t>Q5H07</t>
  </si>
  <si>
    <t>P1H08</t>
  </si>
  <si>
    <t>Q1H08</t>
  </si>
  <si>
    <t>P2H08</t>
  </si>
  <si>
    <t>Q2H08</t>
  </si>
  <si>
    <t>P3H08</t>
  </si>
  <si>
    <t>Q3H08</t>
  </si>
  <si>
    <t>P4H08</t>
  </si>
  <si>
    <t>Q4H08</t>
  </si>
  <si>
    <t>P5H08</t>
  </si>
  <si>
    <t>Q5H08</t>
  </si>
  <si>
    <t>P1H09</t>
  </si>
  <si>
    <t>Q1H09</t>
  </si>
  <si>
    <t>P2H09</t>
  </si>
  <si>
    <t>Q2H09</t>
  </si>
  <si>
    <t>P3H09</t>
  </si>
  <si>
    <t>Q3H09</t>
  </si>
  <si>
    <t>P4H09</t>
  </si>
  <si>
    <t>Q4H09</t>
  </si>
  <si>
    <t>P5H09</t>
  </si>
  <si>
    <t>Q5H09</t>
  </si>
  <si>
    <t>P1H10</t>
  </si>
  <si>
    <t>Q1H10</t>
  </si>
  <si>
    <t>P2H10</t>
  </si>
  <si>
    <t>Q2H10</t>
  </si>
  <si>
    <t>P3H10</t>
  </si>
  <si>
    <t>Q3H10</t>
  </si>
  <si>
    <t>P4H10</t>
  </si>
  <si>
    <t>Q4H10</t>
  </si>
  <si>
    <t>P5H10</t>
  </si>
  <si>
    <t>Q5H10</t>
  </si>
  <si>
    <t>P1H11</t>
  </si>
  <si>
    <t>Q1H11</t>
  </si>
  <si>
    <t>P2H11</t>
  </si>
  <si>
    <t>Q2H11</t>
  </si>
  <si>
    <t>P3H11</t>
  </si>
  <si>
    <t>Q3H11</t>
  </si>
  <si>
    <t>P4H11</t>
  </si>
  <si>
    <t>Q4H11</t>
  </si>
  <si>
    <t>P5H11</t>
  </si>
  <si>
    <t>Q5H11</t>
  </si>
  <si>
    <t>P1H12</t>
  </si>
  <si>
    <t>Q1H12</t>
  </si>
  <si>
    <t>P2H12</t>
  </si>
  <si>
    <t>Q2H12</t>
  </si>
  <si>
    <t>P3H12</t>
  </si>
  <si>
    <t>Q3H12</t>
  </si>
  <si>
    <t>P4H12</t>
  </si>
  <si>
    <t>Q4H12</t>
  </si>
  <si>
    <t>P5H12</t>
  </si>
  <si>
    <t>Q5H12</t>
  </si>
  <si>
    <t>P1H13</t>
  </si>
  <si>
    <t>Q1H13</t>
  </si>
  <si>
    <t>P2H13</t>
  </si>
  <si>
    <t>Q2H13</t>
  </si>
  <si>
    <t>P3H13</t>
  </si>
  <si>
    <t>Q3H13</t>
  </si>
  <si>
    <t>P4H13</t>
  </si>
  <si>
    <t>Q4H13</t>
  </si>
  <si>
    <t>P5H13</t>
  </si>
  <si>
    <t>Q5H13</t>
  </si>
  <si>
    <t>P1H14</t>
  </si>
  <si>
    <t>Q1H14</t>
  </si>
  <si>
    <t>P2H14</t>
  </si>
  <si>
    <t>Q2H14</t>
  </si>
  <si>
    <t>P3H14</t>
  </si>
  <si>
    <t>Q3H14</t>
  </si>
  <si>
    <t>P4H14</t>
  </si>
  <si>
    <t>Q4H14</t>
  </si>
  <si>
    <t>P5H14</t>
  </si>
  <si>
    <t>Q5H14</t>
  </si>
  <si>
    <t>P1H15</t>
  </si>
  <si>
    <t>Q1H15</t>
  </si>
  <si>
    <t>P2H15</t>
  </si>
  <si>
    <t>Q2H15</t>
  </si>
  <si>
    <t>P3H15</t>
  </si>
  <si>
    <t>Q3H15</t>
  </si>
  <si>
    <t>P4H15</t>
  </si>
  <si>
    <t>Q4H15</t>
  </si>
  <si>
    <t>P5H15</t>
  </si>
  <si>
    <t>Q5H15</t>
  </si>
  <si>
    <t>P1H16</t>
  </si>
  <si>
    <t>Q1H16</t>
  </si>
  <si>
    <t>P2H16</t>
  </si>
  <si>
    <t>Q2H16</t>
  </si>
  <si>
    <t>P3H16</t>
  </si>
  <si>
    <t>Q3H16</t>
  </si>
  <si>
    <t>P4H16</t>
  </si>
  <si>
    <t>Q4H16</t>
  </si>
  <si>
    <t>P5H16</t>
  </si>
  <si>
    <t>Q5H16</t>
  </si>
  <si>
    <t>P1H17</t>
  </si>
  <si>
    <t>Q1H17</t>
  </si>
  <si>
    <t>P2H17</t>
  </si>
  <si>
    <t>Q2H17</t>
  </si>
  <si>
    <t>P3H17</t>
  </si>
  <si>
    <t>Q3H17</t>
  </si>
  <si>
    <t>P4H17</t>
  </si>
  <si>
    <t>Q4H17</t>
  </si>
  <si>
    <t>P5H17</t>
  </si>
  <si>
    <t>Q5H17</t>
  </si>
  <si>
    <t>P1H18</t>
  </si>
  <si>
    <t>Q1H18</t>
  </si>
  <si>
    <t>P2H18</t>
  </si>
  <si>
    <t>Q2H18</t>
  </si>
  <si>
    <t>P3H18</t>
  </si>
  <si>
    <t>Q3H18</t>
  </si>
  <si>
    <t>P4H18</t>
  </si>
  <si>
    <t>Q4H18</t>
  </si>
  <si>
    <t>P5H18</t>
  </si>
  <si>
    <t>Q5H18</t>
  </si>
  <si>
    <t>P1H19</t>
  </si>
  <si>
    <t>Q1H19</t>
  </si>
  <si>
    <t>P2H19</t>
  </si>
  <si>
    <t>Q2H19</t>
  </si>
  <si>
    <t>P3H19</t>
  </si>
  <si>
    <t>Q3H19</t>
  </si>
  <si>
    <t>P4H19</t>
  </si>
  <si>
    <t>Q4H19</t>
  </si>
  <si>
    <t>P5H19</t>
  </si>
  <si>
    <t>Q5H19</t>
  </si>
  <si>
    <t>P1H20</t>
  </si>
  <si>
    <t>Q1H20</t>
  </si>
  <si>
    <t>P2H20</t>
  </si>
  <si>
    <t>Q2H20</t>
  </si>
  <si>
    <t>P3H20</t>
  </si>
  <si>
    <t>Q3H20</t>
  </si>
  <si>
    <t>P4H20</t>
  </si>
  <si>
    <t>Q4H20</t>
  </si>
  <si>
    <t>P5H20</t>
  </si>
  <si>
    <t>Q5H20</t>
  </si>
  <si>
    <t>P1H21</t>
  </si>
  <si>
    <t>Q1H21</t>
  </si>
  <si>
    <t>P2H21</t>
  </si>
  <si>
    <t>Q2H21</t>
  </si>
  <si>
    <t>P3H21</t>
  </si>
  <si>
    <t>Q3H21</t>
  </si>
  <si>
    <t>P4H21</t>
  </si>
  <si>
    <t>Q4H21</t>
  </si>
  <si>
    <t>P5H21</t>
  </si>
  <si>
    <t>Q5H21</t>
  </si>
  <si>
    <t>P1H22</t>
  </si>
  <si>
    <t>Q1H22</t>
  </si>
  <si>
    <t>P2H22</t>
  </si>
  <si>
    <t>Q2H22</t>
  </si>
  <si>
    <t>P3H22</t>
  </si>
  <si>
    <t>Q3H22</t>
  </si>
  <si>
    <t>P4H22</t>
  </si>
  <si>
    <t>Q4H22</t>
  </si>
  <si>
    <t>P5H22</t>
  </si>
  <si>
    <t>Q5H22</t>
  </si>
  <si>
    <t>P1H23</t>
  </si>
  <si>
    <t>Q1H23</t>
  </si>
  <si>
    <t>P2H23</t>
  </si>
  <si>
    <t>Q2H23</t>
  </si>
  <si>
    <t>P3H23</t>
  </si>
  <si>
    <t>Q3H23</t>
  </si>
  <si>
    <t>P4H23</t>
  </si>
  <si>
    <t>Q4H23</t>
  </si>
  <si>
    <t>P5H23</t>
  </si>
  <si>
    <t>Q5H23</t>
  </si>
  <si>
    <t>SUBOID</t>
  </si>
  <si>
    <t>ESTACION</t>
  </si>
  <si>
    <t>OCO</t>
  </si>
  <si>
    <t>CHI</t>
  </si>
  <si>
    <t>CIL</t>
  </si>
  <si>
    <t>CML</t>
  </si>
  <si>
    <t>CJT</t>
  </si>
  <si>
    <t>FLM</t>
  </si>
  <si>
    <t>FCM</t>
  </si>
  <si>
    <t>MAR</t>
  </si>
  <si>
    <t>MON</t>
  </si>
  <si>
    <t>OXC</t>
  </si>
  <si>
    <t>PAN</t>
  </si>
  <si>
    <t>PHO</t>
  </si>
  <si>
    <t>PTC</t>
  </si>
  <si>
    <t>CRI</t>
  </si>
  <si>
    <t>SCO</t>
  </si>
  <si>
    <t>GRE</t>
  </si>
  <si>
    <t>SCH</t>
  </si>
  <si>
    <t>TEP</t>
  </si>
  <si>
    <t>TNT</t>
  </si>
  <si>
    <t>YAJ</t>
  </si>
  <si>
    <t>BCH</t>
  </si>
  <si>
    <t>CIT</t>
  </si>
  <si>
    <t>COP</t>
  </si>
  <si>
    <t>GIA</t>
  </si>
  <si>
    <t>IPD</t>
  </si>
  <si>
    <t>JUY</t>
  </si>
  <si>
    <t>LGZ</t>
  </si>
  <si>
    <t>LMX</t>
  </si>
  <si>
    <t>MPE</t>
  </si>
  <si>
    <t>OCZ</t>
  </si>
  <si>
    <t>PAR</t>
  </si>
  <si>
    <t>RDB</t>
  </si>
  <si>
    <t>SMJ</t>
  </si>
  <si>
    <t>SOY</t>
  </si>
  <si>
    <t xml:space="preserve">   </t>
  </si>
  <si>
    <t>if(idz == 1){</t>
  </si>
  <si>
    <t>nuevoElemento = document.createElement("option");</t>
  </si>
  <si>
    <t>fechaForm.subestacion.options.add(nuevoElemento);</t>
  </si>
  <si>
    <t>}</t>
  </si>
  <si>
    <t>nuevoElemento.value = "CHI";</t>
  </si>
  <si>
    <t>if(idz == 2){</t>
  </si>
  <si>
    <t>nuevoElemento.value = "COP";</t>
  </si>
  <si>
    <t>if(idz == 3){</t>
  </si>
  <si>
    <t>if(idz == 4){</t>
  </si>
  <si>
    <t>if(idz == 5){</t>
  </si>
  <si>
    <t>if(idz == 6){</t>
  </si>
  <si>
    <t>if(idz == 7){</t>
  </si>
  <si>
    <t>if(idz == 8){</t>
  </si>
  <si>
    <t>if(idz == 9){</t>
  </si>
  <si>
    <t>TGD</t>
  </si>
  <si>
    <t>TXN</t>
  </si>
  <si>
    <t>TXS</t>
  </si>
  <si>
    <t>TGU</t>
  </si>
  <si>
    <t>VFD</t>
  </si>
  <si>
    <t>EJT</t>
  </si>
  <si>
    <t>TLE</t>
  </si>
  <si>
    <t>ETX</t>
  </si>
  <si>
    <t>HTZ</t>
  </si>
  <si>
    <t>IXJ</t>
  </si>
  <si>
    <t>MHT</t>
  </si>
  <si>
    <t>MCN</t>
  </si>
  <si>
    <t>MTX</t>
  </si>
  <si>
    <t>OXD</t>
  </si>
  <si>
    <t>OAP</t>
  </si>
  <si>
    <t>OAX</t>
  </si>
  <si>
    <t>DIV</t>
  </si>
  <si>
    <t>RMC</t>
  </si>
  <si>
    <t>SBC</t>
  </si>
  <si>
    <t>SFO</t>
  </si>
  <si>
    <t>JTL</t>
  </si>
  <si>
    <t>HTP</t>
  </si>
  <si>
    <t>TLL</t>
  </si>
  <si>
    <t>CNJ</t>
  </si>
  <si>
    <t>HCO</t>
  </si>
  <si>
    <t>NJP</t>
  </si>
  <si>
    <t>PIN</t>
  </si>
  <si>
    <t>POC</t>
  </si>
  <si>
    <t>PUE</t>
  </si>
  <si>
    <t>RSO</t>
  </si>
  <si>
    <t>CUX</t>
  </si>
  <si>
    <t>GIS</t>
  </si>
  <si>
    <t>HJP</t>
  </si>
  <si>
    <t>HUJ</t>
  </si>
  <si>
    <t>ITU</t>
  </si>
  <si>
    <t>LJU</t>
  </si>
  <si>
    <t>NCH</t>
  </si>
  <si>
    <t>PGX</t>
  </si>
  <si>
    <t>SSM</t>
  </si>
  <si>
    <t>SMG</t>
  </si>
  <si>
    <t>SMF</t>
  </si>
  <si>
    <t>TMZ</t>
  </si>
  <si>
    <t>TAD</t>
  </si>
  <si>
    <t>TCX</t>
  </si>
  <si>
    <t>TIL</t>
  </si>
  <si>
    <t>TXI</t>
  </si>
  <si>
    <t>YOL</t>
  </si>
  <si>
    <t>YUC</t>
  </si>
  <si>
    <t>AYA</t>
  </si>
  <si>
    <t>ARR</t>
  </si>
  <si>
    <t>BDZ</t>
  </si>
  <si>
    <t>BDD</t>
  </si>
  <si>
    <t>CGO</t>
  </si>
  <si>
    <t>HUX</t>
  </si>
  <si>
    <t>MAP</t>
  </si>
  <si>
    <t>MAZ</t>
  </si>
  <si>
    <t>MTO</t>
  </si>
  <si>
    <t>PJJ</t>
  </si>
  <si>
    <t>PUC</t>
  </si>
  <si>
    <t>PTM</t>
  </si>
  <si>
    <t>RCT</t>
  </si>
  <si>
    <t>TCH</t>
  </si>
  <si>
    <t>TAE</t>
  </si>
  <si>
    <t>TNE</t>
  </si>
  <si>
    <t>TOE</t>
  </si>
  <si>
    <t>TNA</t>
  </si>
  <si>
    <t>IXP</t>
  </si>
  <si>
    <t>JUC</t>
  </si>
  <si>
    <t>MRO</t>
  </si>
  <si>
    <t>SAC</t>
  </si>
  <si>
    <t>STD</t>
  </si>
  <si>
    <t>SRB</t>
  </si>
  <si>
    <t>TNL</t>
  </si>
  <si>
    <t>THT</t>
  </si>
  <si>
    <t>ZNT</t>
  </si>
  <si>
    <t>CIH</t>
  </si>
  <si>
    <t>ETJ</t>
  </si>
  <si>
    <t>FRT</t>
  </si>
  <si>
    <t>LCH</t>
  </si>
  <si>
    <t>MCL</t>
  </si>
  <si>
    <t>PLL</t>
  </si>
  <si>
    <t>PCO</t>
  </si>
  <si>
    <t>PMC</t>
  </si>
  <si>
    <t>RFA</t>
  </si>
  <si>
    <t>SYA</t>
  </si>
  <si>
    <t>TBQ</t>
  </si>
  <si>
    <t>TCT</t>
  </si>
  <si>
    <t>TAT</t>
  </si>
  <si>
    <t>TMM</t>
  </si>
  <si>
    <t>TPJ</t>
  </si>
  <si>
    <t>TPL</t>
  </si>
  <si>
    <t>TTB</t>
  </si>
  <si>
    <t>VHC</t>
  </si>
  <si>
    <t>VID</t>
  </si>
  <si>
    <t>VIP</t>
  </si>
  <si>
    <t>VIU</t>
  </si>
  <si>
    <t>CDD</t>
  </si>
  <si>
    <t>CDN</t>
  </si>
  <si>
    <t>CHT</t>
  </si>
  <si>
    <t>COM</t>
  </si>
  <si>
    <t>CAO</t>
  </si>
  <si>
    <t>DUA</t>
  </si>
  <si>
    <t>HMG</t>
  </si>
  <si>
    <t>JAA</t>
  </si>
  <si>
    <t>MEZ</t>
  </si>
  <si>
    <t>PSO</t>
  </si>
  <si>
    <t>PRQ</t>
  </si>
  <si>
    <t>PED</t>
  </si>
  <si>
    <t>PEA</t>
  </si>
  <si>
    <t>TEC</t>
  </si>
  <si>
    <t>TLN</t>
  </si>
  <si>
    <t>BAL</t>
  </si>
  <si>
    <t>TFO</t>
  </si>
  <si>
    <t>ZOP</t>
  </si>
  <si>
    <t>JON</t>
  </si>
  <si>
    <t>LVA</t>
  </si>
  <si>
    <t>LCJ</t>
  </si>
  <si>
    <t>MCP</t>
  </si>
  <si>
    <t>PLQ</t>
  </si>
  <si>
    <t>TNQ</t>
  </si>
  <si>
    <t>ZPD</t>
  </si>
  <si>
    <t>EZA</t>
  </si>
  <si>
    <t>"Acala";</t>
  </si>
  <si>
    <t>"Altamirano";</t>
  </si>
  <si>
    <t>"Chenalo";</t>
  </si>
  <si>
    <t>"Chicomuselo";</t>
  </si>
  <si>
    <t>"Chilil";</t>
  </si>
  <si>
    <t>"Comalapa";</t>
  </si>
  <si>
    <t>"Comitan";</t>
  </si>
  <si>
    <t>"Flores Magón";</t>
  </si>
  <si>
    <t>"Frontera Comalapa";</t>
  </si>
  <si>
    <t>"Margaritas";</t>
  </si>
  <si>
    <t>"Montebello";</t>
  </si>
  <si>
    <t>"Ocosingo";</t>
  </si>
  <si>
    <t>"Oxchuc";</t>
  </si>
  <si>
    <t>"Panthelo";</t>
  </si>
  <si>
    <t>"Paso Hondo";</t>
  </si>
  <si>
    <t>"Petalcingo";</t>
  </si>
  <si>
    <t>"San Cristóbal";</t>
  </si>
  <si>
    <t>"San Cristóbal Oriente";</t>
  </si>
  <si>
    <t>"San Gregorio";</t>
  </si>
  <si>
    <t>"Shpoina";</t>
  </si>
  <si>
    <t>"Teopisca";</t>
  </si>
  <si>
    <t>"Trinitaria";</t>
  </si>
  <si>
    <t>"Yajalon";</t>
  </si>
  <si>
    <t>"Bochil";</t>
  </si>
  <si>
    <t>"Cintalapa";</t>
  </si>
  <si>
    <t>"Copainala";</t>
  </si>
  <si>
    <t>"Grijalva";</t>
  </si>
  <si>
    <t>"Independencia";</t>
  </si>
  <si>
    <t>"Juy Juy";</t>
  </si>
  <si>
    <t>"La garza";</t>
  </si>
  <si>
    <t>"Liberación Mexicana";</t>
  </si>
  <si>
    <t>"Malpaso Tres";</t>
  </si>
  <si>
    <t>"Ocozocuautla";</t>
  </si>
  <si>
    <t>"Parral";</t>
  </si>
  <si>
    <t>"Real Del Bosque";</t>
  </si>
  <si>
    <t>"Simojovel";</t>
  </si>
  <si>
    <t>"Soyalo";</t>
  </si>
  <si>
    <t>"Tuxtla Dos";</t>
  </si>
  <si>
    <t>"Tuxtla Norte";</t>
  </si>
  <si>
    <t>"Tuxtla Sur";</t>
  </si>
  <si>
    <t>"Tuxtla Uno";</t>
  </si>
  <si>
    <t>"Villa Flores";</t>
  </si>
  <si>
    <t>"Ejutla";</t>
  </si>
  <si>
    <t>"El Tule";</t>
  </si>
  <si>
    <t>"Etla";</t>
  </si>
  <si>
    <t>"Huitzo";</t>
  </si>
  <si>
    <t>"Ixtlán";</t>
  </si>
  <si>
    <t>"Miahuatlan";</t>
  </si>
  <si>
    <t>"Minera Cuzcatlan";</t>
  </si>
  <si>
    <t>"Mitla";</t>
  </si>
  <si>
    <t>"Oaxaca Dos";</t>
  </si>
  <si>
    <t>"Oaxaca Poniente";</t>
  </si>
  <si>
    <t>"Oaxaca Uno";</t>
  </si>
  <si>
    <t>"Oficinas Divisionales";</t>
  </si>
  <si>
    <t>"Reyes Mantecón";</t>
  </si>
  <si>
    <t>"San Bartolo Coyotepec";</t>
  </si>
  <si>
    <t>"San Felipe Oaxaca";</t>
  </si>
  <si>
    <t>"San Jacinto Tlacotepec";</t>
  </si>
  <si>
    <t>"San Pablo Huixtepec";</t>
  </si>
  <si>
    <t>"Tlacolula";</t>
  </si>
  <si>
    <t>"Conejos";</t>
  </si>
  <si>
    <t>"Huatulco";</t>
  </si>
  <si>
    <t>"Nejapa";</t>
  </si>
  <si>
    <t>"Pinotepa";</t>
  </si>
  <si>
    <t>"Pochutla";</t>
  </si>
  <si>
    <t>"Puerto Escondido";</t>
  </si>
  <si>
    <t>"Santa Rosa";</t>
  </si>
  <si>
    <t>"Cuicatlan";</t>
  </si>
  <si>
    <t>"Girasoles";</t>
  </si>
  <si>
    <t>"Huajuapan";</t>
  </si>
  <si>
    <t>"Huautla de Jiménez";</t>
  </si>
  <si>
    <t>"Itundujia";</t>
  </si>
  <si>
    <t>"Las Juntas";</t>
  </si>
  <si>
    <t>"Nochixtlan";</t>
  </si>
  <si>
    <t>"Putla";</t>
  </si>
  <si>
    <t>"San Luis Morelia";</t>
  </si>
  <si>
    <t>"San Miguel el Grande";</t>
  </si>
  <si>
    <t>"San Miguel Santa Flor";</t>
  </si>
  <si>
    <t>"Tamazulapan";</t>
  </si>
  <si>
    <t>"Tamazulapan Dos";</t>
  </si>
  <si>
    <t>"Tecomaxtlahuaca";</t>
  </si>
  <si>
    <t>"Tilapa";</t>
  </si>
  <si>
    <t>"Tlaxiaco";</t>
  </si>
  <si>
    <t>"Yolomecatl";</t>
  </si>
  <si>
    <t>"Yucudaa";</t>
  </si>
  <si>
    <t>"Acacoyahua";</t>
  </si>
  <si>
    <t>"Arriaga";</t>
  </si>
  <si>
    <t>"Belisario Domínguez";</t>
  </si>
  <si>
    <t>"Belisario Dominguez Dos"</t>
  </si>
  <si>
    <t>"Ciudad Hidalgo";</t>
  </si>
  <si>
    <t>"Huixtla";</t>
  </si>
  <si>
    <t>"Mapastepec";</t>
  </si>
  <si>
    <t>"Mazatan";</t>
  </si>
  <si>
    <t>"Motozintla";</t>
  </si>
  <si>
    <t>"Pijijiapan";</t>
  </si>
  <si>
    <t>"Puerto Chiapas";</t>
  </si>
  <si>
    <t>"Puerto Madero";</t>
  </si>
  <si>
    <t>"Río Coatan";</t>
  </si>
  <si>
    <t>"Tapachula";</t>
  </si>
  <si>
    <t>"Tapachula Aeropuerto";</t>
  </si>
  <si>
    <t>"Tapachula Norte";</t>
  </si>
  <si>
    <t>"Tapachula Oriente";</t>
  </si>
  <si>
    <t>"Tonala";</t>
  </si>
  <si>
    <t>"Ixtepec";</t>
  </si>
  <si>
    <t>"Juchitan";</t>
  </si>
  <si>
    <t>"Matias Romero";</t>
  </si>
  <si>
    <t>"Salina Cruz Uno";</t>
  </si>
  <si>
    <t>"Santo Domingo";</t>
  </si>
  <si>
    <t>"Sarabia";</t>
  </si>
  <si>
    <t>"Tecnológico";</t>
  </si>
  <si>
    <t>"Tehuantepec";</t>
  </si>
  <si>
    <t>"Zanatepec";</t>
  </si>
  <si>
    <t>"Cactus Switcheo";</t>
  </si>
  <si>
    <t>"Ciudad Industrial";</t>
  </si>
  <si>
    <t>"Estación Juárez";</t>
  </si>
  <si>
    <t>"Frontera";</t>
  </si>
  <si>
    <t>"La Choca";</t>
  </si>
  <si>
    <t>"Macultepec";</t>
  </si>
  <si>
    <t>"Parrilla";</t>
  </si>
  <si>
    <t>"Pichucalco";</t>
  </si>
  <si>
    <t>"Pomoca";</t>
  </si>
  <si>
    <t>"Reforma";</t>
  </si>
  <si>
    <t>"Saloya";</t>
  </si>
  <si>
    <t>"Tabasquillo";</t>
  </si>
  <si>
    <t>"Tacotalpa";</t>
  </si>
  <si>
    <t>"Tamulte";</t>
  </si>
  <si>
    <t>"Tamulte Maniobras";</t>
  </si>
  <si>
    <t>"Tapijulapa";</t>
  </si>
  <si>
    <t>"Tapilula";</t>
  </si>
  <si>
    <t>"Teapa";</t>
  </si>
  <si>
    <t>"Villahermosa Centro";</t>
  </si>
  <si>
    <t>"Villahermosa Dos";</t>
  </si>
  <si>
    <t>"Villahermosa Poniente";</t>
  </si>
  <si>
    <t>"Villahermosa Uno";</t>
  </si>
  <si>
    <t>"Cardenas Dos";</t>
  </si>
  <si>
    <t>"Cardenas Uno";</t>
  </si>
  <si>
    <t>"Chontalpa";</t>
  </si>
  <si>
    <t>"Comalcalco";</t>
  </si>
  <si>
    <t>"Comalcalco Oriente";</t>
  </si>
  <si>
    <t>"Cunduacan Dos";</t>
  </si>
  <si>
    <t>"Huimanguillo";</t>
  </si>
  <si>
    <t>"Jalpa";</t>
  </si>
  <si>
    <t>"Mezcalapa";</t>
  </si>
  <si>
    <t>"Paraiso";</t>
  </si>
  <si>
    <t>"Parque Industrial";</t>
  </si>
  <si>
    <t>"Peñitas";</t>
  </si>
  <si>
    <t>"Peñitas Generación";</t>
  </si>
  <si>
    <t>"Tecolutilla";</t>
  </si>
  <si>
    <t>"Tulipan";</t>
  </si>
  <si>
    <t>"Balancan";</t>
  </si>
  <si>
    <t>"El triunfo";</t>
  </si>
  <si>
    <t>"El Zopo";</t>
  </si>
  <si>
    <t>"Jonuta";</t>
  </si>
  <si>
    <t>"La curva";</t>
  </si>
  <si>
    <t>"Lacanja";</t>
  </si>
  <si>
    <t>"Macuspana";</t>
  </si>
  <si>
    <t>"Palenque";</t>
  </si>
  <si>
    <t>"Tenosique";</t>
  </si>
  <si>
    <t>"Zapata Dos";</t>
  </si>
  <si>
    <t>"Zapata Poniente";</t>
  </si>
  <si>
    <t>nuevoElemento.value = "ARP";</t>
  </si>
  <si>
    <t>nuevoElemento.text = "AEROPUERTO";</t>
  </si>
  <si>
    <t>nuevoElemento.value = "AGF";</t>
  </si>
  <si>
    <t>nuevoElemento.text = "AGUA FRIA";</t>
  </si>
  <si>
    <t>nuevoElemento.value = "BVI";</t>
  </si>
  <si>
    <t>nuevoElemento.text = "BUENA VISTA";</t>
  </si>
  <si>
    <t>nuevoElemento.value = "CDO";</t>
  </si>
  <si>
    <t>nuevoElemento.text = "CERRO AZUL DOS";</t>
  </si>
  <si>
    <t>nuevoElemento.text = "CHICONTEPEC";</t>
  </si>
  <si>
    <t>nuevoElemento.value = "COI";</t>
  </si>
  <si>
    <t>nuevoElemento.text = "COATZINTLA";</t>
  </si>
  <si>
    <t>nuevoElemento.value = "ETD";</t>
  </si>
  <si>
    <t>nuevoElemento.text = "ENTABLADERO";</t>
  </si>
  <si>
    <t>nuevoElemento.value = "ESF";</t>
  </si>
  <si>
    <t>nuevoElemento.text = "ESFUERZO";</t>
  </si>
  <si>
    <t>nuevoElemento.value = "GZD";</t>
  </si>
  <si>
    <t>nuevoElemento.text = "GUTIERREZ ZAMORA";</t>
  </si>
  <si>
    <t>nuevoElemento.value = "IXH";</t>
  </si>
  <si>
    <t>nuevoElemento.text = "IXHUATLAN";</t>
  </si>
  <si>
    <t>nuevoElemento.value = "LBR";</t>
  </si>
  <si>
    <t>nuevoElemento.text = "LA BARRA";</t>
  </si>
  <si>
    <t>nuevoElemento.value = "PMM";</t>
  </si>
  <si>
    <t>nuevoElemento.text = "PALMAS";</t>
  </si>
  <si>
    <t>nuevoElemento.value = "PPC";</t>
  </si>
  <si>
    <t>nuevoElemento.text = "PANTEPEC";</t>
  </si>
  <si>
    <t>nuevoElemento.value = "PPT";</t>
  </si>
  <si>
    <t>nuevoElemento.text = "PAPANTLA POTENCIA";</t>
  </si>
  <si>
    <t>nuevoElemento.value = "PRT";</t>
  </si>
  <si>
    <t>nuevoElemento.text = "POZA RICA III";</t>
  </si>
  <si>
    <t>nuevoElemento.value = "TAJ";</t>
  </si>
  <si>
    <t>nuevoElemento.text = "TAJIN";</t>
  </si>
  <si>
    <t>nuevoElemento.value = "TPY";</t>
  </si>
  <si>
    <t>nuevoElemento.text = "TEPEYAC";</t>
  </si>
  <si>
    <t>nuevoElemento.value = "THD";</t>
  </si>
  <si>
    <t>nuevoElemento.text = "TIHUATLAN DOS";</t>
  </si>
  <si>
    <t>nuevoElemento.value = "TUD";</t>
  </si>
  <si>
    <t>nuevoElemento.text = "TUXPAN DOS";</t>
  </si>
  <si>
    <t>nuevoElemento.value = "XIP";</t>
  </si>
  <si>
    <t>nuevoElemento.text = "XICOTEPEC";</t>
  </si>
  <si>
    <t>nuevoElemento.value = "AOC";</t>
  </si>
  <si>
    <t>nuevoElemento.text = "ACTOPAN";</t>
  </si>
  <si>
    <t>nuevoElemento.value = "CMT";</t>
  </si>
  <si>
    <t>nuevoElemento.text = "CEMENTOS MOCTEZUMA";</t>
  </si>
  <si>
    <t>nuevoElemento.text = "COATEPEC";</t>
  </si>
  <si>
    <t>nuevoElemento.value = "ELC";</t>
  </si>
  <si>
    <t>nuevoElemento.text = "EL CASTILLO";</t>
  </si>
  <si>
    <t>nuevoElemento.value = "CEO";</t>
  </si>
  <si>
    <t>nuevoElemento.text = "EL CERRO";</t>
  </si>
  <si>
    <t>nuevoElemento.value = "JLD";</t>
  </si>
  <si>
    <t>nuevoElemento.text = "JALAPA DOS";</t>
  </si>
  <si>
    <t>nuevoElemento.value = "RNA";</t>
  </si>
  <si>
    <t>nuevoElemento.text = "LA REINA";</t>
  </si>
  <si>
    <t>nuevoElemento.value = "TRN";</t>
  </si>
  <si>
    <t>nuevoElemento.text = "LAS TRANCAS";</t>
  </si>
  <si>
    <t>nuevoElemento.value = "TTG";</t>
  </si>
  <si>
    <t>nuevoElemento.text = "ALTOTONGA II";</t>
  </si>
  <si>
    <t>nuevoElemento.value = "AXO";</t>
  </si>
  <si>
    <t>nuevoElemento.text = "ATEXCACO";</t>
  </si>
  <si>
    <t>nuevoElemento.value = "ECT";</t>
  </si>
  <si>
    <t>nuevoElemento.text = "EL ENCANTO";</t>
  </si>
  <si>
    <t>nuevoElemento.value = "HYN";</t>
  </si>
  <si>
    <t>nuevoElemento.text = "HUEYAPAN II";</t>
  </si>
  <si>
    <t>nuevoElemento.value = "HMD";</t>
  </si>
  <si>
    <t>nuevoElemento.text = "HUMEROS DOS";</t>
  </si>
  <si>
    <t>nuevoElemento.value = "HMT";</t>
  </si>
  <si>
    <t>nuevoElemento.text = "Humeros Tres";</t>
  </si>
  <si>
    <t>nuevoElemento.value = "JAL";</t>
  </si>
  <si>
    <t>nuevoElemento.text = "JALACINGO";</t>
  </si>
  <si>
    <t>nuevoElemento.value = "LGP";</t>
  </si>
  <si>
    <t>nuevoElemento.text = "LA GUADALUPE";</t>
  </si>
  <si>
    <t>nuevoElemento.value = "MIS";</t>
  </si>
  <si>
    <t>nuevoElemento.text = "LAS MINAS";</t>
  </si>
  <si>
    <t>nuevoElemento.value = "VGS";</t>
  </si>
  <si>
    <t>nuevoElemento.text = "LAS VIGAS II";</t>
  </si>
  <si>
    <t>nuevoElemento.value = "MGS";</t>
  </si>
  <si>
    <t>nuevoElemento.text = "MARGARITAS";</t>
  </si>
  <si>
    <t>nuevoElemento.value = "MDD";</t>
  </si>
  <si>
    <t>nuevoElemento.text = "MARTINEZ II";</t>
  </si>
  <si>
    <t>nuevoElemento.value = "MTT";</t>
  </si>
  <si>
    <t>nuevoElemento.text = "MARTINEZ III";</t>
  </si>
  <si>
    <t>nuevoElemento.value = "MSD";</t>
  </si>
  <si>
    <t>nuevoElemento.text = "MISANTLA II";</t>
  </si>
  <si>
    <t>nuevoElemento.value = "PEE";</t>
  </si>
  <si>
    <t>nuevoElemento.text = "PEROTE II";</t>
  </si>
  <si>
    <t>nuevoElemento.value = "RFD";</t>
  </si>
  <si>
    <t>nuevoElemento.text = "SAN RAFAEL II";</t>
  </si>
  <si>
    <t>nuevoElemento.value = "SNS";</t>
  </si>
  <si>
    <t>nuevoElemento.text = "SANTA SOFIA";</t>
  </si>
  <si>
    <t>nuevoElemento.value = "TZT";</t>
  </si>
  <si>
    <t>nuevoElemento.text = "TEZIUTLAN I";</t>
  </si>
  <si>
    <t>nuevoElemento.value = "TZD";</t>
  </si>
  <si>
    <t>nuevoElemento.text = "TEZIUTLAN II";</t>
  </si>
  <si>
    <t>nuevoElemento.value = "TLY";</t>
  </si>
  <si>
    <t>nuevoElemento.text = "TLAPACOYAN";</t>
  </si>
  <si>
    <t>nuevoElemento.value = "VDA";</t>
  </si>
  <si>
    <t>nuevoElemento.text = "VEGA DE ALATORRE";</t>
  </si>
  <si>
    <t>nuevoElemento.value = "VGA";</t>
  </si>
  <si>
    <t>nuevoElemento.text = "VIGAS";</t>
  </si>
  <si>
    <t>nuevoElemento.value = "ZXP";</t>
  </si>
  <si>
    <t>nuevoElemento.text = "ZACAPOAXTLA";</t>
  </si>
  <si>
    <t>nuevoElemento.value = "AMN";</t>
  </si>
  <si>
    <t>nuevoElemento.text = "ALUMINIO";</t>
  </si>
  <si>
    <t>nuevoElemento.value = "AVD";</t>
  </si>
  <si>
    <t>nuevoElemento.text = "ALVARADO DOS";</t>
  </si>
  <si>
    <t>nuevoElemento.value = "BDR";</t>
  </si>
  <si>
    <t>nuevoElemento.text = "BOCA DEL RIO";</t>
  </si>
  <si>
    <t>nuevoElemento.value = "BRS";</t>
  </si>
  <si>
    <t>nuevoElemento.text = "BRISAS";</t>
  </si>
  <si>
    <t>nuevoElemento.value = "CAE";</t>
  </si>
  <si>
    <t>nuevoElemento.text = "CARDEL";</t>
  </si>
  <si>
    <t>nuevoElemento.value = "GYB";</t>
  </si>
  <si>
    <t>nuevoElemento.text = "EL GUAYABO";</t>
  </si>
  <si>
    <t>nuevoElemento.value = "FRY";</t>
  </si>
  <si>
    <t>nuevoElemento.text = "FRAMBOYANES";</t>
  </si>
  <si>
    <t>nuevoElemento.value = "IFN";</t>
  </si>
  <si>
    <t>nuevoElemento.text = "INFONAVIT";</t>
  </si>
  <si>
    <t>nuevoElemento.value = "JBL";</t>
  </si>
  <si>
    <t>nuevoElemento.text = "JB.LOBOS";</t>
  </si>
  <si>
    <t>nuevoElemento.value = "MCB";</t>
  </si>
  <si>
    <t>nuevoElemento.text = "MOCAMBO";</t>
  </si>
  <si>
    <t>nuevoElemento.value = "PAG";</t>
  </si>
  <si>
    <t>nuevoElemento.text = "PAGES";</t>
  </si>
  <si>
    <t>nuevoElemento.value = "PDT";</t>
  </si>
  <si>
    <t>nuevoElemento.text = "PASO DEL TORO";</t>
  </si>
  <si>
    <t>nuevoElemento.value = "PNS";</t>
  </si>
  <si>
    <t>nuevoElemento.text = "PIEDRAS NEGRAS";</t>
  </si>
  <si>
    <t>nuevoElemento.value = "PYN";</t>
  </si>
  <si>
    <t>nuevoElemento.text = "PLAYA NORTE";</t>
  </si>
  <si>
    <t>nuevoElemento.value = "PLI";</t>
  </si>
  <si>
    <t>nuevoElemento.text = "PUNTA LIMON";</t>
  </si>
  <si>
    <t>nuevoElemento.value = "SCF";</t>
  </si>
  <si>
    <t>nuevoElemento.text = "SACRIFICIOS";</t>
  </si>
  <si>
    <t>nuevoElemento.value = "SNL";</t>
  </si>
  <si>
    <t>nuevoElemento.text = "SAN LUIS";</t>
  </si>
  <si>
    <t>nuevoElemento.value = "SNF";</t>
  </si>
  <si>
    <t>nuevoElemento.text = "SANTA FE";</t>
  </si>
  <si>
    <t>nuevoElemento.value = "SOD";</t>
  </si>
  <si>
    <t>nuevoElemento.text = "SOLEDAD";</t>
  </si>
  <si>
    <t>nuevoElemento.value = "TDD";</t>
  </si>
  <si>
    <t>nuevoElemento.text = "TAMARINDO";</t>
  </si>
  <si>
    <t>nuevoElemento.value = "TJR";</t>
  </si>
  <si>
    <t>nuevoElemento.text = "TEJAR";</t>
  </si>
  <si>
    <t>nuevoElemento.value = "VRU";</t>
  </si>
  <si>
    <t>nuevoElemento.text = "VERACRUZ I";</t>
  </si>
  <si>
    <t>nuevoElemento.value = "BJU";</t>
  </si>
  <si>
    <t>nuevoElemento.text = "BENITO JUAREZ";</t>
  </si>
  <si>
    <t>nuevoElemento.value = "CAC";</t>
  </si>
  <si>
    <t>nuevoElemento.text = "CARLOS A. CARRILLO";</t>
  </si>
  <si>
    <t>nuevoElemento.value = "CSL";</t>
  </si>
  <si>
    <t>nuevoElemento.text = "COSOLAPA";</t>
  </si>
  <si>
    <t>nuevoElemento.value = "JIC";</t>
  </si>
  <si>
    <t>nuevoElemento.text = "EL JICARO";</t>
  </si>
  <si>
    <t>nuevoElemento.value = "GBA";</t>
  </si>
  <si>
    <t>nuevoElemento.text = "GABINO BARREDA";</t>
  </si>
  <si>
    <t>nuevoElemento.value = "GRT";</t>
  </si>
  <si>
    <t>nuevoElemento.text = "GRANJA TRES";</t>
  </si>
  <si>
    <t>nuevoElemento.value = "TVS";</t>
  </si>
  <si>
    <t>nuevoElemento.text = "INGENIO TRES VALLES";</t>
  </si>
  <si>
    <t>nuevoElemento.value = "ISL";</t>
  </si>
  <si>
    <t>nuevoElemento.text = "ISLA";</t>
  </si>
  <si>
    <t>nuevoElemento.value = "JDD";</t>
  </si>
  <si>
    <t>nuevoElemento.text = "JALAPA DE DIAZ";</t>
  </si>
  <si>
    <t>nuevoElemento.value = "LBD";</t>
  </si>
  <si>
    <t>nuevoElemento.text = "LOMA BONITA DOS";</t>
  </si>
  <si>
    <t>nuevoElemento.value = "PVC";</t>
  </si>
  <si>
    <t>nuevoElemento.text = "PLAYA VICENTE";</t>
  </si>
  <si>
    <t>nuevoElemento.value = "RDC";</t>
  </si>
  <si>
    <t>nuevoElemento.text = "RODRIGUEZ CLARA";</t>
  </si>
  <si>
    <t>nuevoElemento.value = "TBL";</t>
  </si>
  <si>
    <t>nuevoElemento.text = "TIERRA BLANCA";</t>
  </si>
  <si>
    <t>nuevoElemento.value = "TNJ";</t>
  </si>
  <si>
    <t>nuevoElemento.text = "TINAJA";</t>
  </si>
  <si>
    <t>nuevoElemento.value = "TTA";</t>
  </si>
  <si>
    <t>nuevoElemento.text = "TLACOTALPAN";</t>
  </si>
  <si>
    <t>nuevoElemento.value = "TXD";</t>
  </si>
  <si>
    <t>nuevoElemento.text = "TUXTEPEC DOS";</t>
  </si>
  <si>
    <t>nuevoElemento.value = "TPS";</t>
  </si>
  <si>
    <t>nuevoElemento.text = "TUXTEPEC TRES";</t>
  </si>
  <si>
    <t>nuevoElemento.value = "VAN";</t>
  </si>
  <si>
    <t>nuevoElemento.text = "VALLE NACIONAL";</t>
  </si>
  <si>
    <t>nuevoElemento.value = "VTB";</t>
  </si>
  <si>
    <t>nuevoElemento.text = "VIDRIERA TIERRA BLANCA";</t>
  </si>
  <si>
    <t>nuevoElemento.value = "CTO";</t>
  </si>
  <si>
    <t>nuevoElemento.text = "CATEMACO";</t>
  </si>
  <si>
    <t>nuevoElemento.value = "CHP";</t>
  </si>
  <si>
    <t>nuevoElemento.text = "CHILAPAN";</t>
  </si>
  <si>
    <t>nuevoElemento.value = "HOC";</t>
  </si>
  <si>
    <t>nuevoElemento.text = "HUEYAPAN DE OCAMPO";</t>
  </si>
  <si>
    <t>nuevoElemento.value = "LRD";</t>
  </si>
  <si>
    <t>nuevoElemento.text = "LERDO";</t>
  </si>
  <si>
    <t>nuevoElemento.value = "ADS";</t>
  </si>
  <si>
    <t>nuevoElemento.text = "SAN ANDRES";</t>
  </si>
  <si>
    <t>nuevoElemento.value = "ACY";</t>
  </si>
  <si>
    <t>nuevoElemento.text = "ACAYUCAN";</t>
  </si>
  <si>
    <t>nuevoElemento.value = "ADD";</t>
  </si>
  <si>
    <t>nuevoElemento.text = "AGUA DULCE II";</t>
  </si>
  <si>
    <t>nuevoElemento.value = "CIC";</t>
  </si>
  <si>
    <t>nuevoElemento.text = "CANTICAS";</t>
  </si>
  <si>
    <t>nuevoElemento.value = "CHD";</t>
  </si>
  <si>
    <t>nuevoElemento.text = "CHINAMECA DOS";</t>
  </si>
  <si>
    <t>nuevoElemento.value = "CCP";</t>
  </si>
  <si>
    <t>nuevoElemento.text = "CUICHAPA";</t>
  </si>
  <si>
    <t>nuevoElemento.value = "EMZ";</t>
  </si>
  <si>
    <t>nuevoElemento.text = "EMILIANO ZAPATA";</t>
  </si>
  <si>
    <t>nuevoElemento.value = "IDE";</t>
  </si>
  <si>
    <t>nuevoElemento.text = "IDESA";</t>
  </si>
  <si>
    <t>nuevoElemento.value = "VED";</t>
  </si>
  <si>
    <t>nuevoElemento.text = "LA VENTA DOS";</t>
  </si>
  <si>
    <t>nuevoElemento.value = "LHD";</t>
  </si>
  <si>
    <t>nuevoElemento.text = "LAS CHOAPAS DOS";</t>
  </si>
  <si>
    <t>nuevoElemento.value = "LME";</t>
  </si>
  <si>
    <t>nuevoElemento.text = "LOPEZ MATEOS";</t>
  </si>
  <si>
    <t>nuevoElemento.value = "MAS";</t>
  </si>
  <si>
    <t>nuevoElemento.text = "MATAS";</t>
  </si>
  <si>
    <t>nuevoElemento.value = "MIU";</t>
  </si>
  <si>
    <t>nuevoElemento.text = "MINATITLAN";</t>
  </si>
  <si>
    <t>nuevoElemento.value = "NND";</t>
  </si>
  <si>
    <t>nuevoElemento.text = "NANCHITAL DOS";</t>
  </si>
  <si>
    <t>nuevoElemento.value = "NMO";</t>
  </si>
  <si>
    <t>nuevoElemento.text = "NUEVO MORELOS";</t>
  </si>
  <si>
    <t>nuevoElemento.value = "PJD";</t>
  </si>
  <si>
    <t>nuevoElemento.text = "PAJARITOS II";</t>
  </si>
  <si>
    <t>nuevoElemento.value = "PFR";</t>
  </si>
  <si>
    <t>nuevoElemento.text = "PUERTO FRANCO";</t>
  </si>
  <si>
    <t>nuevoElemento.value = "RMN";</t>
  </si>
  <si>
    <t>nuevoElemento.text = "REFINERIA MINATITLAN";</t>
  </si>
  <si>
    <t>nuevoElemento.value = "RFP";</t>
  </si>
  <si>
    <t>nuevoElemento.text = "REFINERIA PEMEX";</t>
  </si>
  <si>
    <t>nuevoElemento.value = "SNT";</t>
  </si>
  <si>
    <t>nuevoElemento.text = "SANCHEZ TABOADA";</t>
  </si>
  <si>
    <t>nuevoElemento.value = "TEA";</t>
  </si>
  <si>
    <t>nuevoElemento.text = "TEAPA DOS";</t>
  </si>
  <si>
    <t>nuevoElemento.value = "VIS";</t>
  </si>
  <si>
    <t>nuevoElemento.text = "VISTA MAR";</t>
  </si>
  <si>
    <t>nuevoElemento.value = "ECM";</t>
  </si>
  <si>
    <t>nuevoElemento.text = "ESCAMELA";</t>
  </si>
  <si>
    <t>nuevoElemento.value = "FOR";</t>
  </si>
  <si>
    <t>nuevoElemento.text = "FORTIN";</t>
  </si>
  <si>
    <t>nuevoElemento.value = "NGL";</t>
  </si>
  <si>
    <t>nuevoElemento.text = "NOGALES";</t>
  </si>
  <si>
    <t>nuevoElemento.value = "OJP";</t>
  </si>
  <si>
    <t>nuevoElemento.text = "OJO DE AGUA POTENCIA";</t>
  </si>
  <si>
    <t>nuevoElemento.value = "ORI";</t>
  </si>
  <si>
    <t>nuevoElemento.text = "ORIZABA";</t>
  </si>
  <si>
    <t>nuevoElemento.value = "RBO";</t>
  </si>
  <si>
    <t>nuevoElemento.text = "RIO BLANCO";</t>
  </si>
  <si>
    <t>nuevoElemento.value = "PSG";</t>
  </si>
  <si>
    <t>nuevoElemento.text = "STA GERTRUDIS";</t>
  </si>
  <si>
    <t>nuevoElemento.value = "ZGL";</t>
  </si>
  <si>
    <t>nuevoElemento.text = "ZONGOLICA";</t>
  </si>
  <si>
    <t>nuevoElemento.value = "ATD";</t>
  </si>
  <si>
    <t>nuevoElemento.text = "AMATLAN II";</t>
  </si>
  <si>
    <t>nuevoElemento.value = "COR";</t>
  </si>
  <si>
    <t>nuevoElemento.text = "CORDOBA I";</t>
  </si>
  <si>
    <t>nuevoElemento.value = "CBS";</t>
  </si>
  <si>
    <t>nuevoElemento.text = "CORDOBA II";</t>
  </si>
  <si>
    <t>nuevoElemento.value = "CSE";</t>
  </si>
  <si>
    <t>nuevoElemento.text = "COSCOMATEPEC";</t>
  </si>
  <si>
    <t>nuevoElemento.value = "CTH";</t>
  </si>
  <si>
    <t>nuevoElemento.text = "CUITLAHUAC";</t>
  </si>
  <si>
    <t>nuevoElemento.value = "HTU";</t>
  </si>
  <si>
    <t>nuevoElemento.text = "HUATUSCO";</t>
  </si>
  <si>
    <t>nuevoElemento.value = "OME";</t>
  </si>
  <si>
    <t>nuevoElemento.text = "OMEALCA";</t>
  </si>
  <si>
    <t>nuevoElemento.value = "PTD";</t>
  </si>
  <si>
    <t>nuevoElemento.text = "POTRERO";</t>
  </si>
  <si>
    <t>nuevoElemento.value = "ISN";</t>
  </si>
  <si>
    <t>nuevoElemento.text = "SAN NICOLAS";</t>
  </si>
  <si>
    <t>ARP</t>
  </si>
  <si>
    <t>"AEROPUERTO";</t>
  </si>
  <si>
    <t>AGF</t>
  </si>
  <si>
    <t>"AGUA FRIA";</t>
  </si>
  <si>
    <t>BVI</t>
  </si>
  <si>
    <t>"BUENA VISTA";</t>
  </si>
  <si>
    <t>CDO</t>
  </si>
  <si>
    <t>"CERRO AZUL DOS";</t>
  </si>
  <si>
    <t>"CHICONTEPEC";</t>
  </si>
  <si>
    <t>COI</t>
  </si>
  <si>
    <t>"COATZINTLA";</t>
  </si>
  <si>
    <t>ETD</t>
  </si>
  <si>
    <t>"ENTABLADERO";</t>
  </si>
  <si>
    <t>ESF</t>
  </si>
  <si>
    <t>"ESFUERZO";</t>
  </si>
  <si>
    <t>GZD</t>
  </si>
  <si>
    <t>"GUTIERREZ ZAMORA";</t>
  </si>
  <si>
    <t>IXH</t>
  </si>
  <si>
    <t>"IXHUATLAN";</t>
  </si>
  <si>
    <t>LBR</t>
  </si>
  <si>
    <t>"LA BARRA";</t>
  </si>
  <si>
    <t>PMM</t>
  </si>
  <si>
    <t>"PALMAS";</t>
  </si>
  <si>
    <t>PPC</t>
  </si>
  <si>
    <t>"PANTEPEC";</t>
  </si>
  <si>
    <t>PPT</t>
  </si>
  <si>
    <t>"PAPANTLA POTENCIA";</t>
  </si>
  <si>
    <t>PRT</t>
  </si>
  <si>
    <t>"POZA RICA III";</t>
  </si>
  <si>
    <t>TAJ</t>
  </si>
  <si>
    <t>"TAJIN";</t>
  </si>
  <si>
    <t>TPY</t>
  </si>
  <si>
    <t>"TEPEYAC";</t>
  </si>
  <si>
    <t>THD</t>
  </si>
  <si>
    <t>"TIHUATLAN DOS";</t>
  </si>
  <si>
    <t>TUD</t>
  </si>
  <si>
    <t>"TUXPAN DOS";</t>
  </si>
  <si>
    <t>XIP</t>
  </si>
  <si>
    <t>"XICOTEPEC";</t>
  </si>
  <si>
    <t>AOC</t>
  </si>
  <si>
    <t>"ACTOPAN";</t>
  </si>
  <si>
    <t>CMT</t>
  </si>
  <si>
    <t>"CEMENTOS MOCTEZUMA";</t>
  </si>
  <si>
    <t>"COATEPEC";</t>
  </si>
  <si>
    <t>ELC</t>
  </si>
  <si>
    <t>"EL CASTILLO";</t>
  </si>
  <si>
    <t>CEO</t>
  </si>
  <si>
    <t>"EL CERRO";</t>
  </si>
  <si>
    <t>JLD</t>
  </si>
  <si>
    <t>"JALAPA DOS";</t>
  </si>
  <si>
    <t>RNA</t>
  </si>
  <si>
    <t>"LA REINA";</t>
  </si>
  <si>
    <t>TRN</t>
  </si>
  <si>
    <t>"LAS TRANCAS";</t>
  </si>
  <si>
    <t>TTG</t>
  </si>
  <si>
    <t>"ALTOTONGA II";</t>
  </si>
  <si>
    <t>AXO</t>
  </si>
  <si>
    <t>"ATEXCACO";</t>
  </si>
  <si>
    <t>ECT</t>
  </si>
  <si>
    <t>"EL ENCANTO";</t>
  </si>
  <si>
    <t>HYN</t>
  </si>
  <si>
    <t>"HUEYAPAN II";</t>
  </si>
  <si>
    <t>HMD</t>
  </si>
  <si>
    <t>"HUMEROS DOS";</t>
  </si>
  <si>
    <t>HMT</t>
  </si>
  <si>
    <t>"Humeros Tres";</t>
  </si>
  <si>
    <t>JAL</t>
  </si>
  <si>
    <t>"JALACINGO";</t>
  </si>
  <si>
    <t>LGP</t>
  </si>
  <si>
    <t>"LA GUADALUPE";</t>
  </si>
  <si>
    <t>MIS</t>
  </si>
  <si>
    <t>"LAS MINAS";</t>
  </si>
  <si>
    <t>VGS</t>
  </si>
  <si>
    <t>"LAS VIGAS II";</t>
  </si>
  <si>
    <t>MGS</t>
  </si>
  <si>
    <t>"MARGARITAS";</t>
  </si>
  <si>
    <t>MDD</t>
  </si>
  <si>
    <t>"MARTINEZ II";</t>
  </si>
  <si>
    <t>MTT</t>
  </si>
  <si>
    <t>"MARTINEZ III";</t>
  </si>
  <si>
    <t>MSD</t>
  </si>
  <si>
    <t>"MISANTLA II";</t>
  </si>
  <si>
    <t>PEE</t>
  </si>
  <si>
    <t>"PEROTE II";</t>
  </si>
  <si>
    <t>RFD</t>
  </si>
  <si>
    <t>"SAN RAFAEL II";</t>
  </si>
  <si>
    <t>SNS</t>
  </si>
  <si>
    <t>"SANTA SOFIA";</t>
  </si>
  <si>
    <t>TZT</t>
  </si>
  <si>
    <t>"TEZIUTLAN I";</t>
  </si>
  <si>
    <t>TZD</t>
  </si>
  <si>
    <t>"TEZIUTLAN II";</t>
  </si>
  <si>
    <t>TLY</t>
  </si>
  <si>
    <t>"TLAPACOYAN";</t>
  </si>
  <si>
    <t>VDA</t>
  </si>
  <si>
    <t>"VEGA DE ALATORRE";</t>
  </si>
  <si>
    <t>VGA</t>
  </si>
  <si>
    <t>"VIGAS";</t>
  </si>
  <si>
    <t>ZXP</t>
  </si>
  <si>
    <t>"ZACAPOAXTLA";</t>
  </si>
  <si>
    <t>AMN</t>
  </si>
  <si>
    <t>"ALUMINIO";</t>
  </si>
  <si>
    <t>AVD</t>
  </si>
  <si>
    <t>"ALVARADO DOS";</t>
  </si>
  <si>
    <t>BDR</t>
  </si>
  <si>
    <t>"BOCA DEL RIO";</t>
  </si>
  <si>
    <t>BRS</t>
  </si>
  <si>
    <t>"BRISAS";</t>
  </si>
  <si>
    <t>CAE</t>
  </si>
  <si>
    <t>"CARDEL";</t>
  </si>
  <si>
    <t>GYB</t>
  </si>
  <si>
    <t>"EL GUAYABO";</t>
  </si>
  <si>
    <t>FRY</t>
  </si>
  <si>
    <t>"FRAMBOYANES";</t>
  </si>
  <si>
    <t>IFN</t>
  </si>
  <si>
    <t>"INFONAVIT";</t>
  </si>
  <si>
    <t>JBL</t>
  </si>
  <si>
    <t>"JB.LOBOS";</t>
  </si>
  <si>
    <t>MCB</t>
  </si>
  <si>
    <t>"MOCAMBO";</t>
  </si>
  <si>
    <t>PAG</t>
  </si>
  <si>
    <t>"PAGES";</t>
  </si>
  <si>
    <t>PDT</t>
  </si>
  <si>
    <t>"PASO DEL TORO";</t>
  </si>
  <si>
    <t>PNS</t>
  </si>
  <si>
    <t>"PIEDRAS NEGRAS";</t>
  </si>
  <si>
    <t>PYN</t>
  </si>
  <si>
    <t>"PLAYA NORTE";</t>
  </si>
  <si>
    <t>PLI</t>
  </si>
  <si>
    <t>"PUNTA LIMON";</t>
  </si>
  <si>
    <t>SCF</t>
  </si>
  <si>
    <t>"SACRIFICIOS";</t>
  </si>
  <si>
    <t>SNL</t>
  </si>
  <si>
    <t>"SAN LUIS";</t>
  </si>
  <si>
    <t>SNF</t>
  </si>
  <si>
    <t>"SANTA FE";</t>
  </si>
  <si>
    <t>SOD</t>
  </si>
  <si>
    <t>"SOLEDAD";</t>
  </si>
  <si>
    <t>TDD</t>
  </si>
  <si>
    <t>"TAMARINDO";</t>
  </si>
  <si>
    <t>TJR</t>
  </si>
  <si>
    <t>"TEJAR";</t>
  </si>
  <si>
    <t>VRU</t>
  </si>
  <si>
    <t>"VERACRUZ I";</t>
  </si>
  <si>
    <t>BJU</t>
  </si>
  <si>
    <t>"BENITO JUAREZ";</t>
  </si>
  <si>
    <t>CAC</t>
  </si>
  <si>
    <t>"CARLOS A. CARRILLO";</t>
  </si>
  <si>
    <t>CSL</t>
  </si>
  <si>
    <t>"COSOLAPA";</t>
  </si>
  <si>
    <t>JIC</t>
  </si>
  <si>
    <t>"EL JICARO";</t>
  </si>
  <si>
    <t>GBA</t>
  </si>
  <si>
    <t>"GABINO BARREDA";</t>
  </si>
  <si>
    <t>GRT</t>
  </si>
  <si>
    <t>"GRANJA TRES";</t>
  </si>
  <si>
    <t>TVS</t>
  </si>
  <si>
    <t>"INGENIO TRES VALLES";</t>
  </si>
  <si>
    <t>ISL</t>
  </si>
  <si>
    <t>"ISLA";</t>
  </si>
  <si>
    <t>JDD</t>
  </si>
  <si>
    <t>"JALAPA DE DIAZ";</t>
  </si>
  <si>
    <t>LBD</t>
  </si>
  <si>
    <t>"LOMA BONITA DOS";</t>
  </si>
  <si>
    <t>PVC</t>
  </si>
  <si>
    <t>"PLAYA VICENTE";</t>
  </si>
  <si>
    <t>RDC</t>
  </si>
  <si>
    <t>"RODRIGUEZ CLARA";</t>
  </si>
  <si>
    <t>TBL</t>
  </si>
  <si>
    <t>"TIERRA BLANCA";</t>
  </si>
  <si>
    <t>TNJ</t>
  </si>
  <si>
    <t>"TINAJA";</t>
  </si>
  <si>
    <t>TTA</t>
  </si>
  <si>
    <t>"TLACOTALPAN";</t>
  </si>
  <si>
    <t>TXD</t>
  </si>
  <si>
    <t>"TUXTEPEC DOS";</t>
  </si>
  <si>
    <t>TPS</t>
  </si>
  <si>
    <t>"TUXTEPEC TRES";</t>
  </si>
  <si>
    <t>VAN</t>
  </si>
  <si>
    <t>"VALLE NACIONAL";</t>
  </si>
  <si>
    <t>VTB</t>
  </si>
  <si>
    <t>"VIDRIERA TIERRA BLANCA";</t>
  </si>
  <si>
    <t>CTO</t>
  </si>
  <si>
    <t>"CATEMACO";</t>
  </si>
  <si>
    <t>CHP</t>
  </si>
  <si>
    <t>"CHILAPAN";</t>
  </si>
  <si>
    <t>HOC</t>
  </si>
  <si>
    <t>"HUEYAPAN DE OCAMPO";</t>
  </si>
  <si>
    <t>LRD</t>
  </si>
  <si>
    <t>"LERDO";</t>
  </si>
  <si>
    <t>ADS</t>
  </si>
  <si>
    <t>"SAN ANDRES";</t>
  </si>
  <si>
    <t>ACY</t>
  </si>
  <si>
    <t>"ACAYUCAN";</t>
  </si>
  <si>
    <t>ADD</t>
  </si>
  <si>
    <t>"AGUA DULCE II";</t>
  </si>
  <si>
    <t>CIC</t>
  </si>
  <si>
    <t>"CANTICAS";</t>
  </si>
  <si>
    <t>CHD</t>
  </si>
  <si>
    <t>"CHINAMECA DOS";</t>
  </si>
  <si>
    <t>CCP</t>
  </si>
  <si>
    <t>"CUICHAPA";</t>
  </si>
  <si>
    <t>EMZ</t>
  </si>
  <si>
    <t>"EMILIANO ZAPATA";</t>
  </si>
  <si>
    <t>IDE</t>
  </si>
  <si>
    <t>"IDESA";</t>
  </si>
  <si>
    <t>VED</t>
  </si>
  <si>
    <t>"LA VENTA DOS";</t>
  </si>
  <si>
    <t>LHD</t>
  </si>
  <si>
    <t>"LAS CHOAPAS DOS";</t>
  </si>
  <si>
    <t>LME</t>
  </si>
  <si>
    <t>"LOPEZ MATEOS";</t>
  </si>
  <si>
    <t>MAS</t>
  </si>
  <si>
    <t>"MATAS";</t>
  </si>
  <si>
    <t>MIU</t>
  </si>
  <si>
    <t>"MINATITLAN";</t>
  </si>
  <si>
    <t>NND</t>
  </si>
  <si>
    <t>"NANCHITAL DOS";</t>
  </si>
  <si>
    <t>NMO</t>
  </si>
  <si>
    <t>"NUEVO MORELOS";</t>
  </si>
  <si>
    <t>PJD</t>
  </si>
  <si>
    <t>"PAJARITOS II";</t>
  </si>
  <si>
    <t>PFR</t>
  </si>
  <si>
    <t>"PUERTO FRANCO";</t>
  </si>
  <si>
    <t>RMN</t>
  </si>
  <si>
    <t>"REFINERIA MINATITLAN";</t>
  </si>
  <si>
    <t>RFP</t>
  </si>
  <si>
    <t>"REFINERIA PEMEX";</t>
  </si>
  <si>
    <t>SNT</t>
  </si>
  <si>
    <t>"SANCHEZ TABOADA";</t>
  </si>
  <si>
    <t>TEA</t>
  </si>
  <si>
    <t>"TEAPA DOS";</t>
  </si>
  <si>
    <t>VIS</t>
  </si>
  <si>
    <t>"VISTA MAR";</t>
  </si>
  <si>
    <t>ECM</t>
  </si>
  <si>
    <t>"ESCAMELA";</t>
  </si>
  <si>
    <t>FOR</t>
  </si>
  <si>
    <t>"FORTIN";</t>
  </si>
  <si>
    <t>NGL</t>
  </si>
  <si>
    <t>"NOGALES";</t>
  </si>
  <si>
    <t>OJP</t>
  </si>
  <si>
    <t>"OJO DE AGUA POTENCIA";</t>
  </si>
  <si>
    <t>ORI</t>
  </si>
  <si>
    <t>"ORIZABA";</t>
  </si>
  <si>
    <t>RBO</t>
  </si>
  <si>
    <t>"RIO BLANCO";</t>
  </si>
  <si>
    <t>PSG</t>
  </si>
  <si>
    <t>"STA GERTRUDIS";</t>
  </si>
  <si>
    <t>ZGL</t>
  </si>
  <si>
    <t>"ZONGOLICA";</t>
  </si>
  <si>
    <t>ATD</t>
  </si>
  <si>
    <t>"AMATLAN II";</t>
  </si>
  <si>
    <t>COR</t>
  </si>
  <si>
    <t>"CORDOBA I";</t>
  </si>
  <si>
    <t>CBS</t>
  </si>
  <si>
    <t>"CORDOBA II";</t>
  </si>
  <si>
    <t>CSE</t>
  </si>
  <si>
    <t>"COSCOMATEPEC";</t>
  </si>
  <si>
    <t>CTH</t>
  </si>
  <si>
    <t>"CUITLAHUAC";</t>
  </si>
  <si>
    <t>HTU</t>
  </si>
  <si>
    <t>"HUATUSCO";</t>
  </si>
  <si>
    <t>OME</t>
  </si>
  <si>
    <t>"OMEALCA";</t>
  </si>
  <si>
    <t>PTD</t>
  </si>
  <si>
    <t>"POTRERO";</t>
  </si>
  <si>
    <t>ISN</t>
  </si>
  <si>
    <t>"SAN NICOLAS";</t>
  </si>
  <si>
    <t>AZY</t>
  </si>
  <si>
    <t>API</t>
  </si>
  <si>
    <t>ATZ</t>
  </si>
  <si>
    <t>CPL</t>
  </si>
  <si>
    <t>CHH</t>
  </si>
  <si>
    <t>CNU</t>
  </si>
  <si>
    <t>CTM</t>
  </si>
  <si>
    <t>HUA</t>
  </si>
  <si>
    <t>PNA</t>
  </si>
  <si>
    <t>PPL</t>
  </si>
  <si>
    <t>ANC</t>
  </si>
  <si>
    <t>STN</t>
  </si>
  <si>
    <t>XIT</t>
  </si>
  <si>
    <t>CPA</t>
  </si>
  <si>
    <t>THN</t>
  </si>
  <si>
    <t>TTP</t>
  </si>
  <si>
    <t>ZIP</t>
  </si>
  <si>
    <t>ACA</t>
  </si>
  <si>
    <t>AEN</t>
  </si>
  <si>
    <t>ATC</t>
  </si>
  <si>
    <t>IZM</t>
  </si>
  <si>
    <t>IZD</t>
  </si>
  <si>
    <t>LPA</t>
  </si>
  <si>
    <t>MEC</t>
  </si>
  <si>
    <t>MOA</t>
  </si>
  <si>
    <t>HJO</t>
  </si>
  <si>
    <t>ACZ</t>
  </si>
  <si>
    <t>ERZ</t>
  </si>
  <si>
    <t>LIB</t>
  </si>
  <si>
    <t>PLB</t>
  </si>
  <si>
    <t>TML</t>
  </si>
  <si>
    <t>TLD</t>
  </si>
  <si>
    <t>TPE</t>
  </si>
  <si>
    <t>LML</t>
  </si>
  <si>
    <t>AUN</t>
  </si>
  <si>
    <t>AXT</t>
  </si>
  <si>
    <t>ECN</t>
  </si>
  <si>
    <t>EXE</t>
  </si>
  <si>
    <t>NOR</t>
  </si>
  <si>
    <t>PON</t>
  </si>
  <si>
    <t>PSF</t>
  </si>
  <si>
    <t>PBU</t>
  </si>
  <si>
    <t>RSN</t>
  </si>
  <si>
    <t>LRZ</t>
  </si>
  <si>
    <t>TNZ</t>
  </si>
  <si>
    <t>AGA</t>
  </si>
  <si>
    <t>AMZ</t>
  </si>
  <si>
    <t>BOE</t>
  </si>
  <si>
    <t>BGB</t>
  </si>
  <si>
    <t>CIY</t>
  </si>
  <si>
    <t>FUE</t>
  </si>
  <si>
    <t>GAN</t>
  </si>
  <si>
    <t>INT</t>
  </si>
  <si>
    <t>LRG</t>
  </si>
  <si>
    <t>ORT</t>
  </si>
  <si>
    <t>PDM</t>
  </si>
  <si>
    <t>VSE</t>
  </si>
  <si>
    <t>AAN</t>
  </si>
  <si>
    <t>ANL</t>
  </si>
  <si>
    <t>DCA</t>
  </si>
  <si>
    <t>PAC</t>
  </si>
  <si>
    <t>PIR</t>
  </si>
  <si>
    <t>CRM</t>
  </si>
  <si>
    <t>TLG</t>
  </si>
  <si>
    <t>VTU</t>
  </si>
  <si>
    <t>JUA</t>
  </si>
  <si>
    <t>STU</t>
  </si>
  <si>
    <t>VIT</t>
  </si>
  <si>
    <t>"ALTZAYANCA";</t>
  </si>
  <si>
    <t>"APIZACO";</t>
  </si>
  <si>
    <t>"ATLIHUETZIA";</t>
  </si>
  <si>
    <t>"CALPULALPAN";</t>
  </si>
  <si>
    <t>"CHIGNAHUAPAN";</t>
  </si>
  <si>
    <t>"CONTLA";</t>
  </si>
  <si>
    <t>"CUAUHTEMOC";</t>
  </si>
  <si>
    <t>"HUAMANTLA  II";</t>
  </si>
  <si>
    <t>"PANOTLA";</t>
  </si>
  <si>
    <t>"PAPALOTLA  II";</t>
  </si>
  <si>
    <t>"SANTA ANA CHIAUHTEMPAN";</t>
  </si>
  <si>
    <t>"SANTA ANITA";</t>
  </si>
  <si>
    <t>"XICOHTENCATL";</t>
  </si>
  <si>
    <t>"COAPAN";</t>
  </si>
  <si>
    <t>"TEHUACAN";</t>
  </si>
  <si>
    <t>"TLACOTEPEC";</t>
  </si>
  <si>
    <t>"ZINACATEPEC";</t>
  </si>
  <si>
    <t>"ACATLAN";</t>
  </si>
  <si>
    <t>"ATENCINGO";</t>
  </si>
  <si>
    <t>"ATLIXCO";</t>
  </si>
  <si>
    <t>"IZUCAR DE MATAMOROS";</t>
  </si>
  <si>
    <t>"IZUCAR DE MATAMOROS DOS"</t>
  </si>
  <si>
    <t>"LAS PALOMAS";</t>
  </si>
  <si>
    <t>"METEPEC";</t>
  </si>
  <si>
    <t>"EL MORAL";</t>
  </si>
  <si>
    <t>"HUEJOTZINGO";</t>
  </si>
  <si>
    <t>"SAN MARTIN";</t>
  </si>
  <si>
    <t>"SAN MIGUEL";</t>
  </si>
  <si>
    <t>"ACATZINGO";</t>
  </si>
  <si>
    <t>"ESPERANZA";</t>
  </si>
  <si>
    <t>"LIBRES";</t>
  </si>
  <si>
    <t>"PALMAR DE BRAVO";</t>
  </si>
  <si>
    <t>"TECAMACHALCO";</t>
  </si>
  <si>
    <t>"TECAMACHALCO DOS";</t>
  </si>
  <si>
    <t>"TEPEACA";</t>
  </si>
  <si>
    <t>"TEPEXI";</t>
  </si>
  <si>
    <t>"ALMECATLA";</t>
  </si>
  <si>
    <t>"ANTUÃ?ANO";</t>
  </si>
  <si>
    <t>"ATLIXCAYOTL";</t>
  </si>
  <si>
    <t>"EL CONDE";</t>
  </si>
  <si>
    <t>"EXCELOPOLIS";</t>
  </si>
  <si>
    <t>"NORTE";</t>
  </si>
  <si>
    <t>"PONIENTE";</t>
  </si>
  <si>
    <t>"PUEBLA SF6";</t>
  </si>
  <si>
    <t>"PUEBLA UNO";</t>
  </si>
  <si>
    <t>"RESURECCION";</t>
  </si>
  <si>
    <t>"SAN LORENZO";</t>
  </si>
  <si>
    <t>"TONANZINTLA";</t>
  </si>
  <si>
    <t>"AGUA SANTA";</t>
  </si>
  <si>
    <t>"AMOZOC";</t>
  </si>
  <si>
    <t>"BOSQUES";</t>
  </si>
  <si>
    <t>"BUGAMBILIAS";</t>
  </si>
  <si>
    <t>"CINCO DE MAYO";</t>
  </si>
  <si>
    <t>"FUERTES";</t>
  </si>
  <si>
    <t>"GUADALUPE ANALCO";</t>
  </si>
  <si>
    <t>"INDUSTRIAL";</t>
  </si>
  <si>
    <t>"LARA GRAJALES";</t>
  </si>
  <si>
    <t>"ORIENTE";</t>
  </si>
  <si>
    <t>"PUEBLA DOS MIL";</t>
  </si>
  <si>
    <t>"VALSEQUILLO";</t>
  </si>
  <si>
    <t>"ATOTONILCO";</t>
  </si>
  <si>
    <t>"DOS CARLOS";</t>
  </si>
  <si>
    <t>"PACHUCA";</t>
  </si>
  <si>
    <t>"PARQUE INDUSTRIAL REFORM</t>
  </si>
  <si>
    <t>"EL CARMEN";</t>
  </si>
  <si>
    <t>"TULANCINGO";</t>
  </si>
  <si>
    <t>"VALLE TULANCINGO";</t>
  </si>
  <si>
    <t>"JUANDHO";</t>
  </si>
  <si>
    <t>"SANTIAGO TLAUTLA";</t>
  </si>
  <si>
    <t>"VITO";</t>
  </si>
  <si>
    <t>DDCO</t>
  </si>
  <si>
    <t>DDSE</t>
  </si>
  <si>
    <t>DDO</t>
  </si>
  <si>
    <t>AHZ</t>
  </si>
  <si>
    <t>"ACAHUIZOTLA";</t>
  </si>
  <si>
    <t>CIP</t>
  </si>
  <si>
    <t>"CHILAPA";</t>
  </si>
  <si>
    <t>CHG</t>
  </si>
  <si>
    <t>"CHILPANCINGO";</t>
  </si>
  <si>
    <t>CCS</t>
  </si>
  <si>
    <t>"CHILPANCINGO II";</t>
  </si>
  <si>
    <t>HUU</t>
  </si>
  <si>
    <t>"HUAMUXTITLAN";</t>
  </si>
  <si>
    <t>MLN</t>
  </si>
  <si>
    <t>"MALINALTEPEC";</t>
  </si>
  <si>
    <t>MTL</t>
  </si>
  <si>
    <t>"METLATONOC";</t>
  </si>
  <si>
    <t>OLN</t>
  </si>
  <si>
    <t>"OLINALA";</t>
  </si>
  <si>
    <t>TIE</t>
  </si>
  <si>
    <t>"TIERRA COLORADA";</t>
  </si>
  <si>
    <t>TAN</t>
  </si>
  <si>
    <t>"TLAPA NUEVA";</t>
  </si>
  <si>
    <t>TUQ</t>
  </si>
  <si>
    <t>"TLATLAHUQUITEPEC";</t>
  </si>
  <si>
    <t>HEL</t>
  </si>
  <si>
    <t>"HELIPUERTO";</t>
  </si>
  <si>
    <t>IGU</t>
  </si>
  <si>
    <t>"IGUALA";</t>
  </si>
  <si>
    <t>TXO</t>
  </si>
  <si>
    <t>"TAXCO";</t>
  </si>
  <si>
    <t>CIO</t>
  </si>
  <si>
    <t>"CENTENARIO";</t>
  </si>
  <si>
    <t>CIV</t>
  </si>
  <si>
    <t>"CIVAC";</t>
  </si>
  <si>
    <t>EPR</t>
  </si>
  <si>
    <t>"EPROSEC";</t>
  </si>
  <si>
    <t>JIU</t>
  </si>
  <si>
    <t>"JIUTEPEC";</t>
  </si>
  <si>
    <t>JJT</t>
  </si>
  <si>
    <t>"JOJUTLA";</t>
  </si>
  <si>
    <t>TJA</t>
  </si>
  <si>
    <t>"TEJALPA";</t>
  </si>
  <si>
    <t>TEZ</t>
  </si>
  <si>
    <t>"TEZOYUCA";</t>
  </si>
  <si>
    <t>TLZ</t>
  </si>
  <si>
    <t>"TLALTIZAPAN";</t>
  </si>
  <si>
    <t>XCH</t>
  </si>
  <si>
    <t>"XOCHICALCO";</t>
  </si>
  <si>
    <t>ZAP</t>
  </si>
  <si>
    <t>"ZAPATA";</t>
  </si>
  <si>
    <t>CUA</t>
  </si>
  <si>
    <t>"CUAUTLA";</t>
  </si>
  <si>
    <t>CUS</t>
  </si>
  <si>
    <t>"CUAUTLA II";</t>
  </si>
  <si>
    <t>"CUAUTLA INDUSTRIAL";</t>
  </si>
  <si>
    <t>ICS</t>
  </si>
  <si>
    <t>"INDUSTRIAL CUAUTLA II";</t>
  </si>
  <si>
    <t>LOC</t>
  </si>
  <si>
    <t>"LOMAS DE COCOYOC";</t>
  </si>
  <si>
    <t>AOS</t>
  </si>
  <si>
    <t>"LOS ARCOS";</t>
  </si>
  <si>
    <t>"TEPALCINGO";</t>
  </si>
  <si>
    <t>YTP</t>
  </si>
  <si>
    <t>"YAUTEPEC";</t>
  </si>
  <si>
    <t>AUO</t>
  </si>
  <si>
    <t>"ACULCO";</t>
  </si>
  <si>
    <t>ATU</t>
  </si>
  <si>
    <t>"ATLACOMULCO";</t>
  </si>
  <si>
    <t>AIN</t>
  </si>
  <si>
    <t>"ATLACOMULCO INDUSTRIAL";</t>
  </si>
  <si>
    <t>CSN</t>
  </si>
  <si>
    <t>"CANCHESDA";</t>
  </si>
  <si>
    <t>"COMALCO";</t>
  </si>
  <si>
    <t>ITD</t>
  </si>
  <si>
    <t>"IXTLAHUACA";</t>
  </si>
  <si>
    <t>JIL</t>
  </si>
  <si>
    <t>"JILOTEPEC";</t>
  </si>
  <si>
    <t>JID</t>
  </si>
  <si>
    <t>"JILOTEPEC INDUSTRIAL";</t>
  </si>
  <si>
    <t>FPG</t>
  </si>
  <si>
    <t>"SAN FELIPE DEL PROGRESO"</t>
  </si>
  <si>
    <t>FRR</t>
  </si>
  <si>
    <t>"SAN FRANCISCO DE LOS REY</t>
  </si>
  <si>
    <t>SMT</t>
  </si>
  <si>
    <t>"SAN MATEO";</t>
  </si>
  <si>
    <t>SSE</t>
  </si>
  <si>
    <t>"SAN SEBASTIAN";</t>
  </si>
  <si>
    <t>"ALTAMIRANO II";</t>
  </si>
  <si>
    <t>ANU</t>
  </si>
  <si>
    <t>"ARCELIA NUEVA";</t>
  </si>
  <si>
    <t>CRL</t>
  </si>
  <si>
    <t>"CARACOL";</t>
  </si>
  <si>
    <t>HTM</t>
  </si>
  <si>
    <t>"HUETAMO";</t>
  </si>
  <si>
    <t>LAC</t>
  </si>
  <si>
    <t>"LA CEIBA";</t>
  </si>
  <si>
    <t>PLO</t>
  </si>
  <si>
    <t>"PLACERES DEL ORO";</t>
  </si>
  <si>
    <t>TLP</t>
  </si>
  <si>
    <t>"TELOLOAPAN";</t>
  </si>
  <si>
    <t>TQC</t>
  </si>
  <si>
    <t>"TIQUICHEO";</t>
  </si>
  <si>
    <t>TPA</t>
  </si>
  <si>
    <t>"TLAPEHUALA";</t>
  </si>
  <si>
    <t>ZIR</t>
  </si>
  <si>
    <t>"ZIRANDARO";</t>
  </si>
  <si>
    <t>CUE</t>
  </si>
  <si>
    <t>"CUERNAVACA";</t>
  </si>
  <si>
    <t>MOR</t>
  </si>
  <si>
    <t>"MORELOS";</t>
  </si>
  <si>
    <t>TBH</t>
  </si>
  <si>
    <t>"TABACHINES";</t>
  </si>
  <si>
    <t>TMX</t>
  </si>
  <si>
    <t>"TEMIXCO";</t>
  </si>
  <si>
    <t>ANM</t>
  </si>
  <si>
    <t>"AGUSTIN MILLAN";</t>
  </si>
  <si>
    <t>AVA</t>
  </si>
  <si>
    <t>"AVANDARO";</t>
  </si>
  <si>
    <t>CCM</t>
  </si>
  <si>
    <t>"CERRO DEL CAMPO";</t>
  </si>
  <si>
    <t>ENB</t>
  </si>
  <si>
    <t>"ESTACION CINCO DE BOMBEO</t>
  </si>
  <si>
    <t>ECB</t>
  </si>
  <si>
    <t>"ESTACION CUATRO DE BOMBE</t>
  </si>
  <si>
    <t>EDB</t>
  </si>
  <si>
    <t>"ESTACION DOS DE BOMBEO";</t>
  </si>
  <si>
    <t>ESB</t>
  </si>
  <si>
    <t>"ESTACION SEIS DE BOMBEO"</t>
  </si>
  <si>
    <t>ETB</t>
  </si>
  <si>
    <t>"ESTACION TRES DE BOMBEO"</t>
  </si>
  <si>
    <t>EUB</t>
  </si>
  <si>
    <t>"ESTACION UNO DE BOMBEO";</t>
  </si>
  <si>
    <t>IXS</t>
  </si>
  <si>
    <t>"IXTAPAN DE LA SAL";</t>
  </si>
  <si>
    <t>IXT</t>
  </si>
  <si>
    <t>"IXTAPANTONGO";</t>
  </si>
  <si>
    <t>LES</t>
  </si>
  <si>
    <t>"LA ESTANCIA";</t>
  </si>
  <si>
    <t>PLZ</t>
  </si>
  <si>
    <t>"PALIZADA";</t>
  </si>
  <si>
    <t>BBR</t>
  </si>
  <si>
    <t>"SANTA BARBARA";</t>
  </si>
  <si>
    <t>TJP</t>
  </si>
  <si>
    <t>"TEJUPILCO";</t>
  </si>
  <si>
    <t>TTT</t>
  </si>
  <si>
    <t>"TEXCALTITLAN";</t>
  </si>
  <si>
    <t>TGB</t>
  </si>
  <si>
    <t>"TINGAMBATO";</t>
  </si>
  <si>
    <t>TMA</t>
  </si>
  <si>
    <t>"TIZAPA MANIOBRAS";</t>
  </si>
  <si>
    <t>VGU</t>
  </si>
  <si>
    <t>"VILLA GUERRERO";</t>
  </si>
  <si>
    <t>YBC</t>
  </si>
  <si>
    <t>"YEBUCIBI";</t>
  </si>
  <si>
    <t>ARC</t>
  </si>
  <si>
    <t>"A. RUIZ CORTINEZ";</t>
  </si>
  <si>
    <t>APC</t>
  </si>
  <si>
    <t>"ACAPULCO";</t>
  </si>
  <si>
    <t>BNL</t>
  </si>
  <si>
    <t>"BONFIL";</t>
  </si>
  <si>
    <t>CAY</t>
  </si>
  <si>
    <t>"CAYACO";</t>
  </si>
  <si>
    <t>CAZ</t>
  </si>
  <si>
    <t>"COSTA AZUL";</t>
  </si>
  <si>
    <t>CUG</t>
  </si>
  <si>
    <t>"CRUCES GENERACION";</t>
  </si>
  <si>
    <t>ETT</t>
  </si>
  <si>
    <t>"EL TREINTA";</t>
  </si>
  <si>
    <t>GAR</t>
  </si>
  <si>
    <t>"GARITA";</t>
  </si>
  <si>
    <t>LTP</t>
  </si>
  <si>
    <t>"LAGUNA DE TRES PALOS";</t>
  </si>
  <si>
    <t>LMM</t>
  </si>
  <si>
    <t>"LOMAS DEL MAR";</t>
  </si>
  <si>
    <t>MRA</t>
  </si>
  <si>
    <t>"MIRA";</t>
  </si>
  <si>
    <t>MOZ</t>
  </si>
  <si>
    <t>"MOZIMBA";</t>
  </si>
  <si>
    <t>PDI</t>
  </si>
  <si>
    <t>"PLAYA DIAMANTE";</t>
  </si>
  <si>
    <t>PYS</t>
  </si>
  <si>
    <t>"PLAYAS";</t>
  </si>
  <si>
    <t>PUM</t>
  </si>
  <si>
    <t>"PUERTO MARQUEZ";</t>
  </si>
  <si>
    <t>REN</t>
  </si>
  <si>
    <t>"RENACIMIENTO";</t>
  </si>
  <si>
    <t>AZA</t>
  </si>
  <si>
    <t>"AGUA ZARCA";</t>
  </si>
  <si>
    <t>CGN</t>
  </si>
  <si>
    <t>"CRUZ GRANDE";</t>
  </si>
  <si>
    <t>OMT</t>
  </si>
  <si>
    <t>"OMETEPEC";</t>
  </si>
  <si>
    <t>PPG</t>
  </si>
  <si>
    <t>"PAPAGAYO";</t>
  </si>
  <si>
    <t>PZR</t>
  </si>
  <si>
    <t>"POZOS RANNEY";</t>
  </si>
  <si>
    <t>SLU</t>
  </si>
  <si>
    <t>"SAN LUIS ACATLAN";</t>
  </si>
  <si>
    <t>THU</t>
  </si>
  <si>
    <t>"TLACOACHISTLAHUACA";</t>
  </si>
  <si>
    <t>CYC</t>
  </si>
  <si>
    <t>"COYUCA";</t>
  </si>
  <si>
    <t>UNN</t>
  </si>
  <si>
    <t>"LA UNION";</t>
  </si>
  <si>
    <t>PPN</t>
  </si>
  <si>
    <t>"PAPANOA";</t>
  </si>
  <si>
    <t>PTT</t>
  </si>
  <si>
    <t>"PETATLAN";</t>
  </si>
  <si>
    <t>PUI</t>
  </si>
  <si>
    <t>"PUNTA IXTAPA";</t>
  </si>
  <si>
    <t>JRN</t>
  </si>
  <si>
    <t>"SAN JERONIMO";</t>
  </si>
  <si>
    <t>TCA</t>
  </si>
  <si>
    <t>"TECPAN";</t>
  </si>
  <si>
    <t>ZIH</t>
  </si>
  <si>
    <t>"ZIHUATANEJO";</t>
  </si>
  <si>
    <t>ZHD</t>
  </si>
  <si>
    <t>"ZIHUATANEJO DOS";</t>
  </si>
  <si>
    <t>DDCS</t>
  </si>
  <si>
    <t>Fecha</t>
  </si>
  <si>
    <t>Elemento</t>
  </si>
  <si>
    <t>DD</t>
  </si>
  <si>
    <t>Tipo de día</t>
  </si>
  <si>
    <t>P-00</t>
  </si>
  <si>
    <t>Q-00</t>
  </si>
  <si>
    <t>P-01</t>
  </si>
  <si>
    <t>Q-01</t>
  </si>
  <si>
    <t>P-02</t>
  </si>
  <si>
    <t>Q-02</t>
  </si>
  <si>
    <t>P-03</t>
  </si>
  <si>
    <t>Q-03</t>
  </si>
  <si>
    <t>P-04</t>
  </si>
  <si>
    <t>Q-04</t>
  </si>
  <si>
    <t>P-05</t>
  </si>
  <si>
    <t>Q-05</t>
  </si>
  <si>
    <t>P-06</t>
  </si>
  <si>
    <t>Q-06</t>
  </si>
  <si>
    <t>P-07</t>
  </si>
  <si>
    <t>Q-07</t>
  </si>
  <si>
    <t>P-08</t>
  </si>
  <si>
    <t>Q-08</t>
  </si>
  <si>
    <t>P-09</t>
  </si>
  <si>
    <t>Q-09</t>
  </si>
  <si>
    <t>P-10</t>
  </si>
  <si>
    <t>Q-10</t>
  </si>
  <si>
    <t>P-11</t>
  </si>
  <si>
    <t>Q-11</t>
  </si>
  <si>
    <t>P-12</t>
  </si>
  <si>
    <t>Q-12</t>
  </si>
  <si>
    <t>P-13</t>
  </si>
  <si>
    <t>Q-13</t>
  </si>
  <si>
    <t>P-14</t>
  </si>
  <si>
    <t>Q-14</t>
  </si>
  <si>
    <t>P-15</t>
  </si>
  <si>
    <t>Q-15</t>
  </si>
  <si>
    <t>P-16</t>
  </si>
  <si>
    <t>Q-16</t>
  </si>
  <si>
    <t>P-17</t>
  </si>
  <si>
    <t>Q-17</t>
  </si>
  <si>
    <t>P-18</t>
  </si>
  <si>
    <t>Q-18</t>
  </si>
  <si>
    <t>P-19</t>
  </si>
  <si>
    <t>Q-19</t>
  </si>
  <si>
    <t>P-20</t>
  </si>
  <si>
    <t>Q-20</t>
  </si>
  <si>
    <t>P-21</t>
  </si>
  <si>
    <t>Q-21</t>
  </si>
  <si>
    <t>P-22</t>
  </si>
  <si>
    <t>Q-22</t>
  </si>
  <si>
    <t>P-23</t>
  </si>
  <si>
    <t>Q-23</t>
  </si>
  <si>
    <t>DDNE</t>
  </si>
  <si>
    <t>nuevoElemento.value = "AEP";</t>
  </si>
  <si>
    <t>nuevoElemento.value = "AZT";</t>
  </si>
  <si>
    <t>nuevoElemento.text = "AZTECAS";</t>
  </si>
  <si>
    <t>nuevoElemento.value = "BJZ";</t>
  </si>
  <si>
    <t>nuevoElemento.value = "CAR";</t>
  </si>
  <si>
    <t>nuevoElemento.text = "CARTAGENA";</t>
  </si>
  <si>
    <t>nuevoElemento.value = "CZL";</t>
  </si>
  <si>
    <t>nuevoElemento.text = "CHAMIZAL";</t>
  </si>
  <si>
    <t>nuevoElemento.value = "CVA";</t>
  </si>
  <si>
    <t>nuevoElemento.text = "CHAVEÃ?A";</t>
  </si>
  <si>
    <t>nuevoElemento.value = "CLG";</t>
  </si>
  <si>
    <t>nuevoElemento.text = "COLEGIO";</t>
  </si>
  <si>
    <t>nuevoElemento.value = "CJM";</t>
  </si>
  <si>
    <t>nuevoElemento.text = "CONEJOS MEDANOS";</t>
  </si>
  <si>
    <t>nuevoElemento.value = "CUE";</t>
  </si>
  <si>
    <t>nuevoElemento.text = "CUESTA";</t>
  </si>
  <si>
    <t>nuevoElemento.value = "DUN";</t>
  </si>
  <si>
    <t>nuevoElemento.text = "DUNAS";</t>
  </si>
  <si>
    <t>nuevoElemento.value = "FNT";</t>
  </si>
  <si>
    <t>nuevoElemento.text = "FUENTES";</t>
  </si>
  <si>
    <t>nuevoElemento.value = "GEM";</t>
  </si>
  <si>
    <t>nuevoElemento.text = "GEMINIS";</t>
  </si>
  <si>
    <t>nuevoElemento.value = "GJO";</t>
  </si>
  <si>
    <t>nuevoElemento.text = "GRANJERO";</t>
  </si>
  <si>
    <t>nuevoElemento.value = "INJ";</t>
  </si>
  <si>
    <t>nuevoElemento.text = "INDUSTRIAL JUAREZ";</t>
  </si>
  <si>
    <t>nuevoElemento.value = "IGS";</t>
  </si>
  <si>
    <t>nuevoElemento.text = "INSURGENTES";</t>
  </si>
  <si>
    <t>nuevoElemento.value = "LAG";</t>
  </si>
  <si>
    <t>nuevoElemento.text = "LAGOS";</t>
  </si>
  <si>
    <t>nuevoElemento.value = "LTD";</t>
  </si>
  <si>
    <t>nuevoElemento.text = "LIBERTAD";</t>
  </si>
  <si>
    <t>nuevoElemento.value = "MED";</t>
  </si>
  <si>
    <t>nuevoElemento.text = "MEDANOS";</t>
  </si>
  <si>
    <t>nuevoElemento.value = "MCZ";</t>
  </si>
  <si>
    <t>nuevoElemento.text = "MOCTEZUMA";</t>
  </si>
  <si>
    <t>nuevoElemento.value = "OTE";</t>
  </si>
  <si>
    <t>nuevoElemento.text = "ORIENTE XXI";</t>
  </si>
  <si>
    <t>nuevoElemento.value = "PQE";</t>
  </si>
  <si>
    <t>nuevoElemento.text = "PARQUE";</t>
  </si>
  <si>
    <t>nuevoElemento.value = "PNR";</t>
  </si>
  <si>
    <t>nuevoElemento.text = "PASO DEL NORTE";</t>
  </si>
  <si>
    <t>nuevoElemento.value = "PTR";</t>
  </si>
  <si>
    <t>nuevoElemento.text = "PATRIA";</t>
  </si>
  <si>
    <t>nuevoElemento.value = "PRR";</t>
  </si>
  <si>
    <t>nuevoElemento.text = "PORVENIR";</t>
  </si>
  <si>
    <t>nuevoElemento.value = "REA";</t>
  </si>
  <si>
    <t>nuevoElemento.text = "REFORMA";</t>
  </si>
  <si>
    <t>nuevoElemento.value = "RVA";</t>
  </si>
  <si>
    <t>nuevoElemento.text = "RIVERENA";</t>
  </si>
  <si>
    <t>nuevoElemento.value = "SVC";</t>
  </si>
  <si>
    <t>nuevoElemento.text = "SALVARCAR";</t>
  </si>
  <si>
    <t>nuevoElemento.value = "SIG";</t>
  </si>
  <si>
    <t>nuevoElemento.text = "SAN IGNACIO";</t>
  </si>
  <si>
    <t>nuevoElemento.value = "SID";</t>
  </si>
  <si>
    <t>nuevoElemento.text = "SAN ISIDRO";</t>
  </si>
  <si>
    <t>nuevoElemento.value = "TNG";</t>
  </si>
  <si>
    <t>nuevoElemento.text = "TECNOLOGICO";</t>
  </si>
  <si>
    <t>nuevoElemento.value = "TER";</t>
  </si>
  <si>
    <t>nuevoElemento.text = "TERRANOVA";</t>
  </si>
  <si>
    <t>nuevoElemento.value = "TOR";</t>
  </si>
  <si>
    <t>nuevoElemento.text = "TORRES";</t>
  </si>
  <si>
    <t>nuevoElemento.value = "VJZ";</t>
  </si>
  <si>
    <t>nuevoElemento.text = "VALLE DE JUAREZ";</t>
  </si>
  <si>
    <t>nuevoElemento.value = "VHA";</t>
  </si>
  <si>
    <t>nuevoElemento.text = "VILLA AHUMADA";</t>
  </si>
  <si>
    <t>nuevoElemento.value = "ZZA";</t>
  </si>
  <si>
    <t>nuevoElemento.text = "ZARAGOZA";</t>
  </si>
  <si>
    <t>nuevoElemento.value = "AON";</t>
  </si>
  <si>
    <t>nuevoElemento.text = "ASCENCION";</t>
  </si>
  <si>
    <t>nuevoElemento.value = "CGR";</t>
  </si>
  <si>
    <t>nuevoElemento.text = "CASAS GRANDES";</t>
  </si>
  <si>
    <t>nuevoElemento.value = "GNA";</t>
  </si>
  <si>
    <t>nuevoElemento.text = "GALEANA";</t>
  </si>
  <si>
    <t>nuevoElemento.value = "JOS";</t>
  </si>
  <si>
    <t>nuevoElemento.text = "JANOS";</t>
  </si>
  <si>
    <t>nuevoElemento.value = "PMS";</t>
  </si>
  <si>
    <t>nuevoElemento.text = "PALOMAS";</t>
  </si>
  <si>
    <t>nuevoElemento.value = "SBV";</t>
  </si>
  <si>
    <t>nuevoElemento.text = "SAN BUENAVENTURA";</t>
  </si>
  <si>
    <t>nuevoElemento.value = "AMS";</t>
  </si>
  <si>
    <t>nuevoElemento.text = "ALAMOS";</t>
  </si>
  <si>
    <t>nuevoElemento.value = "BER";</t>
  </si>
  <si>
    <t>nuevoElemento.text = "BERMEJILLO";</t>
  </si>
  <si>
    <t>nuevoElemento.value = "CEB";</t>
  </si>
  <si>
    <t>nuevoElemento.text = "CEBALLOS";</t>
  </si>
  <si>
    <t>nuevoElemento.value = "DIN";</t>
  </si>
  <si>
    <t>nuevoElemento.text = "DINAMITA";</t>
  </si>
  <si>
    <t>nuevoElemento.value = "ELP";</t>
  </si>
  <si>
    <t>nuevoElemento.text = "EL PILAR";</t>
  </si>
  <si>
    <t>nuevoElemento.value = "ELV";</t>
  </si>
  <si>
    <t>nuevoElemento.text = "EL VERGEL";</t>
  </si>
  <si>
    <t>nuevoElemento.value = "FZA";</t>
  </si>
  <si>
    <t>nuevoElemento.text = "FCO. ZARCO";</t>
  </si>
  <si>
    <t>nuevoElemento.value = "FRC";</t>
  </si>
  <si>
    <t>nuevoElemento.text = "FRANCKE";</t>
  </si>
  <si>
    <t>nuevoElemento.value = "JAR";</t>
  </si>
  <si>
    <t>nuevoElemento.text = "JARDÃ?N";</t>
  </si>
  <si>
    <t>nuevoElemento.value = "PPR";</t>
  </si>
  <si>
    <t>nuevoElemento.text = "LA POPULAR";</t>
  </si>
  <si>
    <t>nuevoElemento.value = "LGD";</t>
  </si>
  <si>
    <t>nuevoElemento.text = "LAGUNA DOS";</t>
  </si>
  <si>
    <t>nuevoElemento.value = "LGM";</t>
  </si>
  <si>
    <t>nuevoElemento.text = "LEON GUZMAN";</t>
  </si>
  <si>
    <t>nuevoElemento.value = "MIR";</t>
  </si>
  <si>
    <t>nuevoElemento.text = "MIRA VALLE";</t>
  </si>
  <si>
    <t>nuevoElemento.value = "PDA";</t>
  </si>
  <si>
    <t>nuevoElemento.text = "PEDRICEÑA";</t>
  </si>
  <si>
    <t>nuevoElemento.value = "SCT";</t>
  </si>
  <si>
    <t>nuevoElemento.text = "SACRAMENTO";</t>
  </si>
  <si>
    <t>nuevoElemento.value = "YMO";</t>
  </si>
  <si>
    <t>nuevoElemento.text = "YERMO";</t>
  </si>
  <si>
    <t>nuevoElemento.value = "AVO";</t>
  </si>
  <si>
    <t>nuevoElemento.text = "ALVARO OBREGON";</t>
  </si>
  <si>
    <t>nuevoElemento.value = "ARE";</t>
  </si>
  <si>
    <t>nuevoElemento.text = "ARENALES";</t>
  </si>
  <si>
    <t>nuevoElemento.value = "CRC";</t>
  </si>
  <si>
    <t>nuevoElemento.text = "CARICHIC";</t>
  </si>
  <si>
    <t>nuevoElemento.value = "CHC";</t>
  </si>
  <si>
    <t>nuevoElemento.text = "CUAUHTEMOC";</t>
  </si>
  <si>
    <t>nuevoElemento.value = "LZM";</t>
  </si>
  <si>
    <t>nuevoElemento.value = "MTC";</t>
  </si>
  <si>
    <t>nuevoElemento.text = "MANIOBRAS TREINTA Y CUATRO";</t>
  </si>
  <si>
    <t>nuevoElemento.value = "MBA";</t>
  </si>
  <si>
    <t>nuevoElemento.text = "MANITOBA";</t>
  </si>
  <si>
    <t>nuevoElemento.value = "CND";</t>
  </si>
  <si>
    <t>nuevoElemento.text = "CANATLAN DOS";</t>
  </si>
  <si>
    <t>nuevoElemento.value = "CME";</t>
  </si>
  <si>
    <t>nuevoElemento.text = "CERRO DEL MERCADO";</t>
  </si>
  <si>
    <t>nuevoElemento.value = "DGU";</t>
  </si>
  <si>
    <t>nuevoElemento.text = "DURANGO UNO";</t>
  </si>
  <si>
    <t>nuevoElemento.value = "ESL";</t>
  </si>
  <si>
    <t>nuevoElemento.text = "EL SALTO";</t>
  </si>
  <si>
    <t>nuevoElemento.value = "GVR";</t>
  </si>
  <si>
    <t>nuevoElemento.text = "GUADALUPE VICTORIA";</t>
  </si>
  <si>
    <t>nuevoElemento.value = "GDN";</t>
  </si>
  <si>
    <t>nuevoElemento.text = "GUADIANA";</t>
  </si>
  <si>
    <t>nuevoElemento.value = "QDO";</t>
  </si>
  <si>
    <t>nuevoElemento.text = "QUINCE OCTUBRE";</t>
  </si>
  <si>
    <t>nuevoElemento.value = "VGR";</t>
  </si>
  <si>
    <t>nuevoElemento.text = "VICENTE GUERRERO";</t>
  </si>
  <si>
    <t>nuevoElemento.value = "ABA";</t>
  </si>
  <si>
    <t>nuevoElemento.text = "ABASTOS";</t>
  </si>
  <si>
    <t>nuevoElemento.value = "ALL";</t>
  </si>
  <si>
    <t>nuevoElemento.text = "ALLENDE";</t>
  </si>
  <si>
    <t>nuevoElemento.value = "ADI";</t>
  </si>
  <si>
    <t>nuevoElemento.text = "ARCADIO";</t>
  </si>
  <si>
    <t>nuevoElemento.value = "BAT";</t>
  </si>
  <si>
    <t>nuevoElemento.text = "BATOPILAS";</t>
  </si>
  <si>
    <t>nuevoElemento.value = "CFN";</t>
  </si>
  <si>
    <t>nuevoElemento.text = "CALIFORNIA";</t>
  </si>
  <si>
    <t>nuevoElemento.value = "CEM";</t>
  </si>
  <si>
    <t>nuevoElemento.text = "CEMENTOS";</t>
  </si>
  <si>
    <t>nuevoElemento.value = "CZU";</t>
  </si>
  <si>
    <t>nuevoElemento.text = "CHAVEZ";</t>
  </si>
  <si>
    <t>nuevoElemento.value = "DGN";</t>
  </si>
  <si>
    <t>nuevoElemento.text = "DIAGONAL";</t>
  </si>
  <si>
    <t>nuevoElemento.value = "EZT";</t>
  </si>
  <si>
    <t>nuevoElemento.value = "EDU";</t>
  </si>
  <si>
    <t>nuevoElemento.text = "ESCUADRON 201";</t>
  </si>
  <si>
    <t>nuevoElemento.value = "LRT";</t>
  </si>
  <si>
    <t>nuevoElemento.text = "LA ROSITA";</t>
  </si>
  <si>
    <t>nuevoElemento.value = "LRE";</t>
  </si>
  <si>
    <t>nuevoElemento.text = "LAGUNA DEL REY";</t>
  </si>
  <si>
    <t>nuevoElemento.value = "LSC";</t>
  </si>
  <si>
    <t>nuevoElemento.text = "LAGUNA SECA ";</t>
  </si>
  <si>
    <t>nuevoElemento.value = "MAT";</t>
  </si>
  <si>
    <t>nuevoElemento.text = "MATAMOROS";</t>
  </si>
  <si>
    <t>nuevoElemento.value = "MAY";</t>
  </si>
  <si>
    <t>nuevoElemento.text = "MAYRAN";</t>
  </si>
  <si>
    <t>nuevoElemento.value = "PLA";</t>
  </si>
  <si>
    <t>nuevoElemento.text = "PAILA";</t>
  </si>
  <si>
    <t>nuevoElemento.value = "PRA";</t>
  </si>
  <si>
    <t>nuevoElemento.text = "PARRAS";</t>
  </si>
  <si>
    <t>nuevoElemento.value = "PSA";</t>
  </si>
  <si>
    <t>nuevoElemento.text = "PASO DEL AGUILA ";</t>
  </si>
  <si>
    <t>nuevoElemento.value = "SPD";</t>
  </si>
  <si>
    <t>nuevoElemento.text = "SAN PEDRO";</t>
  </si>
  <si>
    <t>nuevoElemento.value = "TRR";</t>
  </si>
  <si>
    <t>nuevoElemento.text = "TORREON";</t>
  </si>
  <si>
    <t>nuevoElemento.value = "TOT";</t>
  </si>
  <si>
    <t>nuevoElemento.text = "TORREON ORIENTE";</t>
  </si>
  <si>
    <t>nuevoElemento.value = "TMA";</t>
  </si>
  <si>
    <t>nuevoElemento.text = "TRES MANANTIALES";</t>
  </si>
  <si>
    <t>nuevoElemento.value = "VAE";</t>
  </si>
  <si>
    <t>nuevoElemento.text = "VALLE VERDE";</t>
  </si>
  <si>
    <t>nuevoElemento.value = "ALV";</t>
  </si>
  <si>
    <t>nuevoElemento.text = "ALTAVISTA";</t>
  </si>
  <si>
    <t>nuevoElemento.value = "BLV";</t>
  </si>
  <si>
    <t>nuevoElemento.text = "BOLIVAR";</t>
  </si>
  <si>
    <t>nuevoElemento.value = "CAT";</t>
  </si>
  <si>
    <t>nuevoElemento.text = "CATEDRAL";</t>
  </si>
  <si>
    <t>nuevoElemento.value = "CMB";</t>
  </si>
  <si>
    <t>nuevoElemento.text = "CUADRO DE MANIOBRAS BOLIVAR";</t>
  </si>
  <si>
    <t>nuevoElemento.value = "CMF";</t>
  </si>
  <si>
    <t>nuevoElemento.text = "CUADRO DE MANIOBRAS SAN FRANCISCO";</t>
  </si>
  <si>
    <t>nuevoElemento.value = "GCH";</t>
  </si>
  <si>
    <t>nuevoElemento.text = "GUACHOCHI";</t>
  </si>
  <si>
    <t>nuevoElemento.value = "JEZ";</t>
  </si>
  <si>
    <t>nuevoElemento.text = "JIMENEZ";</t>
  </si>
  <si>
    <t>nuevoElemento.value = "PAR";</t>
  </si>
  <si>
    <t>nuevoElemento.text = "PARRAL";</t>
  </si>
  <si>
    <t>nuevoElemento.value = "PTJ";</t>
  </si>
  <si>
    <t>nuevoElemento.text = "PUERTO JUSTO";</t>
  </si>
  <si>
    <t>nuevoElemento.value = "RIF";</t>
  </si>
  <si>
    <t>nuevoElemento.text = "RIO FLORIDO";</t>
  </si>
  <si>
    <t>nuevoElemento.value = "SMO";</t>
  </si>
  <si>
    <t>nuevoElemento.text = "SANTA MARIA DEL ORO";</t>
  </si>
  <si>
    <t>nuevoElemento.value = "SGU";</t>
  </si>
  <si>
    <t>nuevoElemento.text = "SANTIAGO UNO";</t>
  </si>
  <si>
    <t>nuevoElemento.value = "ABG";</t>
  </si>
  <si>
    <t>nuevoElemento.text = "ABRAHAM GONZALEZ";</t>
  </si>
  <si>
    <t>nuevoElemento.value = "ARM";</t>
  </si>
  <si>
    <t>nuevoElemento.text = "ARMENDARIZ";</t>
  </si>
  <si>
    <t>nuevoElemento.value = "BOQ";</t>
  </si>
  <si>
    <t>nuevoElemento.text = "BOQUILLA";</t>
  </si>
  <si>
    <t>nuevoElemento.value = "CGU";</t>
  </si>
  <si>
    <t>nuevoElemento.text = "CAMARGO I";</t>
  </si>
  <si>
    <t>nuevoElemento.value = "DLS";</t>
  </si>
  <si>
    <t>nuevoElemento.text = "DELICIAS";</t>
  </si>
  <si>
    <t>nuevoElemento.value = "DLD";</t>
  </si>
  <si>
    <t>nuevoElemento.text = "DELICIAS II";</t>
  </si>
  <si>
    <t>nuevoElemento.value = "FVL";</t>
  </si>
  <si>
    <t>nuevoElemento.text = "FRANCISCO VILLA";</t>
  </si>
  <si>
    <t>nuevoElemento.value = "KOO";</t>
  </si>
  <si>
    <t>nuevoElemento.text = "KILOMETRO 88";</t>
  </si>
  <si>
    <t>nuevoElemento.value = "LCS";</t>
  </si>
  <si>
    <t>nuevoElemento.text = "LAZARO CARDENAS";</t>
  </si>
  <si>
    <t>nuevoElemento.value = "MOQ";</t>
  </si>
  <si>
    <t>nuevoElemento.text = "MEOQUI";</t>
  </si>
  <si>
    <t>nuevoElemento.value = "NAC";</t>
  </si>
  <si>
    <t>nuevoElemento.text = "NAICA";</t>
  </si>
  <si>
    <t>if(idz == 10){</t>
  </si>
  <si>
    <t>nuevoElemento.value = "AMA";</t>
  </si>
  <si>
    <t>nuevoElemento.text = "ALDAMA";</t>
  </si>
  <si>
    <t>nuevoElemento.value = "AMR";</t>
  </si>
  <si>
    <t>nuevoElemento.text = "AMERICAS";</t>
  </si>
  <si>
    <t>nuevoElemento.value = "CUN";</t>
  </si>
  <si>
    <t>nuevoElemento.text = "CHIHUAHUA NORTE";</t>
  </si>
  <si>
    <t>nuevoElemento.value = "CUP";</t>
  </si>
  <si>
    <t>nuevoElemento.text = "CHIHUAHUA PLANTA";</t>
  </si>
  <si>
    <t>nuevoElemento.value = "CPN";</t>
  </si>
  <si>
    <t>nuevoElemento.text = "CHIHUAHUA PONIENTE";</t>
  </si>
  <si>
    <t>nuevoElemento.value = "CIN";</t>
  </si>
  <si>
    <t>nuevoElemento.text = "COMPLEJO INDUSTRIAL";</t>
  </si>
  <si>
    <t>nuevoElemento.value = "CCD";</t>
  </si>
  <si>
    <t>nuevoElemento.text = "CONCORDIA";</t>
  </si>
  <si>
    <t>nuevoElemento.value = "ESZ";</t>
  </si>
  <si>
    <t>nuevoElemento.text = "EL SAUZ";</t>
  </si>
  <si>
    <t>nuevoElemento.value = "FMR";</t>
  </si>
  <si>
    <t>nuevoElemento.text = "FUENTES MARES";</t>
  </si>
  <si>
    <t>nuevoElemento.value = "GTR";</t>
  </si>
  <si>
    <t>nuevoElemento.text = "GENERAL TRIAS";</t>
  </si>
  <si>
    <t>nuevoElemento.value = "HDS";</t>
  </si>
  <si>
    <t>nuevoElemento.text = "HACIENDAS";</t>
  </si>
  <si>
    <t>nuevoElemento.value = "NDD";</t>
  </si>
  <si>
    <t>nuevoElemento.text = "NOMBRE DE DIOS";</t>
  </si>
  <si>
    <t>nuevoElemento.value = "NHO";</t>
  </si>
  <si>
    <t>nuevoElemento.text = "NUEVA HOLANDA";</t>
  </si>
  <si>
    <t>nuevoElemento.value = "OAS";</t>
  </si>
  <si>
    <t>nuevoElemento.text = "OASIS";</t>
  </si>
  <si>
    <t>nuevoElemento.value = "OCP";</t>
  </si>
  <si>
    <t>nuevoElemento.text = "OCAMPO";</t>
  </si>
  <si>
    <t>nuevoElemento.value = "OJI";</t>
  </si>
  <si>
    <t>nuevoElemento.text = "OJINAGA";</t>
  </si>
  <si>
    <t>nuevoElemento.value = "PMR";</t>
  </si>
  <si>
    <t>nuevoElemento.text = "PALOMAR";</t>
  </si>
  <si>
    <t>nuevoElemento.value = "RNN";</t>
  </si>
  <si>
    <t>nuevoElemento.text = "ROBINSON";</t>
  </si>
  <si>
    <t>nuevoElemento.text = "TABALAOPA";</t>
  </si>
  <si>
    <t>nuevoElemento.value = "THS";</t>
  </si>
  <si>
    <t>nuevoElemento.text = "TRES HERMANOS";</t>
  </si>
  <si>
    <t xml:space="preserve"> </t>
  </si>
  <si>
    <t>//--&gt;</t>
  </si>
  <si>
    <t xml:space="preserve">&lt;/script&gt; </t>
  </si>
  <si>
    <t>&lt;script language="JavaScript"&gt;</t>
  </si>
  <si>
    <t>&lt;!--</t>
  </si>
  <si>
    <t xml:space="preserve"> function actualizaEquipo(ids){</t>
  </si>
  <si>
    <t>fechaForm.equipo.length = 1;</t>
  </si>
  <si>
    <t>if(ids == "ABA"){</t>
  </si>
  <si>
    <t>nuevoElemento.value = "ABA4010";</t>
  </si>
  <si>
    <t>nuevoElemento.text = "ABA4010";</t>
  </si>
  <si>
    <t>fechaForm.equipo.options.add(nuevoElemento);</t>
  </si>
  <si>
    <t>nuevoElemento.value = "ABA4020";</t>
  </si>
  <si>
    <t>nuevoElemento.text = "ABA4020";</t>
  </si>
  <si>
    <t>nuevoElemento.value = "ABA4030";</t>
  </si>
  <si>
    <t>nuevoElemento.text = "ABA4030";</t>
  </si>
  <si>
    <t>nuevoElemento.value = "ABA4040";</t>
  </si>
  <si>
    <t>nuevoElemento.text = "ABA4040";</t>
  </si>
  <si>
    <t>nuevoElemento.value = "ABA4050";</t>
  </si>
  <si>
    <t>nuevoElemento.text = "ABA4050";</t>
  </si>
  <si>
    <t>nuevoElemento.value = "ABA4060";</t>
  </si>
  <si>
    <t>nuevoElemento.text = "ABA4060";</t>
  </si>
  <si>
    <t>nuevoElemento.value = "ABA4070";</t>
  </si>
  <si>
    <t>nuevoElemento.text = "ABA4070";</t>
  </si>
  <si>
    <t>nuevoElemento.value = "ABA4080";</t>
  </si>
  <si>
    <t>nuevoElemento.text = "ABA4080";</t>
  </si>
  <si>
    <t>nuevoElemento.value = "ABA4090";</t>
  </si>
  <si>
    <t>nuevoElemento.text = "ABA4090";</t>
  </si>
  <si>
    <t>nuevoElemento.value = "ABA42010";</t>
  </si>
  <si>
    <t>AEP</t>
  </si>
  <si>
    <t>AZT</t>
  </si>
  <si>
    <t>BJZ</t>
  </si>
  <si>
    <t>CAR</t>
  </si>
  <si>
    <t>CZL</t>
  </si>
  <si>
    <t>CVA</t>
  </si>
  <si>
    <t>CLG</t>
  </si>
  <si>
    <t>CJM</t>
  </si>
  <si>
    <t>DUN</t>
  </si>
  <si>
    <t>FNT</t>
  </si>
  <si>
    <t>GEM</t>
  </si>
  <si>
    <t>GJO</t>
  </si>
  <si>
    <t>INJ</t>
  </si>
  <si>
    <t>IGS</t>
  </si>
  <si>
    <t>LAG</t>
  </si>
  <si>
    <t>LTD</t>
  </si>
  <si>
    <t>MED</t>
  </si>
  <si>
    <t>MCZ</t>
  </si>
  <si>
    <t>OTE</t>
  </si>
  <si>
    <t>PQE</t>
  </si>
  <si>
    <t>PNR</t>
  </si>
  <si>
    <t>PTR</t>
  </si>
  <si>
    <t>PRR</t>
  </si>
  <si>
    <t>REA</t>
  </si>
  <si>
    <t>RVA</t>
  </si>
  <si>
    <t>SVC</t>
  </si>
  <si>
    <t>SIG</t>
  </si>
  <si>
    <t>SID</t>
  </si>
  <si>
    <t>TNG</t>
  </si>
  <si>
    <t>TER</t>
  </si>
  <si>
    <t>TOR</t>
  </si>
  <si>
    <t>VJZ</t>
  </si>
  <si>
    <t>VHA</t>
  </si>
  <si>
    <t>ZZA</t>
  </si>
  <si>
    <t>AON</t>
  </si>
  <si>
    <t>CGR</t>
  </si>
  <si>
    <t>GNA</t>
  </si>
  <si>
    <t>JOS</t>
  </si>
  <si>
    <t>PMS</t>
  </si>
  <si>
    <t>SBV</t>
  </si>
  <si>
    <t>AMS</t>
  </si>
  <si>
    <t>BER</t>
  </si>
  <si>
    <t>CEB</t>
  </si>
  <si>
    <t>DIN</t>
  </si>
  <si>
    <t>ELP</t>
  </si>
  <si>
    <t>ELV</t>
  </si>
  <si>
    <t>FZA</t>
  </si>
  <si>
    <t>FRC</t>
  </si>
  <si>
    <t>JAR</t>
  </si>
  <si>
    <t>PPR</t>
  </si>
  <si>
    <t>LGD</t>
  </si>
  <si>
    <t>LGM</t>
  </si>
  <si>
    <t>MIR</t>
  </si>
  <si>
    <t>PDA</t>
  </si>
  <si>
    <t>SCT</t>
  </si>
  <si>
    <t>YMO</t>
  </si>
  <si>
    <t>AVO</t>
  </si>
  <si>
    <t>ARE</t>
  </si>
  <si>
    <t>CRC</t>
  </si>
  <si>
    <t>CHC</t>
  </si>
  <si>
    <t>LZM</t>
  </si>
  <si>
    <t>MTC</t>
  </si>
  <si>
    <t>MBA</t>
  </si>
  <si>
    <t>CND</t>
  </si>
  <si>
    <t>CME</t>
  </si>
  <si>
    <t>DGU</t>
  </si>
  <si>
    <t>ESL</t>
  </si>
  <si>
    <t>GVR</t>
  </si>
  <si>
    <t>GDN</t>
  </si>
  <si>
    <t>QDO</t>
  </si>
  <si>
    <t>VGR</t>
  </si>
  <si>
    <t>ABA</t>
  </si>
  <si>
    <t>ALL</t>
  </si>
  <si>
    <t>ADI</t>
  </si>
  <si>
    <t>BAT</t>
  </si>
  <si>
    <t>CFN</t>
  </si>
  <si>
    <t>CEM</t>
  </si>
  <si>
    <t>CZU</t>
  </si>
  <si>
    <t>DGN</t>
  </si>
  <si>
    <t>EZT</t>
  </si>
  <si>
    <t>EDU</t>
  </si>
  <si>
    <t>LRT</t>
  </si>
  <si>
    <t>LRE</t>
  </si>
  <si>
    <t>LSC</t>
  </si>
  <si>
    <t>MAT</t>
  </si>
  <si>
    <t>MAY</t>
  </si>
  <si>
    <t>PLA</t>
  </si>
  <si>
    <t>PRA</t>
  </si>
  <si>
    <t>PSA</t>
  </si>
  <si>
    <t>SPD</t>
  </si>
  <si>
    <t>TRR</t>
  </si>
  <si>
    <t>TOT</t>
  </si>
  <si>
    <t>VAE</t>
  </si>
  <si>
    <t>ALV</t>
  </si>
  <si>
    <t>BLV</t>
  </si>
  <si>
    <t>CAT</t>
  </si>
  <si>
    <t>CMB</t>
  </si>
  <si>
    <t>CMF</t>
  </si>
  <si>
    <t>GCH</t>
  </si>
  <si>
    <t>JEZ</t>
  </si>
  <si>
    <t>PTJ</t>
  </si>
  <si>
    <t>RIF</t>
  </si>
  <si>
    <t>SMO</t>
  </si>
  <si>
    <t>SGU</t>
  </si>
  <si>
    <t>ABG</t>
  </si>
  <si>
    <t>ARM</t>
  </si>
  <si>
    <t>BOQ</t>
  </si>
  <si>
    <t>CGU</t>
  </si>
  <si>
    <t>DLS</t>
  </si>
  <si>
    <t>DLD</t>
  </si>
  <si>
    <t>FVL</t>
  </si>
  <si>
    <t>KOO</t>
  </si>
  <si>
    <t>LCS</t>
  </si>
  <si>
    <t>MOQ</t>
  </si>
  <si>
    <t>NAC</t>
  </si>
  <si>
    <t>AMA</t>
  </si>
  <si>
    <t>AMR</t>
  </si>
  <si>
    <t>CUN</t>
  </si>
  <si>
    <t>CUP</t>
  </si>
  <si>
    <t>CPN</t>
  </si>
  <si>
    <t>CIN</t>
  </si>
  <si>
    <t>CCD</t>
  </si>
  <si>
    <t>ESZ</t>
  </si>
  <si>
    <t>FMR</t>
  </si>
  <si>
    <t>GTR</t>
  </si>
  <si>
    <t>HDS</t>
  </si>
  <si>
    <t>NDD</t>
  </si>
  <si>
    <t>NHO</t>
  </si>
  <si>
    <t>OAS</t>
  </si>
  <si>
    <t>OCP</t>
  </si>
  <si>
    <t>OJI</t>
  </si>
  <si>
    <t>PMR</t>
  </si>
  <si>
    <t>RNN</t>
  </si>
  <si>
    <t>THS</t>
  </si>
  <si>
    <t>ZONA</t>
  </si>
  <si>
    <t>GERENCIA</t>
  </si>
  <si>
    <t>TIPO DE DIA</t>
  </si>
  <si>
    <t>CLT</t>
  </si>
  <si>
    <t>TCE</t>
  </si>
  <si>
    <t>BAA</t>
  </si>
  <si>
    <t>MZL</t>
  </si>
  <si>
    <t>SLS</t>
  </si>
  <si>
    <t>AHZ42010</t>
  </si>
  <si>
    <t>ESTACIÓN 2</t>
  </si>
  <si>
    <t>ESTACIÓN 1</t>
  </si>
  <si>
    <t>ESTACIÓN 3</t>
  </si>
  <si>
    <t>ESTACIÓN 4</t>
  </si>
  <si>
    <t>CHILPANCINGO</t>
  </si>
  <si>
    <t>AYT</t>
  </si>
  <si>
    <t>AYT42010</t>
  </si>
  <si>
    <t>CIP42030</t>
  </si>
  <si>
    <t>CHG42010</t>
  </si>
  <si>
    <t>CHG42020</t>
  </si>
  <si>
    <t>CCS42010</t>
  </si>
  <si>
    <t>CLT42010</t>
  </si>
  <si>
    <t>HUU42010</t>
  </si>
  <si>
    <t>MLN42010</t>
  </si>
  <si>
    <t>MTL42010</t>
  </si>
  <si>
    <t>OLN42010</t>
  </si>
  <si>
    <t>TIE42010</t>
  </si>
  <si>
    <t>TCE42010</t>
  </si>
  <si>
    <t>TAN42010</t>
  </si>
  <si>
    <t>TUQ42010</t>
  </si>
  <si>
    <t>IGUALA</t>
  </si>
  <si>
    <t>BAA42015</t>
  </si>
  <si>
    <t>HEL52010</t>
  </si>
  <si>
    <t>HEL72010</t>
  </si>
  <si>
    <t>IGU52015</t>
  </si>
  <si>
    <t>IGU52025</t>
  </si>
  <si>
    <t>TXO52015</t>
  </si>
  <si>
    <t>TXO52025</t>
  </si>
  <si>
    <t>MORELOS</t>
  </si>
  <si>
    <t>CIO52015</t>
  </si>
  <si>
    <t>CIV52010</t>
  </si>
  <si>
    <t>CIV52020</t>
  </si>
  <si>
    <t>JIU52010</t>
  </si>
  <si>
    <t>JIU52020</t>
  </si>
  <si>
    <t>JJT42010</t>
  </si>
  <si>
    <t>JJT42020</t>
  </si>
  <si>
    <t>TJA52010</t>
  </si>
  <si>
    <t>TJA52020</t>
  </si>
  <si>
    <t>TEZ52010</t>
  </si>
  <si>
    <t>TLZ42010</t>
  </si>
  <si>
    <t>XCH42010</t>
  </si>
  <si>
    <t>ZAP52050</t>
  </si>
  <si>
    <t>ZAP52060</t>
  </si>
  <si>
    <t>CUAUTLA</t>
  </si>
  <si>
    <t>CUA42010</t>
  </si>
  <si>
    <t>CUA42020</t>
  </si>
  <si>
    <t>CUS42010</t>
  </si>
  <si>
    <t>ICS42015</t>
  </si>
  <si>
    <t>LOC42010</t>
  </si>
  <si>
    <t>LOC42020</t>
  </si>
  <si>
    <t>AOS42010</t>
  </si>
  <si>
    <t>TPL42010</t>
  </si>
  <si>
    <t>TPL42020</t>
  </si>
  <si>
    <t>YTP42010</t>
  </si>
  <si>
    <t>CUERNAVACA</t>
  </si>
  <si>
    <t>CUE52010</t>
  </si>
  <si>
    <t>CUE52020</t>
  </si>
  <si>
    <t>TBH52015</t>
  </si>
  <si>
    <t>TMX52015</t>
  </si>
  <si>
    <t>ACAPULCO</t>
  </si>
  <si>
    <t>ARC42010</t>
  </si>
  <si>
    <t>ARC42020</t>
  </si>
  <si>
    <t>APC42015</t>
  </si>
  <si>
    <t>APC42025</t>
  </si>
  <si>
    <t>BNL42015</t>
  </si>
  <si>
    <t>CAY42015</t>
  </si>
  <si>
    <t>CAZ42010</t>
  </si>
  <si>
    <t>CAZ42020</t>
  </si>
  <si>
    <t>CUG42010</t>
  </si>
  <si>
    <t>ETT42010</t>
  </si>
  <si>
    <t>GAR42010</t>
  </si>
  <si>
    <t>GAR42020</t>
  </si>
  <si>
    <t>LTP42015</t>
  </si>
  <si>
    <t>LMM42015</t>
  </si>
  <si>
    <t>MRA42010</t>
  </si>
  <si>
    <t>MRA42020</t>
  </si>
  <si>
    <t>MOZ42010</t>
  </si>
  <si>
    <t>PDI42015</t>
  </si>
  <si>
    <t>PDI42025</t>
  </si>
  <si>
    <t>PYS42025</t>
  </si>
  <si>
    <t>PUM42010</t>
  </si>
  <si>
    <t>PUM42020</t>
  </si>
  <si>
    <t>REN42010</t>
  </si>
  <si>
    <t>REN42020</t>
  </si>
  <si>
    <t>OMETEPEC</t>
  </si>
  <si>
    <t>AZA42010</t>
  </si>
  <si>
    <t>CGN42010</t>
  </si>
  <si>
    <t>OMT42010</t>
  </si>
  <si>
    <t>PPG42010</t>
  </si>
  <si>
    <t>PZR42010</t>
  </si>
  <si>
    <t>SLU42010</t>
  </si>
  <si>
    <t>THU42010</t>
  </si>
  <si>
    <t>ZIHUATANEJO</t>
  </si>
  <si>
    <t>CYC42010</t>
  </si>
  <si>
    <t>UNN42010</t>
  </si>
  <si>
    <t>PPN42010</t>
  </si>
  <si>
    <t>PPN42020</t>
  </si>
  <si>
    <t>PTT42010</t>
  </si>
  <si>
    <t>PUI42015</t>
  </si>
  <si>
    <t>PUI42025</t>
  </si>
  <si>
    <t>JRN42010</t>
  </si>
  <si>
    <t>SLS42010</t>
  </si>
  <si>
    <t>TCA42010</t>
  </si>
  <si>
    <t>ZIH42010</t>
  </si>
  <si>
    <t>ZIH42020</t>
  </si>
  <si>
    <t>ZHD42010</t>
  </si>
  <si>
    <t>ZHD42020</t>
  </si>
  <si>
    <t>CENTRO SUR</t>
  </si>
  <si>
    <t>CENTRO ORIENTE</t>
  </si>
  <si>
    <t>SURESTE</t>
  </si>
  <si>
    <t>ORIENTE</t>
  </si>
  <si>
    <t>TLAXCALA</t>
  </si>
  <si>
    <t>AZY42010</t>
  </si>
  <si>
    <t>AZY72010</t>
  </si>
  <si>
    <t>API42010</t>
  </si>
  <si>
    <t>API72010</t>
  </si>
  <si>
    <t>ATZ52010</t>
  </si>
  <si>
    <t>CPL42020</t>
  </si>
  <si>
    <t>CPL52010</t>
  </si>
  <si>
    <t>CPL72010</t>
  </si>
  <si>
    <t>CPL72020</t>
  </si>
  <si>
    <t>CHH42010</t>
  </si>
  <si>
    <t>CHH42020</t>
  </si>
  <si>
    <t>CHH72010</t>
  </si>
  <si>
    <t>CNU72010</t>
  </si>
  <si>
    <t>CNU52010</t>
  </si>
  <si>
    <t>CTM52010</t>
  </si>
  <si>
    <t>CTM72010</t>
  </si>
  <si>
    <t>HUA42010</t>
  </si>
  <si>
    <t>HUA72010</t>
  </si>
  <si>
    <t>PNA42010</t>
  </si>
  <si>
    <t>PNA72010</t>
  </si>
  <si>
    <t>PPL42010</t>
  </si>
  <si>
    <t>PPL52025</t>
  </si>
  <si>
    <t>PPL72010</t>
  </si>
  <si>
    <t>PPL72020</t>
  </si>
  <si>
    <t>ANC42020</t>
  </si>
  <si>
    <t>ANC52010</t>
  </si>
  <si>
    <t>STN42010</t>
  </si>
  <si>
    <t>STN72010</t>
  </si>
  <si>
    <t>XIT42020</t>
  </si>
  <si>
    <t>XIT52010</t>
  </si>
  <si>
    <t>XIT72020</t>
  </si>
  <si>
    <t>TEHACAN</t>
  </si>
  <si>
    <t>CPA42010</t>
  </si>
  <si>
    <t>THN42010</t>
  </si>
  <si>
    <t>THN42020</t>
  </si>
  <si>
    <t>THN52030</t>
  </si>
  <si>
    <t>TTP42010</t>
  </si>
  <si>
    <t>ZIP42010</t>
  </si>
  <si>
    <t>ZIP72010</t>
  </si>
  <si>
    <t>ZIP72020</t>
  </si>
  <si>
    <t>MATAMOROS</t>
  </si>
  <si>
    <t>ACA42010</t>
  </si>
  <si>
    <t>ACA72010</t>
  </si>
  <si>
    <t>AEN42010</t>
  </si>
  <si>
    <t>AEN52020</t>
  </si>
  <si>
    <t>ATC42010</t>
  </si>
  <si>
    <t>HUAQUECHULA</t>
  </si>
  <si>
    <t>HUEHUETLAN</t>
  </si>
  <si>
    <t>IZM42020</t>
  </si>
  <si>
    <t>IZM52010</t>
  </si>
  <si>
    <t>IZM72010</t>
  </si>
  <si>
    <t>IZM72020</t>
  </si>
  <si>
    <t>IZD42010</t>
  </si>
  <si>
    <t>IZD72010</t>
  </si>
  <si>
    <t>JOLALPAN</t>
  </si>
  <si>
    <t>LPA42010</t>
  </si>
  <si>
    <t>MEC42020</t>
  </si>
  <si>
    <t>MEC52010</t>
  </si>
  <si>
    <t>NEALTICAN</t>
  </si>
  <si>
    <t>SAN MARTIN</t>
  </si>
  <si>
    <t>MOA42010</t>
  </si>
  <si>
    <t>MOA52020</t>
  </si>
  <si>
    <t>MOA72010</t>
  </si>
  <si>
    <t>MOA72020</t>
  </si>
  <si>
    <t>HJO42010</t>
  </si>
  <si>
    <t>HJO72010</t>
  </si>
  <si>
    <t>MAR42030</t>
  </si>
  <si>
    <t>MAR52020</t>
  </si>
  <si>
    <t>MAR72020</t>
  </si>
  <si>
    <t>MAR72030</t>
  </si>
  <si>
    <t>SMG52010</t>
  </si>
  <si>
    <t>SMG72010</t>
  </si>
  <si>
    <t>TXB</t>
  </si>
  <si>
    <t>TECAMACHALCO</t>
  </si>
  <si>
    <t>ACZ42010</t>
  </si>
  <si>
    <t>ACZ72010</t>
  </si>
  <si>
    <t>ERZ42020</t>
  </si>
  <si>
    <t>ERZ52010</t>
  </si>
  <si>
    <t>LIB42010</t>
  </si>
  <si>
    <t>PLB42010</t>
  </si>
  <si>
    <t>TML42010</t>
  </si>
  <si>
    <t>TML52020</t>
  </si>
  <si>
    <t>TML72010</t>
  </si>
  <si>
    <t>TML72020</t>
  </si>
  <si>
    <t>TLD42010</t>
  </si>
  <si>
    <t>TPE42010</t>
  </si>
  <si>
    <t>TPI</t>
  </si>
  <si>
    <t>TPI42010</t>
  </si>
  <si>
    <t>ZTP</t>
  </si>
  <si>
    <t>ZTP42015</t>
  </si>
  <si>
    <t>PUEBLA PONIENTE</t>
  </si>
  <si>
    <t>LML52010</t>
  </si>
  <si>
    <t>AUN42015</t>
  </si>
  <si>
    <t>AUN42025</t>
  </si>
  <si>
    <t>AXT42010</t>
  </si>
  <si>
    <t>ECN42010</t>
  </si>
  <si>
    <t>ECN52020</t>
  </si>
  <si>
    <t>EXE52015</t>
  </si>
  <si>
    <t>NOR42030</t>
  </si>
  <si>
    <t>NOR52010</t>
  </si>
  <si>
    <t>NOR52020</t>
  </si>
  <si>
    <t>PON42010</t>
  </si>
  <si>
    <t>PON42020</t>
  </si>
  <si>
    <t>PON52030</t>
  </si>
  <si>
    <t>PSF42025</t>
  </si>
  <si>
    <t>PSF52015</t>
  </si>
  <si>
    <t>PSF72010</t>
  </si>
  <si>
    <t>PSF72020</t>
  </si>
  <si>
    <t>RSN42010</t>
  </si>
  <si>
    <t>LRZ52010</t>
  </si>
  <si>
    <t>TNZ42010</t>
  </si>
  <si>
    <t>PUEBLA ORIENTE</t>
  </si>
  <si>
    <t>AGA42010</t>
  </si>
  <si>
    <t>AMZ42010</t>
  </si>
  <si>
    <t>AMZ52025</t>
  </si>
  <si>
    <t>BOE42015</t>
  </si>
  <si>
    <t>BGS</t>
  </si>
  <si>
    <t>BGS42015</t>
  </si>
  <si>
    <t>BGS52020</t>
  </si>
  <si>
    <t>CIY42015</t>
  </si>
  <si>
    <t>CIY42025</t>
  </si>
  <si>
    <t>CIY72010</t>
  </si>
  <si>
    <t>CIY72020</t>
  </si>
  <si>
    <t>FUE42010</t>
  </si>
  <si>
    <t>FUE42020</t>
  </si>
  <si>
    <t>GAN42010</t>
  </si>
  <si>
    <t>GAN42020</t>
  </si>
  <si>
    <t>INT52010</t>
  </si>
  <si>
    <t>INT52020</t>
  </si>
  <si>
    <t>ORT42010</t>
  </si>
  <si>
    <t>ORT52040</t>
  </si>
  <si>
    <t>ORT72010</t>
  </si>
  <si>
    <t>PDM42010</t>
  </si>
  <si>
    <t>PDM72010</t>
  </si>
  <si>
    <t>USE</t>
  </si>
  <si>
    <t>USE42010</t>
  </si>
  <si>
    <t>PACHUCA</t>
  </si>
  <si>
    <t>ANL52010</t>
  </si>
  <si>
    <t>PIR52015</t>
  </si>
  <si>
    <t>PIR72010</t>
  </si>
  <si>
    <t>TULANCINGO</t>
  </si>
  <si>
    <t>TULA</t>
  </si>
  <si>
    <t>PQI</t>
  </si>
  <si>
    <t>AAA42015</t>
  </si>
  <si>
    <t>CHI42012</t>
  </si>
  <si>
    <t>CJT42030</t>
  </si>
  <si>
    <t>CJT42040</t>
  </si>
  <si>
    <t>CJT52010</t>
  </si>
  <si>
    <t>CJT52020</t>
  </si>
  <si>
    <t>FLM42010</t>
  </si>
  <si>
    <t>FCM42025</t>
  </si>
  <si>
    <t>FCM52010</t>
  </si>
  <si>
    <t>OCO52010</t>
  </si>
  <si>
    <t>OCO52020</t>
  </si>
  <si>
    <t>OCO52030</t>
  </si>
  <si>
    <t>OXC52010</t>
  </si>
  <si>
    <t>PAN42012</t>
  </si>
  <si>
    <t>PTC42012</t>
  </si>
  <si>
    <t>CRI42020</t>
  </si>
  <si>
    <t>CRI42030</t>
  </si>
  <si>
    <t>CRI52010</t>
  </si>
  <si>
    <t>SCO42010</t>
  </si>
  <si>
    <t>SCH42040</t>
  </si>
  <si>
    <t>BCH42010</t>
  </si>
  <si>
    <t>CIT42010</t>
  </si>
  <si>
    <t>CIT42020</t>
  </si>
  <si>
    <t>COP42012</t>
  </si>
  <si>
    <t>GIA42020</t>
  </si>
  <si>
    <t>GIA52010</t>
  </si>
  <si>
    <t>IPD42010</t>
  </si>
  <si>
    <t>IPD42020</t>
  </si>
  <si>
    <t>JUY42010</t>
  </si>
  <si>
    <t>JUY52020</t>
  </si>
  <si>
    <t>LGZ42010</t>
  </si>
  <si>
    <t>LMX42010</t>
  </si>
  <si>
    <t>MPE42015</t>
  </si>
  <si>
    <t>OCZ42010</t>
  </si>
  <si>
    <t>OCZ42020</t>
  </si>
  <si>
    <t>RBD42015</t>
  </si>
  <si>
    <t>SMJ42010</t>
  </si>
  <si>
    <t>SOY42015</t>
  </si>
  <si>
    <t>TGD42010</t>
  </si>
  <si>
    <t>TGD42020</t>
  </si>
  <si>
    <t>TXN42010</t>
  </si>
  <si>
    <t>TXN42020</t>
  </si>
  <si>
    <t>TXS42010</t>
  </si>
  <si>
    <t>TGU42010</t>
  </si>
  <si>
    <t>TGU42020</t>
  </si>
  <si>
    <t>VFD42010</t>
  </si>
  <si>
    <t>VFD42020</t>
  </si>
  <si>
    <t>AYT42012</t>
  </si>
  <si>
    <t>EJT42010</t>
  </si>
  <si>
    <t>EJT42020</t>
  </si>
  <si>
    <t>TLE42015</t>
  </si>
  <si>
    <t>ETX42010</t>
  </si>
  <si>
    <t>ETX42020</t>
  </si>
  <si>
    <t>IXJ42015</t>
  </si>
  <si>
    <t>IXJ52020</t>
  </si>
  <si>
    <t>MHT42010</t>
  </si>
  <si>
    <t>MHT42022</t>
  </si>
  <si>
    <t>MTX42010</t>
  </si>
  <si>
    <t>MTX52020</t>
  </si>
  <si>
    <t>OXD42010</t>
  </si>
  <si>
    <t>OXD42020</t>
  </si>
  <si>
    <t>OXD52030</t>
  </si>
  <si>
    <t>OAP42010</t>
  </si>
  <si>
    <t>OAP42020</t>
  </si>
  <si>
    <t>OAX42010</t>
  </si>
  <si>
    <t>OAX42020</t>
  </si>
  <si>
    <t>RMC42015</t>
  </si>
  <si>
    <t>SFO42015</t>
  </si>
  <si>
    <t>JTL42015</t>
  </si>
  <si>
    <t>HTP42015</t>
  </si>
  <si>
    <t>TLL42015</t>
  </si>
  <si>
    <t>YAC</t>
  </si>
  <si>
    <t>YAC42012</t>
  </si>
  <si>
    <t>CNJ42015</t>
  </si>
  <si>
    <t>HCO42010</t>
  </si>
  <si>
    <t>NJP42012</t>
  </si>
  <si>
    <t>PIN42010</t>
  </si>
  <si>
    <t>PIN42020</t>
  </si>
  <si>
    <t>POC42010</t>
  </si>
  <si>
    <t>PUE42010</t>
  </si>
  <si>
    <t>PUE42020</t>
  </si>
  <si>
    <t>RSO42010</t>
  </si>
  <si>
    <t>CUX42010</t>
  </si>
  <si>
    <t>HJP42020</t>
  </si>
  <si>
    <t>HUJ42012</t>
  </si>
  <si>
    <t>ITU42015</t>
  </si>
  <si>
    <t>LJU42015</t>
  </si>
  <si>
    <t>NCH42010</t>
  </si>
  <si>
    <t>PGX42012</t>
  </si>
  <si>
    <t>SSM42010</t>
  </si>
  <si>
    <t>SMG42012</t>
  </si>
  <si>
    <t>TAMAZULAPAN</t>
  </si>
  <si>
    <t>TAP</t>
  </si>
  <si>
    <t>TAP42015</t>
  </si>
  <si>
    <t>TCX42015</t>
  </si>
  <si>
    <t>TIL42010</t>
  </si>
  <si>
    <t>TXI42010</t>
  </si>
  <si>
    <t>TXI52020</t>
  </si>
  <si>
    <t>YOL42015</t>
  </si>
  <si>
    <t>AYA42010</t>
  </si>
  <si>
    <t>ARR42010</t>
  </si>
  <si>
    <t>ARR42020</t>
  </si>
  <si>
    <t>BZD</t>
  </si>
  <si>
    <t>BZD42040</t>
  </si>
  <si>
    <t>BELISARIO DOMINGUEZ DOS</t>
  </si>
  <si>
    <t>CLL42060</t>
  </si>
  <si>
    <t>CIUDAD HIDALGO</t>
  </si>
  <si>
    <t>FHG</t>
  </si>
  <si>
    <t>HUX42010</t>
  </si>
  <si>
    <t>MAP42010</t>
  </si>
  <si>
    <t>MAZ42010</t>
  </si>
  <si>
    <t>MTA</t>
  </si>
  <si>
    <t>MTO42010</t>
  </si>
  <si>
    <t>PJJ42010</t>
  </si>
  <si>
    <t>PIJ</t>
  </si>
  <si>
    <t>PIJ42015</t>
  </si>
  <si>
    <t>PUERTO MADERO</t>
  </si>
  <si>
    <t>TCH42010</t>
  </si>
  <si>
    <t>TCH42020</t>
  </si>
  <si>
    <t>TAE42010</t>
  </si>
  <si>
    <t>TOE42010</t>
  </si>
  <si>
    <t>TNA42010</t>
  </si>
  <si>
    <t>TAHUANTEPEC</t>
  </si>
  <si>
    <t>CAM</t>
  </si>
  <si>
    <t>CAM42012</t>
  </si>
  <si>
    <t>IXP42010</t>
  </si>
  <si>
    <t>IXP42020</t>
  </si>
  <si>
    <t>JMZ</t>
  </si>
  <si>
    <t>JUC42010</t>
  </si>
  <si>
    <t>MRO42010</t>
  </si>
  <si>
    <t>SAD</t>
  </si>
  <si>
    <t>SAC42010</t>
  </si>
  <si>
    <t>SAC42030</t>
  </si>
  <si>
    <t>SAC52020</t>
  </si>
  <si>
    <t>STD42010</t>
  </si>
  <si>
    <t>SRB42010</t>
  </si>
  <si>
    <t>SRB42020</t>
  </si>
  <si>
    <t>TNP</t>
  </si>
  <si>
    <t>TNP42015</t>
  </si>
  <si>
    <t>TNL42015</t>
  </si>
  <si>
    <t>THT42010</t>
  </si>
  <si>
    <t>THT52020</t>
  </si>
  <si>
    <t>TQS</t>
  </si>
  <si>
    <t>ZANATEPEC</t>
  </si>
  <si>
    <t>VILLA HERMOSA</t>
  </si>
  <si>
    <t>CIH42015</t>
  </si>
  <si>
    <t>CIH42025</t>
  </si>
  <si>
    <t>FRT42010</t>
  </si>
  <si>
    <t>LCH42015</t>
  </si>
  <si>
    <t>LCH42025</t>
  </si>
  <si>
    <t>LCH42030</t>
  </si>
  <si>
    <t>MCL42010</t>
  </si>
  <si>
    <t>MCL42020</t>
  </si>
  <si>
    <t>PLLL42010</t>
  </si>
  <si>
    <t>PCO42020</t>
  </si>
  <si>
    <t>PCO52010</t>
  </si>
  <si>
    <t>PMC42015</t>
  </si>
  <si>
    <t>RFA42010</t>
  </si>
  <si>
    <t>SYA42015</t>
  </si>
  <si>
    <t>TBQ42015</t>
  </si>
  <si>
    <t>TCT42022</t>
  </si>
  <si>
    <t>TAT42015</t>
  </si>
  <si>
    <t>TAT42025</t>
  </si>
  <si>
    <t>TPJ42010</t>
  </si>
  <si>
    <t>TPL42012</t>
  </si>
  <si>
    <t>TTB42010</t>
  </si>
  <si>
    <t>TTB42020</t>
  </si>
  <si>
    <t>VHC42015</t>
  </si>
  <si>
    <t>VID42010</t>
  </si>
  <si>
    <t>VID42020</t>
  </si>
  <si>
    <t>VID42030</t>
  </si>
  <si>
    <t>VIU42010</t>
  </si>
  <si>
    <t>VIU42020</t>
  </si>
  <si>
    <t>CDD42020</t>
  </si>
  <si>
    <t>CDN42020</t>
  </si>
  <si>
    <t>CDN52010</t>
  </si>
  <si>
    <t>CHT42015</t>
  </si>
  <si>
    <t>COM42020</t>
  </si>
  <si>
    <t>COM52010</t>
  </si>
  <si>
    <t>CAO42010</t>
  </si>
  <si>
    <t>CAO42025</t>
  </si>
  <si>
    <t>DUA42015</t>
  </si>
  <si>
    <t>HMG42010</t>
  </si>
  <si>
    <t>HMG42020</t>
  </si>
  <si>
    <t>JAA42010</t>
  </si>
  <si>
    <t>JAA42020</t>
  </si>
  <si>
    <t>MEZ42010</t>
  </si>
  <si>
    <t>PSO42010</t>
  </si>
  <si>
    <t>PSO42020</t>
  </si>
  <si>
    <t>PRQ42015</t>
  </si>
  <si>
    <t>PED42015</t>
  </si>
  <si>
    <t>SMA</t>
  </si>
  <si>
    <t>TECOLUTILLA</t>
  </si>
  <si>
    <t>TLN42010</t>
  </si>
  <si>
    <t>BALANCAN</t>
  </si>
  <si>
    <t>EL TRIUNFO</t>
  </si>
  <si>
    <t>ZOP52010</t>
  </si>
  <si>
    <t>JONUTA</t>
  </si>
  <si>
    <t>LVA42010</t>
  </si>
  <si>
    <t>LCJ52010</t>
  </si>
  <si>
    <t>MCP42010</t>
  </si>
  <si>
    <t>PLQ42010</t>
  </si>
  <si>
    <t>PLQ42020</t>
  </si>
  <si>
    <t>TNQ42010</t>
  </si>
  <si>
    <t>TNQ52020</t>
  </si>
  <si>
    <t>ZPD42020</t>
  </si>
  <si>
    <t>ZPD52010</t>
  </si>
  <si>
    <t>EZA42010</t>
  </si>
  <si>
    <t>POZARICA</t>
  </si>
  <si>
    <t>ARP42010</t>
  </si>
  <si>
    <t>AGF42010</t>
  </si>
  <si>
    <t>BVI42010</t>
  </si>
  <si>
    <t>CZN</t>
  </si>
  <si>
    <t>CZN42015</t>
  </si>
  <si>
    <t>CDO42010</t>
  </si>
  <si>
    <t>CHI42010</t>
  </si>
  <si>
    <t>COATZINTLA</t>
  </si>
  <si>
    <t>ETD42010</t>
  </si>
  <si>
    <t>ETD52020</t>
  </si>
  <si>
    <t>ESF42010</t>
  </si>
  <si>
    <t>GZD42010</t>
  </si>
  <si>
    <t>IXM</t>
  </si>
  <si>
    <t>IXM42010</t>
  </si>
  <si>
    <t>LBR42010</t>
  </si>
  <si>
    <t>PMM42010</t>
  </si>
  <si>
    <t>PPC72010</t>
  </si>
  <si>
    <t>PAPANTLA POTENCIA</t>
  </si>
  <si>
    <t>PRT42015</t>
  </si>
  <si>
    <t>PRT42025</t>
  </si>
  <si>
    <t>POZARICA UNO</t>
  </si>
  <si>
    <t>TAJ42010</t>
  </si>
  <si>
    <t>TPY42010</t>
  </si>
  <si>
    <t>THD42010</t>
  </si>
  <si>
    <t>TUD42010</t>
  </si>
  <si>
    <t>XIP42010</t>
  </si>
  <si>
    <t>XIP52020</t>
  </si>
  <si>
    <t>XIP52030</t>
  </si>
  <si>
    <t>XALAPA</t>
  </si>
  <si>
    <t>AOC42010</t>
  </si>
  <si>
    <t>CMT72010</t>
  </si>
  <si>
    <t>CMT72020</t>
  </si>
  <si>
    <t>COP42010</t>
  </si>
  <si>
    <t>ELC42020</t>
  </si>
  <si>
    <t>CEO42010</t>
  </si>
  <si>
    <t>CEO42020</t>
  </si>
  <si>
    <t>JLD42010</t>
  </si>
  <si>
    <t>JLD42020</t>
  </si>
  <si>
    <t>RNA42010</t>
  </si>
  <si>
    <t>TRN42010</t>
  </si>
  <si>
    <t>TEZIUTLAN</t>
  </si>
  <si>
    <t>TTG42010</t>
  </si>
  <si>
    <t>EL ENCANTO</t>
  </si>
  <si>
    <t>HYN42010</t>
  </si>
  <si>
    <t>HMT42010</t>
  </si>
  <si>
    <t>LGP42010</t>
  </si>
  <si>
    <t>LAS MINAS</t>
  </si>
  <si>
    <t>VGS42015</t>
  </si>
  <si>
    <t>MGS42010</t>
  </si>
  <si>
    <t>MDD42010</t>
  </si>
  <si>
    <t>MDD42025</t>
  </si>
  <si>
    <t>MTT42015</t>
  </si>
  <si>
    <t>MSD42010</t>
  </si>
  <si>
    <t>PEE42010</t>
  </si>
  <si>
    <t>PEE52020</t>
  </si>
  <si>
    <t>RFD42010</t>
  </si>
  <si>
    <t>SNS42010</t>
  </si>
  <si>
    <t>TZT42020</t>
  </si>
  <si>
    <t>TZT42030</t>
  </si>
  <si>
    <t>TZT72010</t>
  </si>
  <si>
    <t>TZD42015</t>
  </si>
  <si>
    <t>TLY42010</t>
  </si>
  <si>
    <t>VDA42010</t>
  </si>
  <si>
    <t>VIGAS</t>
  </si>
  <si>
    <t>ZXP42010</t>
  </si>
  <si>
    <t>ZXP42020</t>
  </si>
  <si>
    <t>VERACRUZ</t>
  </si>
  <si>
    <t>AMN42010</t>
  </si>
  <si>
    <t>AVD42010</t>
  </si>
  <si>
    <t>BDR42015</t>
  </si>
  <si>
    <t>BDR42025</t>
  </si>
  <si>
    <t>BRS42015</t>
  </si>
  <si>
    <t>BRS42025</t>
  </si>
  <si>
    <t>CAE42010</t>
  </si>
  <si>
    <t>CAE42020</t>
  </si>
  <si>
    <t>DOS BOCAS</t>
  </si>
  <si>
    <t>EL GUAYABO</t>
  </si>
  <si>
    <t>FRY42010</t>
  </si>
  <si>
    <t>FRY42020</t>
  </si>
  <si>
    <t>IFN42010</t>
  </si>
  <si>
    <t>IFN42020</t>
  </si>
  <si>
    <t>JARDIN</t>
  </si>
  <si>
    <t>JBL42015</t>
  </si>
  <si>
    <t>JBL42025</t>
  </si>
  <si>
    <t>MCB42010</t>
  </si>
  <si>
    <t>MCB42020</t>
  </si>
  <si>
    <t>PAG42015</t>
  </si>
  <si>
    <t>PAG42025</t>
  </si>
  <si>
    <t>PDT42010</t>
  </si>
  <si>
    <t>PDT42020</t>
  </si>
  <si>
    <t>PNS42010</t>
  </si>
  <si>
    <t>PXN</t>
  </si>
  <si>
    <t>PXN42015</t>
  </si>
  <si>
    <t>PXN42025</t>
  </si>
  <si>
    <t>PLI42010</t>
  </si>
  <si>
    <t>PLI42020</t>
  </si>
  <si>
    <t>RME</t>
  </si>
  <si>
    <t>RME42015</t>
  </si>
  <si>
    <t>SCF42015</t>
  </si>
  <si>
    <t>SCF72015</t>
  </si>
  <si>
    <t>SAN LUIS</t>
  </si>
  <si>
    <t>SNF42010</t>
  </si>
  <si>
    <t>SOD42010</t>
  </si>
  <si>
    <t>TDD42010</t>
  </si>
  <si>
    <t>TJR42010</t>
  </si>
  <si>
    <t>VERACRUZ DOS</t>
  </si>
  <si>
    <t>VRU42010</t>
  </si>
  <si>
    <t>VRU42020</t>
  </si>
  <si>
    <t>PAPALOAPAN</t>
  </si>
  <si>
    <t>CAC42010</t>
  </si>
  <si>
    <t>CAC42020</t>
  </si>
  <si>
    <t>CERRO DE ORO POTENCIA</t>
  </si>
  <si>
    <t>CSL42015</t>
  </si>
  <si>
    <t>EL JICARO</t>
  </si>
  <si>
    <t>GBA42010</t>
  </si>
  <si>
    <t>GRT42020</t>
  </si>
  <si>
    <t>GRT52010</t>
  </si>
  <si>
    <t>ISL42010</t>
  </si>
  <si>
    <t>LBD42010</t>
  </si>
  <si>
    <t>PVC42010</t>
  </si>
  <si>
    <t>RDC42010</t>
  </si>
  <si>
    <t>TEMASCAL UNO</t>
  </si>
  <si>
    <t>TBL42010</t>
  </si>
  <si>
    <t>TBL42020</t>
  </si>
  <si>
    <t>TNJ42015</t>
  </si>
  <si>
    <t>TTA42010</t>
  </si>
  <si>
    <t>TXD42010</t>
  </si>
  <si>
    <t>TXD42020</t>
  </si>
  <si>
    <t>TPS42015</t>
  </si>
  <si>
    <t>VAN42010</t>
  </si>
  <si>
    <t>LOS TUXTLAS</t>
  </si>
  <si>
    <t>CTO42010</t>
  </si>
  <si>
    <t>CHP42020</t>
  </si>
  <si>
    <t>HOP</t>
  </si>
  <si>
    <t>HOP42010</t>
  </si>
  <si>
    <t>LRD42010</t>
  </si>
  <si>
    <t>ADS42010</t>
  </si>
  <si>
    <t>ADS42020</t>
  </si>
  <si>
    <t>COATZACOALCOS</t>
  </si>
  <si>
    <t>ACY42020</t>
  </si>
  <si>
    <t>ACY72010</t>
  </si>
  <si>
    <t>ADD42020</t>
  </si>
  <si>
    <t>ADD72010</t>
  </si>
  <si>
    <t>CIC42015</t>
  </si>
  <si>
    <t>CIC42025</t>
  </si>
  <si>
    <t>CELCSA MANIOBRAS</t>
  </si>
  <si>
    <t>CHD42020</t>
  </si>
  <si>
    <t>CHD42030</t>
  </si>
  <si>
    <t>CHD52010</t>
  </si>
  <si>
    <t>CHINAMECA POTENCIA</t>
  </si>
  <si>
    <t>COATZACOALCOS DOS</t>
  </si>
  <si>
    <t>IDESA</t>
  </si>
  <si>
    <t>LHD42010</t>
  </si>
  <si>
    <t>LME42010</t>
  </si>
  <si>
    <t>LME42020</t>
  </si>
  <si>
    <t>MAS42015</t>
  </si>
  <si>
    <t>MIU42030</t>
  </si>
  <si>
    <t>MIU42040</t>
  </si>
  <si>
    <t>MIU52010</t>
  </si>
  <si>
    <t>MINATITLAN DOS</t>
  </si>
  <si>
    <t>NND42020</t>
  </si>
  <si>
    <t>NND52010</t>
  </si>
  <si>
    <t>NMO42015</t>
  </si>
  <si>
    <t>PJD42035</t>
  </si>
  <si>
    <t>PJD42045</t>
  </si>
  <si>
    <t>PFR42015</t>
  </si>
  <si>
    <t>PFR42025</t>
  </si>
  <si>
    <t>SNT42010</t>
  </si>
  <si>
    <t>VIS42010</t>
  </si>
  <si>
    <t>VIS42020</t>
  </si>
  <si>
    <t>ORIZABA</t>
  </si>
  <si>
    <t>ECM42010</t>
  </si>
  <si>
    <t>ECM42020</t>
  </si>
  <si>
    <t>FOR42010</t>
  </si>
  <si>
    <t>FOR42020</t>
  </si>
  <si>
    <t>NGL42010</t>
  </si>
  <si>
    <t>NGL42020</t>
  </si>
  <si>
    <t>OJO DE AGUA POTENCIA</t>
  </si>
  <si>
    <t>ORI42010</t>
  </si>
  <si>
    <t>ORI42020</t>
  </si>
  <si>
    <t>RBD</t>
  </si>
  <si>
    <t>RBD42010</t>
  </si>
  <si>
    <t>ZGL42010</t>
  </si>
  <si>
    <t>CORDOBA</t>
  </si>
  <si>
    <t>AMATLAN II</t>
  </si>
  <si>
    <t>COR42010</t>
  </si>
  <si>
    <t>COR42020</t>
  </si>
  <si>
    <t>CBS42010</t>
  </si>
  <si>
    <t>CBS42020</t>
  </si>
  <si>
    <t>CSE42010</t>
  </si>
  <si>
    <t>CTH42010</t>
  </si>
  <si>
    <t>HTU42010</t>
  </si>
  <si>
    <t>OME42010</t>
  </si>
  <si>
    <t>PTD42010</t>
  </si>
  <si>
    <t>GENERACIÓN</t>
  </si>
  <si>
    <t>TRANS</t>
  </si>
  <si>
    <t>s</t>
  </si>
  <si>
    <t>ATT42010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</si>
</sst>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-2]* #,##0.00_-;\-[$€-2]* #,##0.00_-;_-[$€-2]* &quot;-&quot;??_-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Lucida Console"/>
      <family val="3"/>
    </font>
    <font>
      <sz val="10"/>
      <name val="Arial"/>
      <family val="2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0720">
    <xf numFmtId="0" fontId="0" fillId="0" borderId="0"/>
    <xf numFmtId="0" fontId="1" fillId="0" borderId="0"/>
    <xf numFmtId="164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8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3" borderId="1" xfId="1" applyFont="1" applyFill="1" applyBorder="1" applyAlignment="1">
      <alignment horizontal="center"/>
    </xf>
    <xf numFmtId="0" fontId="2" fillId="4" borderId="1" xfId="1" applyFont="1" applyFill="1" applyBorder="1" applyAlignment="1">
      <alignment horizontal="center"/>
    </xf>
    <xf numFmtId="0" fontId="2" fillId="5" borderId="1" xfId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7" borderId="3" xfId="0" applyFill="1" applyBorder="1" applyAlignment="1">
      <alignment vertical="center"/>
    </xf>
    <xf numFmtId="0" fontId="0" fillId="7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 vertical="center"/>
    </xf>
    <xf numFmtId="0" fontId="0" fillId="9" borderId="0" xfId="0" applyFill="1"/>
    <xf numFmtId="0" fontId="0" fillId="0" borderId="0" xfId="0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2" borderId="0" xfId="0" applyFill="1" applyAlignment="1">
      <alignment horizontal="center"/>
    </xf>
    <xf numFmtId="14" fontId="0" fillId="10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/>
    </xf>
    <xf numFmtId="14" fontId="0" fillId="14" borderId="0" xfId="0" applyNumberFormat="1" applyFill="1" applyAlignment="1">
      <alignment horizontal="center"/>
    </xf>
    <xf numFmtId="14" fontId="0" fillId="13" borderId="0" xfId="0" applyNumberFormat="1" applyFill="1" applyAlignment="1">
      <alignment horizontal="center"/>
    </xf>
    <xf numFmtId="14" fontId="0" fillId="12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7" fillId="0" borderId="0" xfId="0" applyFont="1"/>
    <xf numFmtId="0" fontId="0" fillId="1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0" fillId="17" borderId="0" xfId="0" applyFill="1"/>
    <xf numFmtId="0" fontId="0" fillId="23" borderId="0" xfId="0" applyFill="1"/>
    <xf numFmtId="0" fontId="0" fillId="25" borderId="0" xfId="0" applyFill="1" applyAlignment="1">
      <alignment horizontal="center"/>
    </xf>
    <xf numFmtId="0" fontId="0" fillId="25" borderId="0" xfId="0" applyFill="1" applyAlignment="1">
      <alignment horizontal="left" vertical="center"/>
    </xf>
    <xf numFmtId="0" fontId="0" fillId="25" borderId="0" xfId="0" applyFill="1" applyAlignment="1">
      <alignment horizontal="left"/>
    </xf>
    <xf numFmtId="0" fontId="0" fillId="25" borderId="0" xfId="0" applyFill="1"/>
    <xf numFmtId="0" fontId="0" fillId="26" borderId="0" xfId="0" applyFill="1"/>
    <xf numFmtId="0" fontId="0" fillId="18" borderId="0" xfId="0" applyFill="1"/>
    <xf numFmtId="0" fontId="0" fillId="24" borderId="0" xfId="0" applyFill="1"/>
    <xf numFmtId="0" fontId="8" fillId="26" borderId="0" xfId="0" applyFont="1" applyFill="1"/>
    <xf numFmtId="0" fontId="8" fillId="24" borderId="0" xfId="0" applyFont="1" applyFill="1"/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</cellXfs>
  <cellStyles count="10720">
    <cellStyle name="Euro" xfId="2"/>
    <cellStyle name="Normal" xfId="0" builtinId="0"/>
    <cellStyle name="Normal 10" xfId="3"/>
    <cellStyle name="Normal 10 10" xfId="4"/>
    <cellStyle name="Normal 10 100" xfId="5"/>
    <cellStyle name="Normal 10 101" xfId="6"/>
    <cellStyle name="Normal 10 102" xfId="7"/>
    <cellStyle name="Normal 10 103" xfId="8"/>
    <cellStyle name="Normal 10 104" xfId="9"/>
    <cellStyle name="Normal 10 105" xfId="10"/>
    <cellStyle name="Normal 10 106" xfId="11"/>
    <cellStyle name="Normal 10 107" xfId="12"/>
    <cellStyle name="Normal 10 108" xfId="13"/>
    <cellStyle name="Normal 10 109" xfId="14"/>
    <cellStyle name="Normal 10 11" xfId="15"/>
    <cellStyle name="Normal 10 110" xfId="16"/>
    <cellStyle name="Normal 10 111" xfId="17"/>
    <cellStyle name="Normal 10 112" xfId="18"/>
    <cellStyle name="Normal 10 113" xfId="19"/>
    <cellStyle name="Normal 10 114" xfId="20"/>
    <cellStyle name="Normal 10 115" xfId="21"/>
    <cellStyle name="Normal 10 116" xfId="22"/>
    <cellStyle name="Normal 10 117" xfId="23"/>
    <cellStyle name="Normal 10 118" xfId="24"/>
    <cellStyle name="Normal 10 119" xfId="25"/>
    <cellStyle name="Normal 10 12" xfId="26"/>
    <cellStyle name="Normal 10 120" xfId="27"/>
    <cellStyle name="Normal 10 121" xfId="28"/>
    <cellStyle name="Normal 10 122" xfId="29"/>
    <cellStyle name="Normal 10 123" xfId="30"/>
    <cellStyle name="Normal 10 124" xfId="31"/>
    <cellStyle name="Normal 10 125" xfId="32"/>
    <cellStyle name="Normal 10 126" xfId="33"/>
    <cellStyle name="Normal 10 127" xfId="34"/>
    <cellStyle name="Normal 10 128" xfId="35"/>
    <cellStyle name="Normal 10 129" xfId="36"/>
    <cellStyle name="Normal 10 13" xfId="37"/>
    <cellStyle name="Normal 10 130" xfId="38"/>
    <cellStyle name="Normal 10 131" xfId="39"/>
    <cellStyle name="Normal 10 132" xfId="40"/>
    <cellStyle name="Normal 10 133" xfId="41"/>
    <cellStyle name="Normal 10 134" xfId="42"/>
    <cellStyle name="Normal 10 135" xfId="43"/>
    <cellStyle name="Normal 10 136" xfId="44"/>
    <cellStyle name="Normal 10 137" xfId="45"/>
    <cellStyle name="Normal 10 138" xfId="46"/>
    <cellStyle name="Normal 10 139" xfId="47"/>
    <cellStyle name="Normal 10 14" xfId="48"/>
    <cellStyle name="Normal 10 140" xfId="49"/>
    <cellStyle name="Normal 10 141" xfId="50"/>
    <cellStyle name="Normal 10 142" xfId="51"/>
    <cellStyle name="Normal 10 143" xfId="52"/>
    <cellStyle name="Normal 10 144" xfId="53"/>
    <cellStyle name="Normal 10 145" xfId="54"/>
    <cellStyle name="Normal 10 146" xfId="55"/>
    <cellStyle name="Normal 10 147" xfId="56"/>
    <cellStyle name="Normal 10 148" xfId="57"/>
    <cellStyle name="Normal 10 149" xfId="58"/>
    <cellStyle name="Normal 10 15" xfId="59"/>
    <cellStyle name="Normal 10 150" xfId="60"/>
    <cellStyle name="Normal 10 151" xfId="61"/>
    <cellStyle name="Normal 10 152" xfId="62"/>
    <cellStyle name="Normal 10 153" xfId="63"/>
    <cellStyle name="Normal 10 154" xfId="64"/>
    <cellStyle name="Normal 10 155" xfId="65"/>
    <cellStyle name="Normal 10 156" xfId="66"/>
    <cellStyle name="Normal 10 157" xfId="67"/>
    <cellStyle name="Normal 10 158" xfId="68"/>
    <cellStyle name="Normal 10 159" xfId="69"/>
    <cellStyle name="Normal 10 16" xfId="70"/>
    <cellStyle name="Normal 10 160" xfId="71"/>
    <cellStyle name="Normal 10 161" xfId="72"/>
    <cellStyle name="Normal 10 162" xfId="73"/>
    <cellStyle name="Normal 10 163" xfId="74"/>
    <cellStyle name="Normal 10 164" xfId="75"/>
    <cellStyle name="Normal 10 165" xfId="76"/>
    <cellStyle name="Normal 10 166" xfId="77"/>
    <cellStyle name="Normal 10 167" xfId="78"/>
    <cellStyle name="Normal 10 168" xfId="79"/>
    <cellStyle name="Normal 10 169" xfId="80"/>
    <cellStyle name="Normal 10 17" xfId="81"/>
    <cellStyle name="Normal 10 170" xfId="82"/>
    <cellStyle name="Normal 10 171" xfId="83"/>
    <cellStyle name="Normal 10 172" xfId="84"/>
    <cellStyle name="Normal 10 173" xfId="85"/>
    <cellStyle name="Normal 10 174" xfId="86"/>
    <cellStyle name="Normal 10 175" xfId="87"/>
    <cellStyle name="Normal 10 176" xfId="88"/>
    <cellStyle name="Normal 10 177" xfId="89"/>
    <cellStyle name="Normal 10 178" xfId="90"/>
    <cellStyle name="Normal 10 179" xfId="91"/>
    <cellStyle name="Normal 10 18" xfId="92"/>
    <cellStyle name="Normal 10 180" xfId="93"/>
    <cellStyle name="Normal 10 181" xfId="94"/>
    <cellStyle name="Normal 10 182" xfId="95"/>
    <cellStyle name="Normal 10 183" xfId="96"/>
    <cellStyle name="Normal 10 184" xfId="97"/>
    <cellStyle name="Normal 10 185" xfId="98"/>
    <cellStyle name="Normal 10 186" xfId="99"/>
    <cellStyle name="Normal 10 187" xfId="100"/>
    <cellStyle name="Normal 10 188" xfId="101"/>
    <cellStyle name="Normal 10 189" xfId="102"/>
    <cellStyle name="Normal 10 19" xfId="103"/>
    <cellStyle name="Normal 10 190" xfId="104"/>
    <cellStyle name="Normal 10 191" xfId="105"/>
    <cellStyle name="Normal 10 192" xfId="106"/>
    <cellStyle name="Normal 10 193" xfId="107"/>
    <cellStyle name="Normal 10 194" xfId="108"/>
    <cellStyle name="Normal 10 195" xfId="109"/>
    <cellStyle name="Normal 10 196" xfId="110"/>
    <cellStyle name="Normal 10 197" xfId="111"/>
    <cellStyle name="Normal 10 198" xfId="112"/>
    <cellStyle name="Normal 10 2" xfId="113"/>
    <cellStyle name="Normal 10 20" xfId="114"/>
    <cellStyle name="Normal 10 21" xfId="115"/>
    <cellStyle name="Normal 10 22" xfId="116"/>
    <cellStyle name="Normal 10 23" xfId="117"/>
    <cellStyle name="Normal 10 24" xfId="118"/>
    <cellStyle name="Normal 10 25" xfId="119"/>
    <cellStyle name="Normal 10 26" xfId="120"/>
    <cellStyle name="Normal 10 27" xfId="121"/>
    <cellStyle name="Normal 10 28" xfId="122"/>
    <cellStyle name="Normal 10 29" xfId="123"/>
    <cellStyle name="Normal 10 3" xfId="124"/>
    <cellStyle name="Normal 10 30" xfId="125"/>
    <cellStyle name="Normal 10 31" xfId="126"/>
    <cellStyle name="Normal 10 32" xfId="127"/>
    <cellStyle name="Normal 10 33" xfId="128"/>
    <cellStyle name="Normal 10 34" xfId="129"/>
    <cellStyle name="Normal 10 35" xfId="130"/>
    <cellStyle name="Normal 10 36" xfId="131"/>
    <cellStyle name="Normal 10 37" xfId="132"/>
    <cellStyle name="Normal 10 38" xfId="133"/>
    <cellStyle name="Normal 10 39" xfId="134"/>
    <cellStyle name="Normal 10 4" xfId="135"/>
    <cellStyle name="Normal 10 40" xfId="136"/>
    <cellStyle name="Normal 10 41" xfId="137"/>
    <cellStyle name="Normal 10 42" xfId="138"/>
    <cellStyle name="Normal 10 43" xfId="139"/>
    <cellStyle name="Normal 10 44" xfId="140"/>
    <cellStyle name="Normal 10 45" xfId="141"/>
    <cellStyle name="Normal 10 46" xfId="142"/>
    <cellStyle name="Normal 10 47" xfId="143"/>
    <cellStyle name="Normal 10 48" xfId="144"/>
    <cellStyle name="Normal 10 49" xfId="145"/>
    <cellStyle name="Normal 10 5" xfId="146"/>
    <cellStyle name="Normal 10 50" xfId="147"/>
    <cellStyle name="Normal 10 51" xfId="148"/>
    <cellStyle name="Normal 10 52" xfId="149"/>
    <cellStyle name="Normal 10 53" xfId="150"/>
    <cellStyle name="Normal 10 54" xfId="151"/>
    <cellStyle name="Normal 10 55" xfId="152"/>
    <cellStyle name="Normal 10 56" xfId="153"/>
    <cellStyle name="Normal 10 57" xfId="154"/>
    <cellStyle name="Normal 10 58" xfId="155"/>
    <cellStyle name="Normal 10 59" xfId="156"/>
    <cellStyle name="Normal 10 6" xfId="157"/>
    <cellStyle name="Normal 10 60" xfId="158"/>
    <cellStyle name="Normal 10 61" xfId="159"/>
    <cellStyle name="Normal 10 62" xfId="160"/>
    <cellStyle name="Normal 10 63" xfId="161"/>
    <cellStyle name="Normal 10 64" xfId="162"/>
    <cellStyle name="Normal 10 65" xfId="163"/>
    <cellStyle name="Normal 10 66" xfId="164"/>
    <cellStyle name="Normal 10 67" xfId="165"/>
    <cellStyle name="Normal 10 68" xfId="166"/>
    <cellStyle name="Normal 10 69" xfId="167"/>
    <cellStyle name="Normal 10 7" xfId="168"/>
    <cellStyle name="Normal 10 70" xfId="169"/>
    <cellStyle name="Normal 10 71" xfId="170"/>
    <cellStyle name="Normal 10 72" xfId="171"/>
    <cellStyle name="Normal 10 73" xfId="172"/>
    <cellStyle name="Normal 10 74" xfId="173"/>
    <cellStyle name="Normal 10 75" xfId="174"/>
    <cellStyle name="Normal 10 76" xfId="175"/>
    <cellStyle name="Normal 10 77" xfId="176"/>
    <cellStyle name="Normal 10 78" xfId="177"/>
    <cellStyle name="Normal 10 79" xfId="178"/>
    <cellStyle name="Normal 10 8" xfId="179"/>
    <cellStyle name="Normal 10 80" xfId="180"/>
    <cellStyle name="Normal 10 81" xfId="181"/>
    <cellStyle name="Normal 10 82" xfId="182"/>
    <cellStyle name="Normal 10 83" xfId="183"/>
    <cellStyle name="Normal 10 84" xfId="184"/>
    <cellStyle name="Normal 10 85" xfId="185"/>
    <cellStyle name="Normal 10 86" xfId="186"/>
    <cellStyle name="Normal 10 87" xfId="187"/>
    <cellStyle name="Normal 10 88" xfId="188"/>
    <cellStyle name="Normal 10 89" xfId="189"/>
    <cellStyle name="Normal 10 9" xfId="190"/>
    <cellStyle name="Normal 10 90" xfId="191"/>
    <cellStyle name="Normal 10 91" xfId="192"/>
    <cellStyle name="Normal 10 92" xfId="193"/>
    <cellStyle name="Normal 10 93" xfId="194"/>
    <cellStyle name="Normal 10 94" xfId="195"/>
    <cellStyle name="Normal 10 95" xfId="196"/>
    <cellStyle name="Normal 10 96" xfId="197"/>
    <cellStyle name="Normal 10 97" xfId="198"/>
    <cellStyle name="Normal 10 98" xfId="199"/>
    <cellStyle name="Normal 10 99" xfId="200"/>
    <cellStyle name="Normal 11" xfId="201"/>
    <cellStyle name="Normal 11 10" xfId="202"/>
    <cellStyle name="Normal 11 100" xfId="203"/>
    <cellStyle name="Normal 11 101" xfId="204"/>
    <cellStyle name="Normal 11 102" xfId="205"/>
    <cellStyle name="Normal 11 103" xfId="206"/>
    <cellStyle name="Normal 11 104" xfId="207"/>
    <cellStyle name="Normal 11 105" xfId="208"/>
    <cellStyle name="Normal 11 106" xfId="209"/>
    <cellStyle name="Normal 11 107" xfId="210"/>
    <cellStyle name="Normal 11 108" xfId="211"/>
    <cellStyle name="Normal 11 109" xfId="212"/>
    <cellStyle name="Normal 11 11" xfId="213"/>
    <cellStyle name="Normal 11 110" xfId="214"/>
    <cellStyle name="Normal 11 111" xfId="215"/>
    <cellStyle name="Normal 11 112" xfId="216"/>
    <cellStyle name="Normal 11 113" xfId="217"/>
    <cellStyle name="Normal 11 114" xfId="218"/>
    <cellStyle name="Normal 11 115" xfId="219"/>
    <cellStyle name="Normal 11 116" xfId="220"/>
    <cellStyle name="Normal 11 117" xfId="221"/>
    <cellStyle name="Normal 11 118" xfId="222"/>
    <cellStyle name="Normal 11 119" xfId="223"/>
    <cellStyle name="Normal 11 12" xfId="224"/>
    <cellStyle name="Normal 11 120" xfId="225"/>
    <cellStyle name="Normal 11 121" xfId="226"/>
    <cellStyle name="Normal 11 122" xfId="227"/>
    <cellStyle name="Normal 11 123" xfId="228"/>
    <cellStyle name="Normal 11 124" xfId="229"/>
    <cellStyle name="Normal 11 125" xfId="230"/>
    <cellStyle name="Normal 11 126" xfId="231"/>
    <cellStyle name="Normal 11 127" xfId="232"/>
    <cellStyle name="Normal 11 128" xfId="233"/>
    <cellStyle name="Normal 11 129" xfId="234"/>
    <cellStyle name="Normal 11 13" xfId="235"/>
    <cellStyle name="Normal 11 130" xfId="236"/>
    <cellStyle name="Normal 11 131" xfId="237"/>
    <cellStyle name="Normal 11 132" xfId="238"/>
    <cellStyle name="Normal 11 133" xfId="239"/>
    <cellStyle name="Normal 11 134" xfId="240"/>
    <cellStyle name="Normal 11 135" xfId="241"/>
    <cellStyle name="Normal 11 136" xfId="242"/>
    <cellStyle name="Normal 11 137" xfId="243"/>
    <cellStyle name="Normal 11 138" xfId="244"/>
    <cellStyle name="Normal 11 139" xfId="245"/>
    <cellStyle name="Normal 11 14" xfId="246"/>
    <cellStyle name="Normal 11 140" xfId="247"/>
    <cellStyle name="Normal 11 141" xfId="248"/>
    <cellStyle name="Normal 11 142" xfId="249"/>
    <cellStyle name="Normal 11 143" xfId="250"/>
    <cellStyle name="Normal 11 144" xfId="251"/>
    <cellStyle name="Normal 11 145" xfId="252"/>
    <cellStyle name="Normal 11 146" xfId="253"/>
    <cellStyle name="Normal 11 147" xfId="254"/>
    <cellStyle name="Normal 11 148" xfId="255"/>
    <cellStyle name="Normal 11 149" xfId="256"/>
    <cellStyle name="Normal 11 15" xfId="257"/>
    <cellStyle name="Normal 11 150" xfId="258"/>
    <cellStyle name="Normal 11 151" xfId="259"/>
    <cellStyle name="Normal 11 152" xfId="260"/>
    <cellStyle name="Normal 11 153" xfId="261"/>
    <cellStyle name="Normal 11 154" xfId="262"/>
    <cellStyle name="Normal 11 155" xfId="263"/>
    <cellStyle name="Normal 11 156" xfId="264"/>
    <cellStyle name="Normal 11 157" xfId="265"/>
    <cellStyle name="Normal 11 158" xfId="266"/>
    <cellStyle name="Normal 11 159" xfId="267"/>
    <cellStyle name="Normal 11 16" xfId="268"/>
    <cellStyle name="Normal 11 160" xfId="269"/>
    <cellStyle name="Normal 11 161" xfId="270"/>
    <cellStyle name="Normal 11 162" xfId="271"/>
    <cellStyle name="Normal 11 163" xfId="272"/>
    <cellStyle name="Normal 11 164" xfId="273"/>
    <cellStyle name="Normal 11 165" xfId="274"/>
    <cellStyle name="Normal 11 166" xfId="275"/>
    <cellStyle name="Normal 11 167" xfId="276"/>
    <cellStyle name="Normal 11 168" xfId="277"/>
    <cellStyle name="Normal 11 169" xfId="278"/>
    <cellStyle name="Normal 11 17" xfId="279"/>
    <cellStyle name="Normal 11 170" xfId="280"/>
    <cellStyle name="Normal 11 171" xfId="281"/>
    <cellStyle name="Normal 11 172" xfId="282"/>
    <cellStyle name="Normal 11 173" xfId="283"/>
    <cellStyle name="Normal 11 174" xfId="284"/>
    <cellStyle name="Normal 11 175" xfId="285"/>
    <cellStyle name="Normal 11 176" xfId="286"/>
    <cellStyle name="Normal 11 177" xfId="287"/>
    <cellStyle name="Normal 11 178" xfId="288"/>
    <cellStyle name="Normal 11 179" xfId="289"/>
    <cellStyle name="Normal 11 18" xfId="290"/>
    <cellStyle name="Normal 11 180" xfId="291"/>
    <cellStyle name="Normal 11 181" xfId="292"/>
    <cellStyle name="Normal 11 182" xfId="293"/>
    <cellStyle name="Normal 11 183" xfId="294"/>
    <cellStyle name="Normal 11 184" xfId="295"/>
    <cellStyle name="Normal 11 185" xfId="296"/>
    <cellStyle name="Normal 11 186" xfId="297"/>
    <cellStyle name="Normal 11 187" xfId="298"/>
    <cellStyle name="Normal 11 188" xfId="299"/>
    <cellStyle name="Normal 11 189" xfId="300"/>
    <cellStyle name="Normal 11 19" xfId="301"/>
    <cellStyle name="Normal 11 190" xfId="302"/>
    <cellStyle name="Normal 11 191" xfId="303"/>
    <cellStyle name="Normal 11 192" xfId="304"/>
    <cellStyle name="Normal 11 193" xfId="305"/>
    <cellStyle name="Normal 11 194" xfId="306"/>
    <cellStyle name="Normal 11 195" xfId="307"/>
    <cellStyle name="Normal 11 196" xfId="308"/>
    <cellStyle name="Normal 11 197" xfId="309"/>
    <cellStyle name="Normal 11 198" xfId="310"/>
    <cellStyle name="Normal 11 2" xfId="311"/>
    <cellStyle name="Normal 11 20" xfId="312"/>
    <cellStyle name="Normal 11 21" xfId="313"/>
    <cellStyle name="Normal 11 22" xfId="314"/>
    <cellStyle name="Normal 11 23" xfId="315"/>
    <cellStyle name="Normal 11 24" xfId="316"/>
    <cellStyle name="Normal 11 25" xfId="317"/>
    <cellStyle name="Normal 11 26" xfId="318"/>
    <cellStyle name="Normal 11 27" xfId="319"/>
    <cellStyle name="Normal 11 28" xfId="320"/>
    <cellStyle name="Normal 11 29" xfId="321"/>
    <cellStyle name="Normal 11 3" xfId="322"/>
    <cellStyle name="Normal 11 30" xfId="323"/>
    <cellStyle name="Normal 11 31" xfId="324"/>
    <cellStyle name="Normal 11 32" xfId="325"/>
    <cellStyle name="Normal 11 33" xfId="326"/>
    <cellStyle name="Normal 11 34" xfId="327"/>
    <cellStyle name="Normal 11 35" xfId="328"/>
    <cellStyle name="Normal 11 36" xfId="329"/>
    <cellStyle name="Normal 11 37" xfId="330"/>
    <cellStyle name="Normal 11 38" xfId="331"/>
    <cellStyle name="Normal 11 39" xfId="332"/>
    <cellStyle name="Normal 11 4" xfId="333"/>
    <cellStyle name="Normal 11 40" xfId="334"/>
    <cellStyle name="Normal 11 41" xfId="335"/>
    <cellStyle name="Normal 11 42" xfId="336"/>
    <cellStyle name="Normal 11 43" xfId="337"/>
    <cellStyle name="Normal 11 44" xfId="338"/>
    <cellStyle name="Normal 11 45" xfId="339"/>
    <cellStyle name="Normal 11 46" xfId="340"/>
    <cellStyle name="Normal 11 47" xfId="341"/>
    <cellStyle name="Normal 11 48" xfId="342"/>
    <cellStyle name="Normal 11 49" xfId="343"/>
    <cellStyle name="Normal 11 5" xfId="344"/>
    <cellStyle name="Normal 11 50" xfId="345"/>
    <cellStyle name="Normal 11 51" xfId="346"/>
    <cellStyle name="Normal 11 52" xfId="347"/>
    <cellStyle name="Normal 11 53" xfId="348"/>
    <cellStyle name="Normal 11 54" xfId="349"/>
    <cellStyle name="Normal 11 55" xfId="350"/>
    <cellStyle name="Normal 11 56" xfId="351"/>
    <cellStyle name="Normal 11 57" xfId="352"/>
    <cellStyle name="Normal 11 58" xfId="353"/>
    <cellStyle name="Normal 11 59" xfId="354"/>
    <cellStyle name="Normal 11 6" xfId="355"/>
    <cellStyle name="Normal 11 60" xfId="356"/>
    <cellStyle name="Normal 11 61" xfId="357"/>
    <cellStyle name="Normal 11 62" xfId="358"/>
    <cellStyle name="Normal 11 63" xfId="359"/>
    <cellStyle name="Normal 11 64" xfId="360"/>
    <cellStyle name="Normal 11 65" xfId="361"/>
    <cellStyle name="Normal 11 66" xfId="362"/>
    <cellStyle name="Normal 11 67" xfId="363"/>
    <cellStyle name="Normal 11 68" xfId="364"/>
    <cellStyle name="Normal 11 69" xfId="365"/>
    <cellStyle name="Normal 11 7" xfId="366"/>
    <cellStyle name="Normal 11 70" xfId="367"/>
    <cellStyle name="Normal 11 71" xfId="368"/>
    <cellStyle name="Normal 11 72" xfId="369"/>
    <cellStyle name="Normal 11 73" xfId="370"/>
    <cellStyle name="Normal 11 74" xfId="371"/>
    <cellStyle name="Normal 11 75" xfId="372"/>
    <cellStyle name="Normal 11 76" xfId="373"/>
    <cellStyle name="Normal 11 77" xfId="374"/>
    <cellStyle name="Normal 11 78" xfId="375"/>
    <cellStyle name="Normal 11 79" xfId="376"/>
    <cellStyle name="Normal 11 8" xfId="377"/>
    <cellStyle name="Normal 11 80" xfId="378"/>
    <cellStyle name="Normal 11 81" xfId="379"/>
    <cellStyle name="Normal 11 82" xfId="380"/>
    <cellStyle name="Normal 11 83" xfId="381"/>
    <cellStyle name="Normal 11 84" xfId="382"/>
    <cellStyle name="Normal 11 85" xfId="383"/>
    <cellStyle name="Normal 11 86" xfId="384"/>
    <cellStyle name="Normal 11 87" xfId="385"/>
    <cellStyle name="Normal 11 88" xfId="386"/>
    <cellStyle name="Normal 11 89" xfId="387"/>
    <cellStyle name="Normal 11 9" xfId="388"/>
    <cellStyle name="Normal 11 90" xfId="389"/>
    <cellStyle name="Normal 11 91" xfId="390"/>
    <cellStyle name="Normal 11 92" xfId="391"/>
    <cellStyle name="Normal 11 93" xfId="392"/>
    <cellStyle name="Normal 11 94" xfId="393"/>
    <cellStyle name="Normal 11 95" xfId="394"/>
    <cellStyle name="Normal 11 96" xfId="395"/>
    <cellStyle name="Normal 11 97" xfId="396"/>
    <cellStyle name="Normal 11 98" xfId="397"/>
    <cellStyle name="Normal 11 99" xfId="398"/>
    <cellStyle name="Normal 12" xfId="399"/>
    <cellStyle name="Normal 12 10" xfId="400"/>
    <cellStyle name="Normal 12 100" xfId="401"/>
    <cellStyle name="Normal 12 101" xfId="402"/>
    <cellStyle name="Normal 12 102" xfId="403"/>
    <cellStyle name="Normal 12 103" xfId="404"/>
    <cellStyle name="Normal 12 104" xfId="405"/>
    <cellStyle name="Normal 12 105" xfId="406"/>
    <cellStyle name="Normal 12 106" xfId="407"/>
    <cellStyle name="Normal 12 107" xfId="408"/>
    <cellStyle name="Normal 12 108" xfId="409"/>
    <cellStyle name="Normal 12 109" xfId="410"/>
    <cellStyle name="Normal 12 11" xfId="411"/>
    <cellStyle name="Normal 12 110" xfId="412"/>
    <cellStyle name="Normal 12 111" xfId="413"/>
    <cellStyle name="Normal 12 112" xfId="414"/>
    <cellStyle name="Normal 12 113" xfId="415"/>
    <cellStyle name="Normal 12 114" xfId="416"/>
    <cellStyle name="Normal 12 115" xfId="417"/>
    <cellStyle name="Normal 12 116" xfId="418"/>
    <cellStyle name="Normal 12 117" xfId="419"/>
    <cellStyle name="Normal 12 118" xfId="420"/>
    <cellStyle name="Normal 12 119" xfId="421"/>
    <cellStyle name="Normal 12 12" xfId="422"/>
    <cellStyle name="Normal 12 120" xfId="423"/>
    <cellStyle name="Normal 12 121" xfId="424"/>
    <cellStyle name="Normal 12 122" xfId="425"/>
    <cellStyle name="Normal 12 123" xfId="426"/>
    <cellStyle name="Normal 12 124" xfId="427"/>
    <cellStyle name="Normal 12 125" xfId="428"/>
    <cellStyle name="Normal 12 126" xfId="429"/>
    <cellStyle name="Normal 12 127" xfId="430"/>
    <cellStyle name="Normal 12 128" xfId="431"/>
    <cellStyle name="Normal 12 129" xfId="432"/>
    <cellStyle name="Normal 12 13" xfId="433"/>
    <cellStyle name="Normal 12 130" xfId="434"/>
    <cellStyle name="Normal 12 131" xfId="435"/>
    <cellStyle name="Normal 12 132" xfId="436"/>
    <cellStyle name="Normal 12 133" xfId="437"/>
    <cellStyle name="Normal 12 134" xfId="438"/>
    <cellStyle name="Normal 12 135" xfId="439"/>
    <cellStyle name="Normal 12 136" xfId="440"/>
    <cellStyle name="Normal 12 137" xfId="441"/>
    <cellStyle name="Normal 12 138" xfId="442"/>
    <cellStyle name="Normal 12 139" xfId="443"/>
    <cellStyle name="Normal 12 14" xfId="444"/>
    <cellStyle name="Normal 12 140" xfId="445"/>
    <cellStyle name="Normal 12 141" xfId="446"/>
    <cellStyle name="Normal 12 142" xfId="447"/>
    <cellStyle name="Normal 12 143" xfId="448"/>
    <cellStyle name="Normal 12 144" xfId="449"/>
    <cellStyle name="Normal 12 145" xfId="450"/>
    <cellStyle name="Normal 12 146" xfId="451"/>
    <cellStyle name="Normal 12 147" xfId="452"/>
    <cellStyle name="Normal 12 148" xfId="453"/>
    <cellStyle name="Normal 12 149" xfId="454"/>
    <cellStyle name="Normal 12 15" xfId="455"/>
    <cellStyle name="Normal 12 150" xfId="456"/>
    <cellStyle name="Normal 12 151" xfId="457"/>
    <cellStyle name="Normal 12 152" xfId="458"/>
    <cellStyle name="Normal 12 153" xfId="459"/>
    <cellStyle name="Normal 12 154" xfId="460"/>
    <cellStyle name="Normal 12 155" xfId="461"/>
    <cellStyle name="Normal 12 156" xfId="462"/>
    <cellStyle name="Normal 12 157" xfId="463"/>
    <cellStyle name="Normal 12 158" xfId="464"/>
    <cellStyle name="Normal 12 159" xfId="465"/>
    <cellStyle name="Normal 12 16" xfId="466"/>
    <cellStyle name="Normal 12 160" xfId="467"/>
    <cellStyle name="Normal 12 161" xfId="468"/>
    <cellStyle name="Normal 12 162" xfId="469"/>
    <cellStyle name="Normal 12 163" xfId="470"/>
    <cellStyle name="Normal 12 164" xfId="471"/>
    <cellStyle name="Normal 12 165" xfId="472"/>
    <cellStyle name="Normal 12 166" xfId="473"/>
    <cellStyle name="Normal 12 167" xfId="474"/>
    <cellStyle name="Normal 12 168" xfId="475"/>
    <cellStyle name="Normal 12 169" xfId="476"/>
    <cellStyle name="Normal 12 17" xfId="477"/>
    <cellStyle name="Normal 12 170" xfId="478"/>
    <cellStyle name="Normal 12 171" xfId="479"/>
    <cellStyle name="Normal 12 172" xfId="480"/>
    <cellStyle name="Normal 12 173" xfId="481"/>
    <cellStyle name="Normal 12 174" xfId="482"/>
    <cellStyle name="Normal 12 175" xfId="483"/>
    <cellStyle name="Normal 12 176" xfId="484"/>
    <cellStyle name="Normal 12 177" xfId="485"/>
    <cellStyle name="Normal 12 178" xfId="486"/>
    <cellStyle name="Normal 12 179" xfId="487"/>
    <cellStyle name="Normal 12 18" xfId="488"/>
    <cellStyle name="Normal 12 180" xfId="489"/>
    <cellStyle name="Normal 12 181" xfId="490"/>
    <cellStyle name="Normal 12 182" xfId="491"/>
    <cellStyle name="Normal 12 183" xfId="492"/>
    <cellStyle name="Normal 12 184" xfId="493"/>
    <cellStyle name="Normal 12 185" xfId="494"/>
    <cellStyle name="Normal 12 186" xfId="495"/>
    <cellStyle name="Normal 12 187" xfId="496"/>
    <cellStyle name="Normal 12 188" xfId="497"/>
    <cellStyle name="Normal 12 189" xfId="498"/>
    <cellStyle name="Normal 12 19" xfId="499"/>
    <cellStyle name="Normal 12 190" xfId="500"/>
    <cellStyle name="Normal 12 191" xfId="501"/>
    <cellStyle name="Normal 12 192" xfId="502"/>
    <cellStyle name="Normal 12 193" xfId="503"/>
    <cellStyle name="Normal 12 194" xfId="504"/>
    <cellStyle name="Normal 12 195" xfId="505"/>
    <cellStyle name="Normal 12 196" xfId="506"/>
    <cellStyle name="Normal 12 197" xfId="507"/>
    <cellStyle name="Normal 12 198" xfId="508"/>
    <cellStyle name="Normal 12 2" xfId="509"/>
    <cellStyle name="Normal 12 20" xfId="510"/>
    <cellStyle name="Normal 12 21" xfId="511"/>
    <cellStyle name="Normal 12 22" xfId="512"/>
    <cellStyle name="Normal 12 23" xfId="513"/>
    <cellStyle name="Normal 12 24" xfId="514"/>
    <cellStyle name="Normal 12 25" xfId="515"/>
    <cellStyle name="Normal 12 26" xfId="516"/>
    <cellStyle name="Normal 12 27" xfId="517"/>
    <cellStyle name="Normal 12 28" xfId="518"/>
    <cellStyle name="Normal 12 29" xfId="519"/>
    <cellStyle name="Normal 12 3" xfId="520"/>
    <cellStyle name="Normal 12 30" xfId="521"/>
    <cellStyle name="Normal 12 31" xfId="522"/>
    <cellStyle name="Normal 12 32" xfId="523"/>
    <cellStyle name="Normal 12 33" xfId="524"/>
    <cellStyle name="Normal 12 34" xfId="525"/>
    <cellStyle name="Normal 12 35" xfId="526"/>
    <cellStyle name="Normal 12 36" xfId="527"/>
    <cellStyle name="Normal 12 37" xfId="528"/>
    <cellStyle name="Normal 12 38" xfId="529"/>
    <cellStyle name="Normal 12 39" xfId="530"/>
    <cellStyle name="Normal 12 4" xfId="531"/>
    <cellStyle name="Normal 12 40" xfId="532"/>
    <cellStyle name="Normal 12 41" xfId="533"/>
    <cellStyle name="Normal 12 42" xfId="534"/>
    <cellStyle name="Normal 12 43" xfId="535"/>
    <cellStyle name="Normal 12 44" xfId="536"/>
    <cellStyle name="Normal 12 45" xfId="537"/>
    <cellStyle name="Normal 12 46" xfId="538"/>
    <cellStyle name="Normal 12 47" xfId="539"/>
    <cellStyle name="Normal 12 48" xfId="540"/>
    <cellStyle name="Normal 12 49" xfId="541"/>
    <cellStyle name="Normal 12 5" xfId="542"/>
    <cellStyle name="Normal 12 50" xfId="543"/>
    <cellStyle name="Normal 12 51" xfId="544"/>
    <cellStyle name="Normal 12 52" xfId="545"/>
    <cellStyle name="Normal 12 53" xfId="546"/>
    <cellStyle name="Normal 12 54" xfId="547"/>
    <cellStyle name="Normal 12 55" xfId="548"/>
    <cellStyle name="Normal 12 56" xfId="549"/>
    <cellStyle name="Normal 12 57" xfId="550"/>
    <cellStyle name="Normal 12 58" xfId="551"/>
    <cellStyle name="Normal 12 59" xfId="552"/>
    <cellStyle name="Normal 12 6" xfId="553"/>
    <cellStyle name="Normal 12 60" xfId="554"/>
    <cellStyle name="Normal 12 61" xfId="555"/>
    <cellStyle name="Normal 12 62" xfId="556"/>
    <cellStyle name="Normal 12 63" xfId="557"/>
    <cellStyle name="Normal 12 64" xfId="558"/>
    <cellStyle name="Normal 12 65" xfId="559"/>
    <cellStyle name="Normal 12 66" xfId="560"/>
    <cellStyle name="Normal 12 67" xfId="561"/>
    <cellStyle name="Normal 12 68" xfId="562"/>
    <cellStyle name="Normal 12 69" xfId="563"/>
    <cellStyle name="Normal 12 7" xfId="564"/>
    <cellStyle name="Normal 12 70" xfId="565"/>
    <cellStyle name="Normal 12 71" xfId="566"/>
    <cellStyle name="Normal 12 72" xfId="567"/>
    <cellStyle name="Normal 12 73" xfId="568"/>
    <cellStyle name="Normal 12 74" xfId="569"/>
    <cellStyle name="Normal 12 75" xfId="570"/>
    <cellStyle name="Normal 12 76" xfId="571"/>
    <cellStyle name="Normal 12 77" xfId="572"/>
    <cellStyle name="Normal 12 78" xfId="573"/>
    <cellStyle name="Normal 12 79" xfId="574"/>
    <cellStyle name="Normal 12 8" xfId="575"/>
    <cellStyle name="Normal 12 80" xfId="576"/>
    <cellStyle name="Normal 12 81" xfId="577"/>
    <cellStyle name="Normal 12 82" xfId="578"/>
    <cellStyle name="Normal 12 83" xfId="579"/>
    <cellStyle name="Normal 12 84" xfId="580"/>
    <cellStyle name="Normal 12 85" xfId="581"/>
    <cellStyle name="Normal 12 86" xfId="582"/>
    <cellStyle name="Normal 12 87" xfId="583"/>
    <cellStyle name="Normal 12 88" xfId="584"/>
    <cellStyle name="Normal 12 89" xfId="585"/>
    <cellStyle name="Normal 12 9" xfId="586"/>
    <cellStyle name="Normal 12 90" xfId="587"/>
    <cellStyle name="Normal 12 91" xfId="588"/>
    <cellStyle name="Normal 12 92" xfId="589"/>
    <cellStyle name="Normal 12 93" xfId="590"/>
    <cellStyle name="Normal 12 94" xfId="591"/>
    <cellStyle name="Normal 12 95" xfId="592"/>
    <cellStyle name="Normal 12 96" xfId="593"/>
    <cellStyle name="Normal 12 97" xfId="594"/>
    <cellStyle name="Normal 12 98" xfId="595"/>
    <cellStyle name="Normal 12 99" xfId="596"/>
    <cellStyle name="Normal 13" xfId="597"/>
    <cellStyle name="Normal 13 10" xfId="598"/>
    <cellStyle name="Normal 13 100" xfId="599"/>
    <cellStyle name="Normal 13 101" xfId="600"/>
    <cellStyle name="Normal 13 102" xfId="601"/>
    <cellStyle name="Normal 13 103" xfId="602"/>
    <cellStyle name="Normal 13 104" xfId="603"/>
    <cellStyle name="Normal 13 105" xfId="604"/>
    <cellStyle name="Normal 13 106" xfId="605"/>
    <cellStyle name="Normal 13 107" xfId="606"/>
    <cellStyle name="Normal 13 108" xfId="607"/>
    <cellStyle name="Normal 13 109" xfId="608"/>
    <cellStyle name="Normal 13 11" xfId="609"/>
    <cellStyle name="Normal 13 110" xfId="610"/>
    <cellStyle name="Normal 13 111" xfId="611"/>
    <cellStyle name="Normal 13 112" xfId="612"/>
    <cellStyle name="Normal 13 113" xfId="613"/>
    <cellStyle name="Normal 13 114" xfId="614"/>
    <cellStyle name="Normal 13 115" xfId="615"/>
    <cellStyle name="Normal 13 116" xfId="616"/>
    <cellStyle name="Normal 13 117" xfId="617"/>
    <cellStyle name="Normal 13 118" xfId="618"/>
    <cellStyle name="Normal 13 119" xfId="619"/>
    <cellStyle name="Normal 13 12" xfId="620"/>
    <cellStyle name="Normal 13 120" xfId="621"/>
    <cellStyle name="Normal 13 121" xfId="622"/>
    <cellStyle name="Normal 13 122" xfId="623"/>
    <cellStyle name="Normal 13 123" xfId="624"/>
    <cellStyle name="Normal 13 124" xfId="625"/>
    <cellStyle name="Normal 13 125" xfId="626"/>
    <cellStyle name="Normal 13 126" xfId="627"/>
    <cellStyle name="Normal 13 127" xfId="628"/>
    <cellStyle name="Normal 13 128" xfId="629"/>
    <cellStyle name="Normal 13 129" xfId="630"/>
    <cellStyle name="Normal 13 13" xfId="631"/>
    <cellStyle name="Normal 13 130" xfId="632"/>
    <cellStyle name="Normal 13 131" xfId="633"/>
    <cellStyle name="Normal 13 132" xfId="634"/>
    <cellStyle name="Normal 13 133" xfId="635"/>
    <cellStyle name="Normal 13 134" xfId="636"/>
    <cellStyle name="Normal 13 135" xfId="637"/>
    <cellStyle name="Normal 13 136" xfId="638"/>
    <cellStyle name="Normal 13 137" xfId="639"/>
    <cellStyle name="Normal 13 138" xfId="640"/>
    <cellStyle name="Normal 13 139" xfId="641"/>
    <cellStyle name="Normal 13 14" xfId="642"/>
    <cellStyle name="Normal 13 140" xfId="643"/>
    <cellStyle name="Normal 13 141" xfId="644"/>
    <cellStyle name="Normal 13 142" xfId="645"/>
    <cellStyle name="Normal 13 143" xfId="646"/>
    <cellStyle name="Normal 13 144" xfId="647"/>
    <cellStyle name="Normal 13 145" xfId="648"/>
    <cellStyle name="Normal 13 146" xfId="649"/>
    <cellStyle name="Normal 13 147" xfId="650"/>
    <cellStyle name="Normal 13 148" xfId="651"/>
    <cellStyle name="Normal 13 149" xfId="652"/>
    <cellStyle name="Normal 13 15" xfId="653"/>
    <cellStyle name="Normal 13 150" xfId="654"/>
    <cellStyle name="Normal 13 151" xfId="655"/>
    <cellStyle name="Normal 13 152" xfId="656"/>
    <cellStyle name="Normal 13 153" xfId="657"/>
    <cellStyle name="Normal 13 154" xfId="658"/>
    <cellStyle name="Normal 13 155" xfId="659"/>
    <cellStyle name="Normal 13 156" xfId="660"/>
    <cellStyle name="Normal 13 157" xfId="661"/>
    <cellStyle name="Normal 13 158" xfId="662"/>
    <cellStyle name="Normal 13 159" xfId="663"/>
    <cellStyle name="Normal 13 16" xfId="664"/>
    <cellStyle name="Normal 13 160" xfId="665"/>
    <cellStyle name="Normal 13 161" xfId="666"/>
    <cellStyle name="Normal 13 162" xfId="667"/>
    <cellStyle name="Normal 13 163" xfId="668"/>
    <cellStyle name="Normal 13 164" xfId="669"/>
    <cellStyle name="Normal 13 165" xfId="670"/>
    <cellStyle name="Normal 13 166" xfId="671"/>
    <cellStyle name="Normal 13 167" xfId="672"/>
    <cellStyle name="Normal 13 168" xfId="673"/>
    <cellStyle name="Normal 13 169" xfId="674"/>
    <cellStyle name="Normal 13 17" xfId="675"/>
    <cellStyle name="Normal 13 170" xfId="676"/>
    <cellStyle name="Normal 13 171" xfId="677"/>
    <cellStyle name="Normal 13 172" xfId="678"/>
    <cellStyle name="Normal 13 173" xfId="679"/>
    <cellStyle name="Normal 13 174" xfId="680"/>
    <cellStyle name="Normal 13 175" xfId="681"/>
    <cellStyle name="Normal 13 176" xfId="682"/>
    <cellStyle name="Normal 13 177" xfId="683"/>
    <cellStyle name="Normal 13 178" xfId="684"/>
    <cellStyle name="Normal 13 179" xfId="685"/>
    <cellStyle name="Normal 13 18" xfId="686"/>
    <cellStyle name="Normal 13 180" xfId="687"/>
    <cellStyle name="Normal 13 181" xfId="688"/>
    <cellStyle name="Normal 13 182" xfId="689"/>
    <cellStyle name="Normal 13 183" xfId="690"/>
    <cellStyle name="Normal 13 184" xfId="691"/>
    <cellStyle name="Normal 13 185" xfId="692"/>
    <cellStyle name="Normal 13 186" xfId="693"/>
    <cellStyle name="Normal 13 187" xfId="694"/>
    <cellStyle name="Normal 13 188" xfId="695"/>
    <cellStyle name="Normal 13 189" xfId="696"/>
    <cellStyle name="Normal 13 19" xfId="697"/>
    <cellStyle name="Normal 13 190" xfId="698"/>
    <cellStyle name="Normal 13 191" xfId="699"/>
    <cellStyle name="Normal 13 192" xfId="700"/>
    <cellStyle name="Normal 13 193" xfId="701"/>
    <cellStyle name="Normal 13 194" xfId="702"/>
    <cellStyle name="Normal 13 195" xfId="703"/>
    <cellStyle name="Normal 13 196" xfId="704"/>
    <cellStyle name="Normal 13 197" xfId="705"/>
    <cellStyle name="Normal 13 198" xfId="706"/>
    <cellStyle name="Normal 13 2" xfId="707"/>
    <cellStyle name="Normal 13 20" xfId="708"/>
    <cellStyle name="Normal 13 21" xfId="709"/>
    <cellStyle name="Normal 13 22" xfId="710"/>
    <cellStyle name="Normal 13 23" xfId="711"/>
    <cellStyle name="Normal 13 24" xfId="712"/>
    <cellStyle name="Normal 13 25" xfId="713"/>
    <cellStyle name="Normal 13 26" xfId="714"/>
    <cellStyle name="Normal 13 27" xfId="715"/>
    <cellStyle name="Normal 13 28" xfId="716"/>
    <cellStyle name="Normal 13 29" xfId="717"/>
    <cellStyle name="Normal 13 3" xfId="718"/>
    <cellStyle name="Normal 13 30" xfId="719"/>
    <cellStyle name="Normal 13 31" xfId="720"/>
    <cellStyle name="Normal 13 32" xfId="721"/>
    <cellStyle name="Normal 13 33" xfId="722"/>
    <cellStyle name="Normal 13 34" xfId="723"/>
    <cellStyle name="Normal 13 35" xfId="724"/>
    <cellStyle name="Normal 13 36" xfId="725"/>
    <cellStyle name="Normal 13 37" xfId="726"/>
    <cellStyle name="Normal 13 38" xfId="727"/>
    <cellStyle name="Normal 13 39" xfId="728"/>
    <cellStyle name="Normal 13 4" xfId="729"/>
    <cellStyle name="Normal 13 40" xfId="730"/>
    <cellStyle name="Normal 13 41" xfId="731"/>
    <cellStyle name="Normal 13 42" xfId="732"/>
    <cellStyle name="Normal 13 43" xfId="733"/>
    <cellStyle name="Normal 13 44" xfId="734"/>
    <cellStyle name="Normal 13 45" xfId="735"/>
    <cellStyle name="Normal 13 46" xfId="736"/>
    <cellStyle name="Normal 13 47" xfId="737"/>
    <cellStyle name="Normal 13 48" xfId="738"/>
    <cellStyle name="Normal 13 49" xfId="739"/>
    <cellStyle name="Normal 13 5" xfId="740"/>
    <cellStyle name="Normal 13 50" xfId="741"/>
    <cellStyle name="Normal 13 51" xfId="742"/>
    <cellStyle name="Normal 13 52" xfId="743"/>
    <cellStyle name="Normal 13 53" xfId="744"/>
    <cellStyle name="Normal 13 54" xfId="745"/>
    <cellStyle name="Normal 13 55" xfId="746"/>
    <cellStyle name="Normal 13 56" xfId="747"/>
    <cellStyle name="Normal 13 57" xfId="748"/>
    <cellStyle name="Normal 13 58" xfId="749"/>
    <cellStyle name="Normal 13 59" xfId="750"/>
    <cellStyle name="Normal 13 6" xfId="751"/>
    <cellStyle name="Normal 13 60" xfId="752"/>
    <cellStyle name="Normal 13 61" xfId="753"/>
    <cellStyle name="Normal 13 62" xfId="754"/>
    <cellStyle name="Normal 13 63" xfId="755"/>
    <cellStyle name="Normal 13 64" xfId="756"/>
    <cellStyle name="Normal 13 65" xfId="757"/>
    <cellStyle name="Normal 13 66" xfId="758"/>
    <cellStyle name="Normal 13 67" xfId="759"/>
    <cellStyle name="Normal 13 68" xfId="760"/>
    <cellStyle name="Normal 13 69" xfId="761"/>
    <cellStyle name="Normal 13 7" xfId="762"/>
    <cellStyle name="Normal 13 70" xfId="763"/>
    <cellStyle name="Normal 13 71" xfId="764"/>
    <cellStyle name="Normal 13 72" xfId="765"/>
    <cellStyle name="Normal 13 73" xfId="766"/>
    <cellStyle name="Normal 13 74" xfId="767"/>
    <cellStyle name="Normal 13 75" xfId="768"/>
    <cellStyle name="Normal 13 76" xfId="769"/>
    <cellStyle name="Normal 13 77" xfId="770"/>
    <cellStyle name="Normal 13 78" xfId="771"/>
    <cellStyle name="Normal 13 79" xfId="772"/>
    <cellStyle name="Normal 13 8" xfId="773"/>
    <cellStyle name="Normal 13 80" xfId="774"/>
    <cellStyle name="Normal 13 81" xfId="775"/>
    <cellStyle name="Normal 13 82" xfId="776"/>
    <cellStyle name="Normal 13 83" xfId="777"/>
    <cellStyle name="Normal 13 84" xfId="778"/>
    <cellStyle name="Normal 13 85" xfId="779"/>
    <cellStyle name="Normal 13 86" xfId="780"/>
    <cellStyle name="Normal 13 87" xfId="781"/>
    <cellStyle name="Normal 13 88" xfId="782"/>
    <cellStyle name="Normal 13 89" xfId="783"/>
    <cellStyle name="Normal 13 9" xfId="784"/>
    <cellStyle name="Normal 13 90" xfId="785"/>
    <cellStyle name="Normal 13 91" xfId="786"/>
    <cellStyle name="Normal 13 92" xfId="787"/>
    <cellStyle name="Normal 13 93" xfId="788"/>
    <cellStyle name="Normal 13 94" xfId="789"/>
    <cellStyle name="Normal 13 95" xfId="790"/>
    <cellStyle name="Normal 13 96" xfId="791"/>
    <cellStyle name="Normal 13 97" xfId="792"/>
    <cellStyle name="Normal 13 98" xfId="793"/>
    <cellStyle name="Normal 13 99" xfId="794"/>
    <cellStyle name="Normal 14" xfId="795"/>
    <cellStyle name="Normal 14 10" xfId="796"/>
    <cellStyle name="Normal 14 100" xfId="797"/>
    <cellStyle name="Normal 14 101" xfId="798"/>
    <cellStyle name="Normal 14 102" xfId="799"/>
    <cellStyle name="Normal 14 103" xfId="800"/>
    <cellStyle name="Normal 14 104" xfId="801"/>
    <cellStyle name="Normal 14 105" xfId="802"/>
    <cellStyle name="Normal 14 106" xfId="803"/>
    <cellStyle name="Normal 14 107" xfId="804"/>
    <cellStyle name="Normal 14 108" xfId="805"/>
    <cellStyle name="Normal 14 109" xfId="806"/>
    <cellStyle name="Normal 14 11" xfId="807"/>
    <cellStyle name="Normal 14 110" xfId="808"/>
    <cellStyle name="Normal 14 111" xfId="809"/>
    <cellStyle name="Normal 14 112" xfId="810"/>
    <cellStyle name="Normal 14 113" xfId="811"/>
    <cellStyle name="Normal 14 114" xfId="812"/>
    <cellStyle name="Normal 14 115" xfId="813"/>
    <cellStyle name="Normal 14 116" xfId="814"/>
    <cellStyle name="Normal 14 117" xfId="815"/>
    <cellStyle name="Normal 14 118" xfId="816"/>
    <cellStyle name="Normal 14 119" xfId="817"/>
    <cellStyle name="Normal 14 12" xfId="818"/>
    <cellStyle name="Normal 14 120" xfId="819"/>
    <cellStyle name="Normal 14 121" xfId="820"/>
    <cellStyle name="Normal 14 122" xfId="821"/>
    <cellStyle name="Normal 14 123" xfId="822"/>
    <cellStyle name="Normal 14 124" xfId="823"/>
    <cellStyle name="Normal 14 125" xfId="824"/>
    <cellStyle name="Normal 14 126" xfId="825"/>
    <cellStyle name="Normal 14 127" xfId="826"/>
    <cellStyle name="Normal 14 128" xfId="827"/>
    <cellStyle name="Normal 14 129" xfId="828"/>
    <cellStyle name="Normal 14 13" xfId="829"/>
    <cellStyle name="Normal 14 130" xfId="830"/>
    <cellStyle name="Normal 14 131" xfId="831"/>
    <cellStyle name="Normal 14 132" xfId="832"/>
    <cellStyle name="Normal 14 133" xfId="833"/>
    <cellStyle name="Normal 14 134" xfId="834"/>
    <cellStyle name="Normal 14 135" xfId="835"/>
    <cellStyle name="Normal 14 136" xfId="836"/>
    <cellStyle name="Normal 14 137" xfId="837"/>
    <cellStyle name="Normal 14 138" xfId="838"/>
    <cellStyle name="Normal 14 139" xfId="839"/>
    <cellStyle name="Normal 14 14" xfId="840"/>
    <cellStyle name="Normal 14 140" xfId="841"/>
    <cellStyle name="Normal 14 141" xfId="842"/>
    <cellStyle name="Normal 14 142" xfId="843"/>
    <cellStyle name="Normal 14 143" xfId="844"/>
    <cellStyle name="Normal 14 144" xfId="845"/>
    <cellStyle name="Normal 14 145" xfId="846"/>
    <cellStyle name="Normal 14 146" xfId="847"/>
    <cellStyle name="Normal 14 147" xfId="848"/>
    <cellStyle name="Normal 14 148" xfId="849"/>
    <cellStyle name="Normal 14 149" xfId="850"/>
    <cellStyle name="Normal 14 15" xfId="851"/>
    <cellStyle name="Normal 14 150" xfId="852"/>
    <cellStyle name="Normal 14 151" xfId="853"/>
    <cellStyle name="Normal 14 152" xfId="854"/>
    <cellStyle name="Normal 14 153" xfId="855"/>
    <cellStyle name="Normal 14 154" xfId="856"/>
    <cellStyle name="Normal 14 155" xfId="857"/>
    <cellStyle name="Normal 14 156" xfId="858"/>
    <cellStyle name="Normal 14 157" xfId="859"/>
    <cellStyle name="Normal 14 158" xfId="860"/>
    <cellStyle name="Normal 14 159" xfId="861"/>
    <cellStyle name="Normal 14 16" xfId="862"/>
    <cellStyle name="Normal 14 160" xfId="863"/>
    <cellStyle name="Normal 14 161" xfId="864"/>
    <cellStyle name="Normal 14 162" xfId="865"/>
    <cellStyle name="Normal 14 163" xfId="866"/>
    <cellStyle name="Normal 14 164" xfId="867"/>
    <cellStyle name="Normal 14 165" xfId="868"/>
    <cellStyle name="Normal 14 166" xfId="869"/>
    <cellStyle name="Normal 14 167" xfId="870"/>
    <cellStyle name="Normal 14 168" xfId="871"/>
    <cellStyle name="Normal 14 169" xfId="872"/>
    <cellStyle name="Normal 14 17" xfId="873"/>
    <cellStyle name="Normal 14 170" xfId="874"/>
    <cellStyle name="Normal 14 171" xfId="875"/>
    <cellStyle name="Normal 14 172" xfId="876"/>
    <cellStyle name="Normal 14 173" xfId="877"/>
    <cellStyle name="Normal 14 174" xfId="878"/>
    <cellStyle name="Normal 14 175" xfId="879"/>
    <cellStyle name="Normal 14 176" xfId="880"/>
    <cellStyle name="Normal 14 177" xfId="881"/>
    <cellStyle name="Normal 14 178" xfId="882"/>
    <cellStyle name="Normal 14 179" xfId="883"/>
    <cellStyle name="Normal 14 18" xfId="884"/>
    <cellStyle name="Normal 14 180" xfId="885"/>
    <cellStyle name="Normal 14 181" xfId="886"/>
    <cellStyle name="Normal 14 182" xfId="887"/>
    <cellStyle name="Normal 14 183" xfId="888"/>
    <cellStyle name="Normal 14 184" xfId="889"/>
    <cellStyle name="Normal 14 185" xfId="890"/>
    <cellStyle name="Normal 14 186" xfId="891"/>
    <cellStyle name="Normal 14 187" xfId="892"/>
    <cellStyle name="Normal 14 188" xfId="893"/>
    <cellStyle name="Normal 14 189" xfId="894"/>
    <cellStyle name="Normal 14 19" xfId="895"/>
    <cellStyle name="Normal 14 190" xfId="896"/>
    <cellStyle name="Normal 14 191" xfId="897"/>
    <cellStyle name="Normal 14 192" xfId="898"/>
    <cellStyle name="Normal 14 193" xfId="899"/>
    <cellStyle name="Normal 14 194" xfId="900"/>
    <cellStyle name="Normal 14 195" xfId="901"/>
    <cellStyle name="Normal 14 196" xfId="902"/>
    <cellStyle name="Normal 14 197" xfId="903"/>
    <cellStyle name="Normal 14 198" xfId="904"/>
    <cellStyle name="Normal 14 2" xfId="905"/>
    <cellStyle name="Normal 14 20" xfId="906"/>
    <cellStyle name="Normal 14 21" xfId="907"/>
    <cellStyle name="Normal 14 22" xfId="908"/>
    <cellStyle name="Normal 14 23" xfId="909"/>
    <cellStyle name="Normal 14 24" xfId="910"/>
    <cellStyle name="Normal 14 25" xfId="911"/>
    <cellStyle name="Normal 14 26" xfId="912"/>
    <cellStyle name="Normal 14 27" xfId="913"/>
    <cellStyle name="Normal 14 28" xfId="914"/>
    <cellStyle name="Normal 14 29" xfId="915"/>
    <cellStyle name="Normal 14 3" xfId="916"/>
    <cellStyle name="Normal 14 30" xfId="917"/>
    <cellStyle name="Normal 14 31" xfId="918"/>
    <cellStyle name="Normal 14 32" xfId="919"/>
    <cellStyle name="Normal 14 33" xfId="920"/>
    <cellStyle name="Normal 14 34" xfId="921"/>
    <cellStyle name="Normal 14 35" xfId="922"/>
    <cellStyle name="Normal 14 36" xfId="923"/>
    <cellStyle name="Normal 14 37" xfId="924"/>
    <cellStyle name="Normal 14 38" xfId="925"/>
    <cellStyle name="Normal 14 39" xfId="926"/>
    <cellStyle name="Normal 14 4" xfId="927"/>
    <cellStyle name="Normal 14 40" xfId="928"/>
    <cellStyle name="Normal 14 41" xfId="929"/>
    <cellStyle name="Normal 14 42" xfId="930"/>
    <cellStyle name="Normal 14 43" xfId="931"/>
    <cellStyle name="Normal 14 44" xfId="932"/>
    <cellStyle name="Normal 14 45" xfId="933"/>
    <cellStyle name="Normal 14 46" xfId="934"/>
    <cellStyle name="Normal 14 47" xfId="935"/>
    <cellStyle name="Normal 14 48" xfId="936"/>
    <cellStyle name="Normal 14 49" xfId="937"/>
    <cellStyle name="Normal 14 5" xfId="938"/>
    <cellStyle name="Normal 14 50" xfId="939"/>
    <cellStyle name="Normal 14 51" xfId="940"/>
    <cellStyle name="Normal 14 52" xfId="941"/>
    <cellStyle name="Normal 14 53" xfId="942"/>
    <cellStyle name="Normal 14 54" xfId="943"/>
    <cellStyle name="Normal 14 55" xfId="944"/>
    <cellStyle name="Normal 14 56" xfId="945"/>
    <cellStyle name="Normal 14 57" xfId="946"/>
    <cellStyle name="Normal 14 58" xfId="947"/>
    <cellStyle name="Normal 14 59" xfId="948"/>
    <cellStyle name="Normal 14 6" xfId="949"/>
    <cellStyle name="Normal 14 60" xfId="950"/>
    <cellStyle name="Normal 14 61" xfId="951"/>
    <cellStyle name="Normal 14 62" xfId="952"/>
    <cellStyle name="Normal 14 63" xfId="953"/>
    <cellStyle name="Normal 14 64" xfId="954"/>
    <cellStyle name="Normal 14 65" xfId="955"/>
    <cellStyle name="Normal 14 66" xfId="956"/>
    <cellStyle name="Normal 14 67" xfId="957"/>
    <cellStyle name="Normal 14 68" xfId="958"/>
    <cellStyle name="Normal 14 69" xfId="959"/>
    <cellStyle name="Normal 14 7" xfId="960"/>
    <cellStyle name="Normal 14 70" xfId="961"/>
    <cellStyle name="Normal 14 71" xfId="962"/>
    <cellStyle name="Normal 14 72" xfId="963"/>
    <cellStyle name="Normal 14 73" xfId="964"/>
    <cellStyle name="Normal 14 74" xfId="965"/>
    <cellStyle name="Normal 14 75" xfId="966"/>
    <cellStyle name="Normal 14 76" xfId="967"/>
    <cellStyle name="Normal 14 77" xfId="968"/>
    <cellStyle name="Normal 14 78" xfId="969"/>
    <cellStyle name="Normal 14 79" xfId="970"/>
    <cellStyle name="Normal 14 8" xfId="971"/>
    <cellStyle name="Normal 14 80" xfId="972"/>
    <cellStyle name="Normal 14 81" xfId="973"/>
    <cellStyle name="Normal 14 82" xfId="974"/>
    <cellStyle name="Normal 14 83" xfId="975"/>
    <cellStyle name="Normal 14 84" xfId="976"/>
    <cellStyle name="Normal 14 85" xfId="977"/>
    <cellStyle name="Normal 14 86" xfId="978"/>
    <cellStyle name="Normal 14 87" xfId="979"/>
    <cellStyle name="Normal 14 88" xfId="980"/>
    <cellStyle name="Normal 14 89" xfId="981"/>
    <cellStyle name="Normal 14 9" xfId="982"/>
    <cellStyle name="Normal 14 90" xfId="983"/>
    <cellStyle name="Normal 14 91" xfId="984"/>
    <cellStyle name="Normal 14 92" xfId="985"/>
    <cellStyle name="Normal 14 93" xfId="986"/>
    <cellStyle name="Normal 14 94" xfId="987"/>
    <cellStyle name="Normal 14 95" xfId="988"/>
    <cellStyle name="Normal 14 96" xfId="989"/>
    <cellStyle name="Normal 14 97" xfId="990"/>
    <cellStyle name="Normal 14 98" xfId="991"/>
    <cellStyle name="Normal 14 99" xfId="992"/>
    <cellStyle name="Normal 15" xfId="993"/>
    <cellStyle name="Normal 15 10" xfId="994"/>
    <cellStyle name="Normal 15 100" xfId="995"/>
    <cellStyle name="Normal 15 101" xfId="996"/>
    <cellStyle name="Normal 15 102" xfId="997"/>
    <cellStyle name="Normal 15 103" xfId="998"/>
    <cellStyle name="Normal 15 104" xfId="999"/>
    <cellStyle name="Normal 15 105" xfId="1000"/>
    <cellStyle name="Normal 15 106" xfId="1001"/>
    <cellStyle name="Normal 15 107" xfId="1002"/>
    <cellStyle name="Normal 15 108" xfId="1003"/>
    <cellStyle name="Normal 15 109" xfId="1004"/>
    <cellStyle name="Normal 15 11" xfId="1005"/>
    <cellStyle name="Normal 15 110" xfId="1006"/>
    <cellStyle name="Normal 15 111" xfId="1007"/>
    <cellStyle name="Normal 15 112" xfId="1008"/>
    <cellStyle name="Normal 15 113" xfId="1009"/>
    <cellStyle name="Normal 15 114" xfId="1010"/>
    <cellStyle name="Normal 15 115" xfId="1011"/>
    <cellStyle name="Normal 15 116" xfId="1012"/>
    <cellStyle name="Normal 15 117" xfId="1013"/>
    <cellStyle name="Normal 15 118" xfId="1014"/>
    <cellStyle name="Normal 15 119" xfId="1015"/>
    <cellStyle name="Normal 15 12" xfId="1016"/>
    <cellStyle name="Normal 15 120" xfId="1017"/>
    <cellStyle name="Normal 15 121" xfId="1018"/>
    <cellStyle name="Normal 15 122" xfId="1019"/>
    <cellStyle name="Normal 15 123" xfId="1020"/>
    <cellStyle name="Normal 15 124" xfId="1021"/>
    <cellStyle name="Normal 15 125" xfId="1022"/>
    <cellStyle name="Normal 15 126" xfId="1023"/>
    <cellStyle name="Normal 15 127" xfId="1024"/>
    <cellStyle name="Normal 15 128" xfId="1025"/>
    <cellStyle name="Normal 15 129" xfId="1026"/>
    <cellStyle name="Normal 15 13" xfId="1027"/>
    <cellStyle name="Normal 15 130" xfId="1028"/>
    <cellStyle name="Normal 15 131" xfId="1029"/>
    <cellStyle name="Normal 15 132" xfId="1030"/>
    <cellStyle name="Normal 15 133" xfId="1031"/>
    <cellStyle name="Normal 15 134" xfId="1032"/>
    <cellStyle name="Normal 15 135" xfId="1033"/>
    <cellStyle name="Normal 15 136" xfId="1034"/>
    <cellStyle name="Normal 15 137" xfId="1035"/>
    <cellStyle name="Normal 15 138" xfId="1036"/>
    <cellStyle name="Normal 15 139" xfId="1037"/>
    <cellStyle name="Normal 15 14" xfId="1038"/>
    <cellStyle name="Normal 15 140" xfId="1039"/>
    <cellStyle name="Normal 15 141" xfId="1040"/>
    <cellStyle name="Normal 15 142" xfId="1041"/>
    <cellStyle name="Normal 15 143" xfId="1042"/>
    <cellStyle name="Normal 15 144" xfId="1043"/>
    <cellStyle name="Normal 15 145" xfId="1044"/>
    <cellStyle name="Normal 15 146" xfId="1045"/>
    <cellStyle name="Normal 15 147" xfId="1046"/>
    <cellStyle name="Normal 15 148" xfId="1047"/>
    <cellStyle name="Normal 15 149" xfId="1048"/>
    <cellStyle name="Normal 15 15" xfId="1049"/>
    <cellStyle name="Normal 15 150" xfId="1050"/>
    <cellStyle name="Normal 15 151" xfId="1051"/>
    <cellStyle name="Normal 15 152" xfId="1052"/>
    <cellStyle name="Normal 15 153" xfId="1053"/>
    <cellStyle name="Normal 15 154" xfId="1054"/>
    <cellStyle name="Normal 15 155" xfId="1055"/>
    <cellStyle name="Normal 15 156" xfId="1056"/>
    <cellStyle name="Normal 15 157" xfId="1057"/>
    <cellStyle name="Normal 15 158" xfId="1058"/>
    <cellStyle name="Normal 15 159" xfId="1059"/>
    <cellStyle name="Normal 15 16" xfId="1060"/>
    <cellStyle name="Normal 15 160" xfId="1061"/>
    <cellStyle name="Normal 15 161" xfId="1062"/>
    <cellStyle name="Normal 15 162" xfId="1063"/>
    <cellStyle name="Normal 15 163" xfId="1064"/>
    <cellStyle name="Normal 15 164" xfId="1065"/>
    <cellStyle name="Normal 15 165" xfId="1066"/>
    <cellStyle name="Normal 15 166" xfId="1067"/>
    <cellStyle name="Normal 15 167" xfId="1068"/>
    <cellStyle name="Normal 15 168" xfId="1069"/>
    <cellStyle name="Normal 15 169" xfId="1070"/>
    <cellStyle name="Normal 15 17" xfId="1071"/>
    <cellStyle name="Normal 15 170" xfId="1072"/>
    <cellStyle name="Normal 15 171" xfId="1073"/>
    <cellStyle name="Normal 15 172" xfId="1074"/>
    <cellStyle name="Normal 15 173" xfId="1075"/>
    <cellStyle name="Normal 15 174" xfId="1076"/>
    <cellStyle name="Normal 15 175" xfId="1077"/>
    <cellStyle name="Normal 15 176" xfId="1078"/>
    <cellStyle name="Normal 15 177" xfId="1079"/>
    <cellStyle name="Normal 15 178" xfId="1080"/>
    <cellStyle name="Normal 15 179" xfId="1081"/>
    <cellStyle name="Normal 15 18" xfId="1082"/>
    <cellStyle name="Normal 15 180" xfId="1083"/>
    <cellStyle name="Normal 15 181" xfId="1084"/>
    <cellStyle name="Normal 15 182" xfId="1085"/>
    <cellStyle name="Normal 15 183" xfId="1086"/>
    <cellStyle name="Normal 15 184" xfId="1087"/>
    <cellStyle name="Normal 15 185" xfId="1088"/>
    <cellStyle name="Normal 15 186" xfId="1089"/>
    <cellStyle name="Normal 15 187" xfId="1090"/>
    <cellStyle name="Normal 15 188" xfId="1091"/>
    <cellStyle name="Normal 15 189" xfId="1092"/>
    <cellStyle name="Normal 15 19" xfId="1093"/>
    <cellStyle name="Normal 15 190" xfId="1094"/>
    <cellStyle name="Normal 15 191" xfId="1095"/>
    <cellStyle name="Normal 15 192" xfId="1096"/>
    <cellStyle name="Normal 15 193" xfId="1097"/>
    <cellStyle name="Normal 15 194" xfId="1098"/>
    <cellStyle name="Normal 15 195" xfId="1099"/>
    <cellStyle name="Normal 15 196" xfId="1100"/>
    <cellStyle name="Normal 15 197" xfId="1101"/>
    <cellStyle name="Normal 15 198" xfId="1102"/>
    <cellStyle name="Normal 15 2" xfId="1103"/>
    <cellStyle name="Normal 15 20" xfId="1104"/>
    <cellStyle name="Normal 15 21" xfId="1105"/>
    <cellStyle name="Normal 15 22" xfId="1106"/>
    <cellStyle name="Normal 15 23" xfId="1107"/>
    <cellStyle name="Normal 15 24" xfId="1108"/>
    <cellStyle name="Normal 15 25" xfId="1109"/>
    <cellStyle name="Normal 15 26" xfId="1110"/>
    <cellStyle name="Normal 15 27" xfId="1111"/>
    <cellStyle name="Normal 15 28" xfId="1112"/>
    <cellStyle name="Normal 15 29" xfId="1113"/>
    <cellStyle name="Normal 15 3" xfId="1114"/>
    <cellStyle name="Normal 15 30" xfId="1115"/>
    <cellStyle name="Normal 15 31" xfId="1116"/>
    <cellStyle name="Normal 15 32" xfId="1117"/>
    <cellStyle name="Normal 15 33" xfId="1118"/>
    <cellStyle name="Normal 15 34" xfId="1119"/>
    <cellStyle name="Normal 15 35" xfId="1120"/>
    <cellStyle name="Normal 15 36" xfId="1121"/>
    <cellStyle name="Normal 15 37" xfId="1122"/>
    <cellStyle name="Normal 15 38" xfId="1123"/>
    <cellStyle name="Normal 15 39" xfId="1124"/>
    <cellStyle name="Normal 15 4" xfId="1125"/>
    <cellStyle name="Normal 15 40" xfId="1126"/>
    <cellStyle name="Normal 15 41" xfId="1127"/>
    <cellStyle name="Normal 15 42" xfId="1128"/>
    <cellStyle name="Normal 15 43" xfId="1129"/>
    <cellStyle name="Normal 15 44" xfId="1130"/>
    <cellStyle name="Normal 15 45" xfId="1131"/>
    <cellStyle name="Normal 15 46" xfId="1132"/>
    <cellStyle name="Normal 15 47" xfId="1133"/>
    <cellStyle name="Normal 15 48" xfId="1134"/>
    <cellStyle name="Normal 15 49" xfId="1135"/>
    <cellStyle name="Normal 15 5" xfId="1136"/>
    <cellStyle name="Normal 15 50" xfId="1137"/>
    <cellStyle name="Normal 15 51" xfId="1138"/>
    <cellStyle name="Normal 15 52" xfId="1139"/>
    <cellStyle name="Normal 15 53" xfId="1140"/>
    <cellStyle name="Normal 15 54" xfId="1141"/>
    <cellStyle name="Normal 15 55" xfId="1142"/>
    <cellStyle name="Normal 15 56" xfId="1143"/>
    <cellStyle name="Normal 15 57" xfId="1144"/>
    <cellStyle name="Normal 15 58" xfId="1145"/>
    <cellStyle name="Normal 15 59" xfId="1146"/>
    <cellStyle name="Normal 15 6" xfId="1147"/>
    <cellStyle name="Normal 15 60" xfId="1148"/>
    <cellStyle name="Normal 15 61" xfId="1149"/>
    <cellStyle name="Normal 15 62" xfId="1150"/>
    <cellStyle name="Normal 15 63" xfId="1151"/>
    <cellStyle name="Normal 15 64" xfId="1152"/>
    <cellStyle name="Normal 15 65" xfId="1153"/>
    <cellStyle name="Normal 15 66" xfId="1154"/>
    <cellStyle name="Normal 15 67" xfId="1155"/>
    <cellStyle name="Normal 15 68" xfId="1156"/>
    <cellStyle name="Normal 15 69" xfId="1157"/>
    <cellStyle name="Normal 15 7" xfId="1158"/>
    <cellStyle name="Normal 15 70" xfId="1159"/>
    <cellStyle name="Normal 15 71" xfId="1160"/>
    <cellStyle name="Normal 15 72" xfId="1161"/>
    <cellStyle name="Normal 15 73" xfId="1162"/>
    <cellStyle name="Normal 15 74" xfId="1163"/>
    <cellStyle name="Normal 15 75" xfId="1164"/>
    <cellStyle name="Normal 15 76" xfId="1165"/>
    <cellStyle name="Normal 15 77" xfId="1166"/>
    <cellStyle name="Normal 15 78" xfId="1167"/>
    <cellStyle name="Normal 15 79" xfId="1168"/>
    <cellStyle name="Normal 15 8" xfId="1169"/>
    <cellStyle name="Normal 15 80" xfId="1170"/>
    <cellStyle name="Normal 15 81" xfId="1171"/>
    <cellStyle name="Normal 15 82" xfId="1172"/>
    <cellStyle name="Normal 15 83" xfId="1173"/>
    <cellStyle name="Normal 15 84" xfId="1174"/>
    <cellStyle name="Normal 15 85" xfId="1175"/>
    <cellStyle name="Normal 15 86" xfId="1176"/>
    <cellStyle name="Normal 15 87" xfId="1177"/>
    <cellStyle name="Normal 15 88" xfId="1178"/>
    <cellStyle name="Normal 15 89" xfId="1179"/>
    <cellStyle name="Normal 15 9" xfId="1180"/>
    <cellStyle name="Normal 15 90" xfId="1181"/>
    <cellStyle name="Normal 15 91" xfId="1182"/>
    <cellStyle name="Normal 15 92" xfId="1183"/>
    <cellStyle name="Normal 15 93" xfId="1184"/>
    <cellStyle name="Normal 15 94" xfId="1185"/>
    <cellStyle name="Normal 15 95" xfId="1186"/>
    <cellStyle name="Normal 15 96" xfId="1187"/>
    <cellStyle name="Normal 15 97" xfId="1188"/>
    <cellStyle name="Normal 15 98" xfId="1189"/>
    <cellStyle name="Normal 15 99" xfId="1190"/>
    <cellStyle name="Normal 16" xfId="1191"/>
    <cellStyle name="Normal 16 10" xfId="1192"/>
    <cellStyle name="Normal 16 100" xfId="1193"/>
    <cellStyle name="Normal 16 101" xfId="1194"/>
    <cellStyle name="Normal 16 102" xfId="1195"/>
    <cellStyle name="Normal 16 103" xfId="1196"/>
    <cellStyle name="Normal 16 104" xfId="1197"/>
    <cellStyle name="Normal 16 105" xfId="1198"/>
    <cellStyle name="Normal 16 106" xfId="1199"/>
    <cellStyle name="Normal 16 107" xfId="1200"/>
    <cellStyle name="Normal 16 108" xfId="1201"/>
    <cellStyle name="Normal 16 109" xfId="1202"/>
    <cellStyle name="Normal 16 11" xfId="1203"/>
    <cellStyle name="Normal 16 110" xfId="1204"/>
    <cellStyle name="Normal 16 111" xfId="1205"/>
    <cellStyle name="Normal 16 112" xfId="1206"/>
    <cellStyle name="Normal 16 113" xfId="1207"/>
    <cellStyle name="Normal 16 114" xfId="1208"/>
    <cellStyle name="Normal 16 115" xfId="1209"/>
    <cellStyle name="Normal 16 116" xfId="1210"/>
    <cellStyle name="Normal 16 117" xfId="1211"/>
    <cellStyle name="Normal 16 118" xfId="1212"/>
    <cellStyle name="Normal 16 119" xfId="1213"/>
    <cellStyle name="Normal 16 12" xfId="1214"/>
    <cellStyle name="Normal 16 120" xfId="1215"/>
    <cellStyle name="Normal 16 121" xfId="1216"/>
    <cellStyle name="Normal 16 122" xfId="1217"/>
    <cellStyle name="Normal 16 123" xfId="1218"/>
    <cellStyle name="Normal 16 124" xfId="1219"/>
    <cellStyle name="Normal 16 125" xfId="1220"/>
    <cellStyle name="Normal 16 126" xfId="1221"/>
    <cellStyle name="Normal 16 127" xfId="1222"/>
    <cellStyle name="Normal 16 128" xfId="1223"/>
    <cellStyle name="Normal 16 129" xfId="1224"/>
    <cellStyle name="Normal 16 13" xfId="1225"/>
    <cellStyle name="Normal 16 130" xfId="1226"/>
    <cellStyle name="Normal 16 131" xfId="1227"/>
    <cellStyle name="Normal 16 132" xfId="1228"/>
    <cellStyle name="Normal 16 133" xfId="1229"/>
    <cellStyle name="Normal 16 134" xfId="1230"/>
    <cellStyle name="Normal 16 135" xfId="1231"/>
    <cellStyle name="Normal 16 136" xfId="1232"/>
    <cellStyle name="Normal 16 137" xfId="1233"/>
    <cellStyle name="Normal 16 138" xfId="1234"/>
    <cellStyle name="Normal 16 139" xfId="1235"/>
    <cellStyle name="Normal 16 14" xfId="1236"/>
    <cellStyle name="Normal 16 140" xfId="1237"/>
    <cellStyle name="Normal 16 141" xfId="1238"/>
    <cellStyle name="Normal 16 142" xfId="1239"/>
    <cellStyle name="Normal 16 143" xfId="1240"/>
    <cellStyle name="Normal 16 144" xfId="1241"/>
    <cellStyle name="Normal 16 145" xfId="1242"/>
    <cellStyle name="Normal 16 146" xfId="1243"/>
    <cellStyle name="Normal 16 147" xfId="1244"/>
    <cellStyle name="Normal 16 148" xfId="1245"/>
    <cellStyle name="Normal 16 149" xfId="1246"/>
    <cellStyle name="Normal 16 15" xfId="1247"/>
    <cellStyle name="Normal 16 150" xfId="1248"/>
    <cellStyle name="Normal 16 151" xfId="1249"/>
    <cellStyle name="Normal 16 152" xfId="1250"/>
    <cellStyle name="Normal 16 153" xfId="1251"/>
    <cellStyle name="Normal 16 154" xfId="1252"/>
    <cellStyle name="Normal 16 155" xfId="1253"/>
    <cellStyle name="Normal 16 156" xfId="1254"/>
    <cellStyle name="Normal 16 157" xfId="1255"/>
    <cellStyle name="Normal 16 158" xfId="1256"/>
    <cellStyle name="Normal 16 159" xfId="1257"/>
    <cellStyle name="Normal 16 16" xfId="1258"/>
    <cellStyle name="Normal 16 160" xfId="1259"/>
    <cellStyle name="Normal 16 161" xfId="1260"/>
    <cellStyle name="Normal 16 162" xfId="1261"/>
    <cellStyle name="Normal 16 163" xfId="1262"/>
    <cellStyle name="Normal 16 164" xfId="1263"/>
    <cellStyle name="Normal 16 165" xfId="1264"/>
    <cellStyle name="Normal 16 166" xfId="1265"/>
    <cellStyle name="Normal 16 167" xfId="1266"/>
    <cellStyle name="Normal 16 168" xfId="1267"/>
    <cellStyle name="Normal 16 169" xfId="1268"/>
    <cellStyle name="Normal 16 17" xfId="1269"/>
    <cellStyle name="Normal 16 170" xfId="1270"/>
    <cellStyle name="Normal 16 171" xfId="1271"/>
    <cellStyle name="Normal 16 172" xfId="1272"/>
    <cellStyle name="Normal 16 173" xfId="1273"/>
    <cellStyle name="Normal 16 174" xfId="1274"/>
    <cellStyle name="Normal 16 175" xfId="1275"/>
    <cellStyle name="Normal 16 176" xfId="1276"/>
    <cellStyle name="Normal 16 177" xfId="1277"/>
    <cellStyle name="Normal 16 178" xfId="1278"/>
    <cellStyle name="Normal 16 179" xfId="1279"/>
    <cellStyle name="Normal 16 18" xfId="1280"/>
    <cellStyle name="Normal 16 180" xfId="1281"/>
    <cellStyle name="Normal 16 181" xfId="1282"/>
    <cellStyle name="Normal 16 182" xfId="1283"/>
    <cellStyle name="Normal 16 183" xfId="1284"/>
    <cellStyle name="Normal 16 184" xfId="1285"/>
    <cellStyle name="Normal 16 185" xfId="1286"/>
    <cellStyle name="Normal 16 186" xfId="1287"/>
    <cellStyle name="Normal 16 187" xfId="1288"/>
    <cellStyle name="Normal 16 188" xfId="1289"/>
    <cellStyle name="Normal 16 189" xfId="1290"/>
    <cellStyle name="Normal 16 19" xfId="1291"/>
    <cellStyle name="Normal 16 190" xfId="1292"/>
    <cellStyle name="Normal 16 191" xfId="1293"/>
    <cellStyle name="Normal 16 192" xfId="1294"/>
    <cellStyle name="Normal 16 193" xfId="1295"/>
    <cellStyle name="Normal 16 194" xfId="1296"/>
    <cellStyle name="Normal 16 195" xfId="1297"/>
    <cellStyle name="Normal 16 196" xfId="1298"/>
    <cellStyle name="Normal 16 197" xfId="1299"/>
    <cellStyle name="Normal 16 198" xfId="1300"/>
    <cellStyle name="Normal 16 2" xfId="1301"/>
    <cellStyle name="Normal 16 20" xfId="1302"/>
    <cellStyle name="Normal 16 21" xfId="1303"/>
    <cellStyle name="Normal 16 22" xfId="1304"/>
    <cellStyle name="Normal 16 23" xfId="1305"/>
    <cellStyle name="Normal 16 24" xfId="1306"/>
    <cellStyle name="Normal 16 25" xfId="1307"/>
    <cellStyle name="Normal 16 26" xfId="1308"/>
    <cellStyle name="Normal 16 27" xfId="1309"/>
    <cellStyle name="Normal 16 28" xfId="1310"/>
    <cellStyle name="Normal 16 29" xfId="1311"/>
    <cellStyle name="Normal 16 3" xfId="1312"/>
    <cellStyle name="Normal 16 30" xfId="1313"/>
    <cellStyle name="Normal 16 31" xfId="1314"/>
    <cellStyle name="Normal 16 32" xfId="1315"/>
    <cellStyle name="Normal 16 33" xfId="1316"/>
    <cellStyle name="Normal 16 34" xfId="1317"/>
    <cellStyle name="Normal 16 35" xfId="1318"/>
    <cellStyle name="Normal 16 36" xfId="1319"/>
    <cellStyle name="Normal 16 37" xfId="1320"/>
    <cellStyle name="Normal 16 38" xfId="1321"/>
    <cellStyle name="Normal 16 39" xfId="1322"/>
    <cellStyle name="Normal 16 4" xfId="1323"/>
    <cellStyle name="Normal 16 40" xfId="1324"/>
    <cellStyle name="Normal 16 41" xfId="1325"/>
    <cellStyle name="Normal 16 42" xfId="1326"/>
    <cellStyle name="Normal 16 43" xfId="1327"/>
    <cellStyle name="Normal 16 44" xfId="1328"/>
    <cellStyle name="Normal 16 45" xfId="1329"/>
    <cellStyle name="Normal 16 46" xfId="1330"/>
    <cellStyle name="Normal 16 47" xfId="1331"/>
    <cellStyle name="Normal 16 48" xfId="1332"/>
    <cellStyle name="Normal 16 49" xfId="1333"/>
    <cellStyle name="Normal 16 5" xfId="1334"/>
    <cellStyle name="Normal 16 50" xfId="1335"/>
    <cellStyle name="Normal 16 51" xfId="1336"/>
    <cellStyle name="Normal 16 52" xfId="1337"/>
    <cellStyle name="Normal 16 53" xfId="1338"/>
    <cellStyle name="Normal 16 54" xfId="1339"/>
    <cellStyle name="Normal 16 55" xfId="1340"/>
    <cellStyle name="Normal 16 56" xfId="1341"/>
    <cellStyle name="Normal 16 57" xfId="1342"/>
    <cellStyle name="Normal 16 58" xfId="1343"/>
    <cellStyle name="Normal 16 59" xfId="1344"/>
    <cellStyle name="Normal 16 6" xfId="1345"/>
    <cellStyle name="Normal 16 60" xfId="1346"/>
    <cellStyle name="Normal 16 61" xfId="1347"/>
    <cellStyle name="Normal 16 62" xfId="1348"/>
    <cellStyle name="Normal 16 63" xfId="1349"/>
    <cellStyle name="Normal 16 64" xfId="1350"/>
    <cellStyle name="Normal 16 65" xfId="1351"/>
    <cellStyle name="Normal 16 66" xfId="1352"/>
    <cellStyle name="Normal 16 67" xfId="1353"/>
    <cellStyle name="Normal 16 68" xfId="1354"/>
    <cellStyle name="Normal 16 69" xfId="1355"/>
    <cellStyle name="Normal 16 7" xfId="1356"/>
    <cellStyle name="Normal 16 70" xfId="1357"/>
    <cellStyle name="Normal 16 71" xfId="1358"/>
    <cellStyle name="Normal 16 72" xfId="1359"/>
    <cellStyle name="Normal 16 73" xfId="1360"/>
    <cellStyle name="Normal 16 74" xfId="1361"/>
    <cellStyle name="Normal 16 75" xfId="1362"/>
    <cellStyle name="Normal 16 76" xfId="1363"/>
    <cellStyle name="Normal 16 77" xfId="1364"/>
    <cellStyle name="Normal 16 78" xfId="1365"/>
    <cellStyle name="Normal 16 79" xfId="1366"/>
    <cellStyle name="Normal 16 8" xfId="1367"/>
    <cellStyle name="Normal 16 80" xfId="1368"/>
    <cellStyle name="Normal 16 81" xfId="1369"/>
    <cellStyle name="Normal 16 82" xfId="1370"/>
    <cellStyle name="Normal 16 83" xfId="1371"/>
    <cellStyle name="Normal 16 84" xfId="1372"/>
    <cellStyle name="Normal 16 85" xfId="1373"/>
    <cellStyle name="Normal 16 86" xfId="1374"/>
    <cellStyle name="Normal 16 87" xfId="1375"/>
    <cellStyle name="Normal 16 88" xfId="1376"/>
    <cellStyle name="Normal 16 89" xfId="1377"/>
    <cellStyle name="Normal 16 9" xfId="1378"/>
    <cellStyle name="Normal 16 90" xfId="1379"/>
    <cellStyle name="Normal 16 91" xfId="1380"/>
    <cellStyle name="Normal 16 92" xfId="1381"/>
    <cellStyle name="Normal 16 93" xfId="1382"/>
    <cellStyle name="Normal 16 94" xfId="1383"/>
    <cellStyle name="Normal 16 95" xfId="1384"/>
    <cellStyle name="Normal 16 96" xfId="1385"/>
    <cellStyle name="Normal 16 97" xfId="1386"/>
    <cellStyle name="Normal 16 98" xfId="1387"/>
    <cellStyle name="Normal 16 99" xfId="1388"/>
    <cellStyle name="Normal 17" xfId="1389"/>
    <cellStyle name="Normal 17 10" xfId="1390"/>
    <cellStyle name="Normal 17 100" xfId="1391"/>
    <cellStyle name="Normal 17 101" xfId="1392"/>
    <cellStyle name="Normal 17 102" xfId="1393"/>
    <cellStyle name="Normal 17 103" xfId="1394"/>
    <cellStyle name="Normal 17 104" xfId="1395"/>
    <cellStyle name="Normal 17 105" xfId="1396"/>
    <cellStyle name="Normal 17 106" xfId="1397"/>
    <cellStyle name="Normal 17 107" xfId="1398"/>
    <cellStyle name="Normal 17 108" xfId="1399"/>
    <cellStyle name="Normal 17 109" xfId="1400"/>
    <cellStyle name="Normal 17 11" xfId="1401"/>
    <cellStyle name="Normal 17 110" xfId="1402"/>
    <cellStyle name="Normal 17 111" xfId="1403"/>
    <cellStyle name="Normal 17 112" xfId="1404"/>
    <cellStyle name="Normal 17 113" xfId="1405"/>
    <cellStyle name="Normal 17 114" xfId="1406"/>
    <cellStyle name="Normal 17 115" xfId="1407"/>
    <cellStyle name="Normal 17 116" xfId="1408"/>
    <cellStyle name="Normal 17 117" xfId="1409"/>
    <cellStyle name="Normal 17 118" xfId="1410"/>
    <cellStyle name="Normal 17 119" xfId="1411"/>
    <cellStyle name="Normal 17 12" xfId="1412"/>
    <cellStyle name="Normal 17 120" xfId="1413"/>
    <cellStyle name="Normal 17 121" xfId="1414"/>
    <cellStyle name="Normal 17 122" xfId="1415"/>
    <cellStyle name="Normal 17 123" xfId="1416"/>
    <cellStyle name="Normal 17 124" xfId="1417"/>
    <cellStyle name="Normal 17 125" xfId="1418"/>
    <cellStyle name="Normal 17 126" xfId="1419"/>
    <cellStyle name="Normal 17 127" xfId="1420"/>
    <cellStyle name="Normal 17 128" xfId="1421"/>
    <cellStyle name="Normal 17 129" xfId="1422"/>
    <cellStyle name="Normal 17 13" xfId="1423"/>
    <cellStyle name="Normal 17 130" xfId="1424"/>
    <cellStyle name="Normal 17 131" xfId="1425"/>
    <cellStyle name="Normal 17 132" xfId="1426"/>
    <cellStyle name="Normal 17 133" xfId="1427"/>
    <cellStyle name="Normal 17 134" xfId="1428"/>
    <cellStyle name="Normal 17 135" xfId="1429"/>
    <cellStyle name="Normal 17 136" xfId="1430"/>
    <cellStyle name="Normal 17 137" xfId="1431"/>
    <cellStyle name="Normal 17 138" xfId="1432"/>
    <cellStyle name="Normal 17 139" xfId="1433"/>
    <cellStyle name="Normal 17 14" xfId="1434"/>
    <cellStyle name="Normal 17 140" xfId="1435"/>
    <cellStyle name="Normal 17 141" xfId="1436"/>
    <cellStyle name="Normal 17 142" xfId="1437"/>
    <cellStyle name="Normal 17 143" xfId="1438"/>
    <cellStyle name="Normal 17 144" xfId="1439"/>
    <cellStyle name="Normal 17 145" xfId="1440"/>
    <cellStyle name="Normal 17 146" xfId="1441"/>
    <cellStyle name="Normal 17 147" xfId="1442"/>
    <cellStyle name="Normal 17 148" xfId="1443"/>
    <cellStyle name="Normal 17 149" xfId="1444"/>
    <cellStyle name="Normal 17 15" xfId="1445"/>
    <cellStyle name="Normal 17 150" xfId="1446"/>
    <cellStyle name="Normal 17 151" xfId="1447"/>
    <cellStyle name="Normal 17 152" xfId="1448"/>
    <cellStyle name="Normal 17 153" xfId="1449"/>
    <cellStyle name="Normal 17 154" xfId="1450"/>
    <cellStyle name="Normal 17 155" xfId="1451"/>
    <cellStyle name="Normal 17 156" xfId="1452"/>
    <cellStyle name="Normal 17 157" xfId="1453"/>
    <cellStyle name="Normal 17 158" xfId="1454"/>
    <cellStyle name="Normal 17 159" xfId="1455"/>
    <cellStyle name="Normal 17 16" xfId="1456"/>
    <cellStyle name="Normal 17 160" xfId="1457"/>
    <cellStyle name="Normal 17 161" xfId="1458"/>
    <cellStyle name="Normal 17 162" xfId="1459"/>
    <cellStyle name="Normal 17 163" xfId="1460"/>
    <cellStyle name="Normal 17 164" xfId="1461"/>
    <cellStyle name="Normal 17 165" xfId="1462"/>
    <cellStyle name="Normal 17 166" xfId="1463"/>
    <cellStyle name="Normal 17 167" xfId="1464"/>
    <cellStyle name="Normal 17 168" xfId="1465"/>
    <cellStyle name="Normal 17 169" xfId="1466"/>
    <cellStyle name="Normal 17 17" xfId="1467"/>
    <cellStyle name="Normal 17 170" xfId="1468"/>
    <cellStyle name="Normal 17 171" xfId="1469"/>
    <cellStyle name="Normal 17 172" xfId="1470"/>
    <cellStyle name="Normal 17 173" xfId="1471"/>
    <cellStyle name="Normal 17 174" xfId="1472"/>
    <cellStyle name="Normal 17 175" xfId="1473"/>
    <cellStyle name="Normal 17 176" xfId="1474"/>
    <cellStyle name="Normal 17 177" xfId="1475"/>
    <cellStyle name="Normal 17 178" xfId="1476"/>
    <cellStyle name="Normal 17 179" xfId="1477"/>
    <cellStyle name="Normal 17 18" xfId="1478"/>
    <cellStyle name="Normal 17 180" xfId="1479"/>
    <cellStyle name="Normal 17 181" xfId="1480"/>
    <cellStyle name="Normal 17 182" xfId="1481"/>
    <cellStyle name="Normal 17 183" xfId="1482"/>
    <cellStyle name="Normal 17 184" xfId="1483"/>
    <cellStyle name="Normal 17 185" xfId="1484"/>
    <cellStyle name="Normal 17 186" xfId="1485"/>
    <cellStyle name="Normal 17 187" xfId="1486"/>
    <cellStyle name="Normal 17 188" xfId="1487"/>
    <cellStyle name="Normal 17 189" xfId="1488"/>
    <cellStyle name="Normal 17 19" xfId="1489"/>
    <cellStyle name="Normal 17 190" xfId="1490"/>
    <cellStyle name="Normal 17 191" xfId="1491"/>
    <cellStyle name="Normal 17 192" xfId="1492"/>
    <cellStyle name="Normal 17 193" xfId="1493"/>
    <cellStyle name="Normal 17 194" xfId="1494"/>
    <cellStyle name="Normal 17 195" xfId="1495"/>
    <cellStyle name="Normal 17 196" xfId="1496"/>
    <cellStyle name="Normal 17 197" xfId="1497"/>
    <cellStyle name="Normal 17 198" xfId="1498"/>
    <cellStyle name="Normal 17 2" xfId="1499"/>
    <cellStyle name="Normal 17 20" xfId="1500"/>
    <cellStyle name="Normal 17 21" xfId="1501"/>
    <cellStyle name="Normal 17 22" xfId="1502"/>
    <cellStyle name="Normal 17 23" xfId="1503"/>
    <cellStyle name="Normal 17 24" xfId="1504"/>
    <cellStyle name="Normal 17 25" xfId="1505"/>
    <cellStyle name="Normal 17 26" xfId="1506"/>
    <cellStyle name="Normal 17 27" xfId="1507"/>
    <cellStyle name="Normal 17 28" xfId="1508"/>
    <cellStyle name="Normal 17 29" xfId="1509"/>
    <cellStyle name="Normal 17 3" xfId="1510"/>
    <cellStyle name="Normal 17 30" xfId="1511"/>
    <cellStyle name="Normal 17 31" xfId="1512"/>
    <cellStyle name="Normal 17 32" xfId="1513"/>
    <cellStyle name="Normal 17 33" xfId="1514"/>
    <cellStyle name="Normal 17 34" xfId="1515"/>
    <cellStyle name="Normal 17 35" xfId="1516"/>
    <cellStyle name="Normal 17 36" xfId="1517"/>
    <cellStyle name="Normal 17 37" xfId="1518"/>
    <cellStyle name="Normal 17 38" xfId="1519"/>
    <cellStyle name="Normal 17 39" xfId="1520"/>
    <cellStyle name="Normal 17 4" xfId="1521"/>
    <cellStyle name="Normal 17 40" xfId="1522"/>
    <cellStyle name="Normal 17 41" xfId="1523"/>
    <cellStyle name="Normal 17 42" xfId="1524"/>
    <cellStyle name="Normal 17 43" xfId="1525"/>
    <cellStyle name="Normal 17 44" xfId="1526"/>
    <cellStyle name="Normal 17 45" xfId="1527"/>
    <cellStyle name="Normal 17 46" xfId="1528"/>
    <cellStyle name="Normal 17 47" xfId="1529"/>
    <cellStyle name="Normal 17 48" xfId="1530"/>
    <cellStyle name="Normal 17 49" xfId="1531"/>
    <cellStyle name="Normal 17 5" xfId="1532"/>
    <cellStyle name="Normal 17 50" xfId="1533"/>
    <cellStyle name="Normal 17 51" xfId="1534"/>
    <cellStyle name="Normal 17 52" xfId="1535"/>
    <cellStyle name="Normal 17 53" xfId="1536"/>
    <cellStyle name="Normal 17 54" xfId="1537"/>
    <cellStyle name="Normal 17 55" xfId="1538"/>
    <cellStyle name="Normal 17 56" xfId="1539"/>
    <cellStyle name="Normal 17 57" xfId="1540"/>
    <cellStyle name="Normal 17 58" xfId="1541"/>
    <cellStyle name="Normal 17 59" xfId="1542"/>
    <cellStyle name="Normal 17 6" xfId="1543"/>
    <cellStyle name="Normal 17 60" xfId="1544"/>
    <cellStyle name="Normal 17 61" xfId="1545"/>
    <cellStyle name="Normal 17 62" xfId="1546"/>
    <cellStyle name="Normal 17 63" xfId="1547"/>
    <cellStyle name="Normal 17 64" xfId="1548"/>
    <cellStyle name="Normal 17 65" xfId="1549"/>
    <cellStyle name="Normal 17 66" xfId="1550"/>
    <cellStyle name="Normal 17 67" xfId="1551"/>
    <cellStyle name="Normal 17 68" xfId="1552"/>
    <cellStyle name="Normal 17 69" xfId="1553"/>
    <cellStyle name="Normal 17 7" xfId="1554"/>
    <cellStyle name="Normal 17 70" xfId="1555"/>
    <cellStyle name="Normal 17 71" xfId="1556"/>
    <cellStyle name="Normal 17 72" xfId="1557"/>
    <cellStyle name="Normal 17 73" xfId="1558"/>
    <cellStyle name="Normal 17 74" xfId="1559"/>
    <cellStyle name="Normal 17 75" xfId="1560"/>
    <cellStyle name="Normal 17 76" xfId="1561"/>
    <cellStyle name="Normal 17 77" xfId="1562"/>
    <cellStyle name="Normal 17 78" xfId="1563"/>
    <cellStyle name="Normal 17 79" xfId="1564"/>
    <cellStyle name="Normal 17 8" xfId="1565"/>
    <cellStyle name="Normal 17 80" xfId="1566"/>
    <cellStyle name="Normal 17 81" xfId="1567"/>
    <cellStyle name="Normal 17 82" xfId="1568"/>
    <cellStyle name="Normal 17 83" xfId="1569"/>
    <cellStyle name="Normal 17 84" xfId="1570"/>
    <cellStyle name="Normal 17 85" xfId="1571"/>
    <cellStyle name="Normal 17 86" xfId="1572"/>
    <cellStyle name="Normal 17 87" xfId="1573"/>
    <cellStyle name="Normal 17 88" xfId="1574"/>
    <cellStyle name="Normal 17 89" xfId="1575"/>
    <cellStyle name="Normal 17 9" xfId="1576"/>
    <cellStyle name="Normal 17 90" xfId="1577"/>
    <cellStyle name="Normal 17 91" xfId="1578"/>
    <cellStyle name="Normal 17 92" xfId="1579"/>
    <cellStyle name="Normal 17 93" xfId="1580"/>
    <cellStyle name="Normal 17 94" xfId="1581"/>
    <cellStyle name="Normal 17 95" xfId="1582"/>
    <cellStyle name="Normal 17 96" xfId="1583"/>
    <cellStyle name="Normal 17 97" xfId="1584"/>
    <cellStyle name="Normal 17 98" xfId="1585"/>
    <cellStyle name="Normal 17 99" xfId="1586"/>
    <cellStyle name="Normal 18" xfId="1587"/>
    <cellStyle name="Normal 18 10" xfId="1588"/>
    <cellStyle name="Normal 18 100" xfId="1589"/>
    <cellStyle name="Normal 18 101" xfId="1590"/>
    <cellStyle name="Normal 18 102" xfId="1591"/>
    <cellStyle name="Normal 18 103" xfId="1592"/>
    <cellStyle name="Normal 18 104" xfId="1593"/>
    <cellStyle name="Normal 18 105" xfId="1594"/>
    <cellStyle name="Normal 18 106" xfId="1595"/>
    <cellStyle name="Normal 18 107" xfId="1596"/>
    <cellStyle name="Normal 18 108" xfId="1597"/>
    <cellStyle name="Normal 18 109" xfId="1598"/>
    <cellStyle name="Normal 18 11" xfId="1599"/>
    <cellStyle name="Normal 18 110" xfId="1600"/>
    <cellStyle name="Normal 18 111" xfId="1601"/>
    <cellStyle name="Normal 18 112" xfId="1602"/>
    <cellStyle name="Normal 18 113" xfId="1603"/>
    <cellStyle name="Normal 18 114" xfId="1604"/>
    <cellStyle name="Normal 18 115" xfId="1605"/>
    <cellStyle name="Normal 18 116" xfId="1606"/>
    <cellStyle name="Normal 18 117" xfId="1607"/>
    <cellStyle name="Normal 18 118" xfId="1608"/>
    <cellStyle name="Normal 18 119" xfId="1609"/>
    <cellStyle name="Normal 18 12" xfId="1610"/>
    <cellStyle name="Normal 18 120" xfId="1611"/>
    <cellStyle name="Normal 18 121" xfId="1612"/>
    <cellStyle name="Normal 18 122" xfId="1613"/>
    <cellStyle name="Normal 18 123" xfId="1614"/>
    <cellStyle name="Normal 18 124" xfId="1615"/>
    <cellStyle name="Normal 18 125" xfId="1616"/>
    <cellStyle name="Normal 18 126" xfId="1617"/>
    <cellStyle name="Normal 18 127" xfId="1618"/>
    <cellStyle name="Normal 18 128" xfId="1619"/>
    <cellStyle name="Normal 18 129" xfId="1620"/>
    <cellStyle name="Normal 18 13" xfId="1621"/>
    <cellStyle name="Normal 18 130" xfId="1622"/>
    <cellStyle name="Normal 18 131" xfId="1623"/>
    <cellStyle name="Normal 18 132" xfId="1624"/>
    <cellStyle name="Normal 18 133" xfId="1625"/>
    <cellStyle name="Normal 18 134" xfId="1626"/>
    <cellStyle name="Normal 18 135" xfId="1627"/>
    <cellStyle name="Normal 18 136" xfId="1628"/>
    <cellStyle name="Normal 18 137" xfId="1629"/>
    <cellStyle name="Normal 18 138" xfId="1630"/>
    <cellStyle name="Normal 18 139" xfId="1631"/>
    <cellStyle name="Normal 18 14" xfId="1632"/>
    <cellStyle name="Normal 18 140" xfId="1633"/>
    <cellStyle name="Normal 18 141" xfId="1634"/>
    <cellStyle name="Normal 18 142" xfId="1635"/>
    <cellStyle name="Normal 18 143" xfId="1636"/>
    <cellStyle name="Normal 18 144" xfId="1637"/>
    <cellStyle name="Normal 18 145" xfId="1638"/>
    <cellStyle name="Normal 18 146" xfId="1639"/>
    <cellStyle name="Normal 18 147" xfId="1640"/>
    <cellStyle name="Normal 18 148" xfId="1641"/>
    <cellStyle name="Normal 18 149" xfId="1642"/>
    <cellStyle name="Normal 18 15" xfId="1643"/>
    <cellStyle name="Normal 18 150" xfId="1644"/>
    <cellStyle name="Normal 18 151" xfId="1645"/>
    <cellStyle name="Normal 18 152" xfId="1646"/>
    <cellStyle name="Normal 18 153" xfId="1647"/>
    <cellStyle name="Normal 18 154" xfId="1648"/>
    <cellStyle name="Normal 18 155" xfId="1649"/>
    <cellStyle name="Normal 18 156" xfId="1650"/>
    <cellStyle name="Normal 18 157" xfId="1651"/>
    <cellStyle name="Normal 18 158" xfId="1652"/>
    <cellStyle name="Normal 18 159" xfId="1653"/>
    <cellStyle name="Normal 18 16" xfId="1654"/>
    <cellStyle name="Normal 18 160" xfId="1655"/>
    <cellStyle name="Normal 18 161" xfId="1656"/>
    <cellStyle name="Normal 18 162" xfId="1657"/>
    <cellStyle name="Normal 18 163" xfId="1658"/>
    <cellStyle name="Normal 18 164" xfId="1659"/>
    <cellStyle name="Normal 18 165" xfId="1660"/>
    <cellStyle name="Normal 18 166" xfId="1661"/>
    <cellStyle name="Normal 18 167" xfId="1662"/>
    <cellStyle name="Normal 18 168" xfId="1663"/>
    <cellStyle name="Normal 18 169" xfId="1664"/>
    <cellStyle name="Normal 18 17" xfId="1665"/>
    <cellStyle name="Normal 18 170" xfId="1666"/>
    <cellStyle name="Normal 18 171" xfId="1667"/>
    <cellStyle name="Normal 18 172" xfId="1668"/>
    <cellStyle name="Normal 18 173" xfId="1669"/>
    <cellStyle name="Normal 18 174" xfId="1670"/>
    <cellStyle name="Normal 18 175" xfId="1671"/>
    <cellStyle name="Normal 18 176" xfId="1672"/>
    <cellStyle name="Normal 18 177" xfId="1673"/>
    <cellStyle name="Normal 18 178" xfId="1674"/>
    <cellStyle name="Normal 18 179" xfId="1675"/>
    <cellStyle name="Normal 18 18" xfId="1676"/>
    <cellStyle name="Normal 18 180" xfId="1677"/>
    <cellStyle name="Normal 18 181" xfId="1678"/>
    <cellStyle name="Normal 18 182" xfId="1679"/>
    <cellStyle name="Normal 18 183" xfId="1680"/>
    <cellStyle name="Normal 18 184" xfId="1681"/>
    <cellStyle name="Normal 18 185" xfId="1682"/>
    <cellStyle name="Normal 18 186" xfId="1683"/>
    <cellStyle name="Normal 18 187" xfId="1684"/>
    <cellStyle name="Normal 18 188" xfId="1685"/>
    <cellStyle name="Normal 18 189" xfId="1686"/>
    <cellStyle name="Normal 18 19" xfId="1687"/>
    <cellStyle name="Normal 18 190" xfId="1688"/>
    <cellStyle name="Normal 18 191" xfId="1689"/>
    <cellStyle name="Normal 18 192" xfId="1690"/>
    <cellStyle name="Normal 18 193" xfId="1691"/>
    <cellStyle name="Normal 18 194" xfId="1692"/>
    <cellStyle name="Normal 18 195" xfId="1693"/>
    <cellStyle name="Normal 18 196" xfId="1694"/>
    <cellStyle name="Normal 18 197" xfId="1695"/>
    <cellStyle name="Normal 18 198" xfId="1696"/>
    <cellStyle name="Normal 18 2" xfId="1697"/>
    <cellStyle name="Normal 18 20" xfId="1698"/>
    <cellStyle name="Normal 18 21" xfId="1699"/>
    <cellStyle name="Normal 18 22" xfId="1700"/>
    <cellStyle name="Normal 18 23" xfId="1701"/>
    <cellStyle name="Normal 18 24" xfId="1702"/>
    <cellStyle name="Normal 18 25" xfId="1703"/>
    <cellStyle name="Normal 18 26" xfId="1704"/>
    <cellStyle name="Normal 18 27" xfId="1705"/>
    <cellStyle name="Normal 18 28" xfId="1706"/>
    <cellStyle name="Normal 18 29" xfId="1707"/>
    <cellStyle name="Normal 18 3" xfId="1708"/>
    <cellStyle name="Normal 18 30" xfId="1709"/>
    <cellStyle name="Normal 18 31" xfId="1710"/>
    <cellStyle name="Normal 18 32" xfId="1711"/>
    <cellStyle name="Normal 18 33" xfId="1712"/>
    <cellStyle name="Normal 18 34" xfId="1713"/>
    <cellStyle name="Normal 18 35" xfId="1714"/>
    <cellStyle name="Normal 18 36" xfId="1715"/>
    <cellStyle name="Normal 18 37" xfId="1716"/>
    <cellStyle name="Normal 18 38" xfId="1717"/>
    <cellStyle name="Normal 18 39" xfId="1718"/>
    <cellStyle name="Normal 18 4" xfId="1719"/>
    <cellStyle name="Normal 18 40" xfId="1720"/>
    <cellStyle name="Normal 18 41" xfId="1721"/>
    <cellStyle name="Normal 18 42" xfId="1722"/>
    <cellStyle name="Normal 18 43" xfId="1723"/>
    <cellStyle name="Normal 18 44" xfId="1724"/>
    <cellStyle name="Normal 18 45" xfId="1725"/>
    <cellStyle name="Normal 18 46" xfId="1726"/>
    <cellStyle name="Normal 18 47" xfId="1727"/>
    <cellStyle name="Normal 18 48" xfId="1728"/>
    <cellStyle name="Normal 18 49" xfId="1729"/>
    <cellStyle name="Normal 18 5" xfId="1730"/>
    <cellStyle name="Normal 18 50" xfId="1731"/>
    <cellStyle name="Normal 18 51" xfId="1732"/>
    <cellStyle name="Normal 18 52" xfId="1733"/>
    <cellStyle name="Normal 18 53" xfId="1734"/>
    <cellStyle name="Normal 18 54" xfId="1735"/>
    <cellStyle name="Normal 18 55" xfId="1736"/>
    <cellStyle name="Normal 18 56" xfId="1737"/>
    <cellStyle name="Normal 18 57" xfId="1738"/>
    <cellStyle name="Normal 18 58" xfId="1739"/>
    <cellStyle name="Normal 18 59" xfId="1740"/>
    <cellStyle name="Normal 18 6" xfId="1741"/>
    <cellStyle name="Normal 18 60" xfId="1742"/>
    <cellStyle name="Normal 18 61" xfId="1743"/>
    <cellStyle name="Normal 18 62" xfId="1744"/>
    <cellStyle name="Normal 18 63" xfId="1745"/>
    <cellStyle name="Normal 18 64" xfId="1746"/>
    <cellStyle name="Normal 18 65" xfId="1747"/>
    <cellStyle name="Normal 18 66" xfId="1748"/>
    <cellStyle name="Normal 18 67" xfId="1749"/>
    <cellStyle name="Normal 18 68" xfId="1750"/>
    <cellStyle name="Normal 18 69" xfId="1751"/>
    <cellStyle name="Normal 18 7" xfId="1752"/>
    <cellStyle name="Normal 18 70" xfId="1753"/>
    <cellStyle name="Normal 18 71" xfId="1754"/>
    <cellStyle name="Normal 18 72" xfId="1755"/>
    <cellStyle name="Normal 18 73" xfId="1756"/>
    <cellStyle name="Normal 18 74" xfId="1757"/>
    <cellStyle name="Normal 18 75" xfId="1758"/>
    <cellStyle name="Normal 18 76" xfId="1759"/>
    <cellStyle name="Normal 18 77" xfId="1760"/>
    <cellStyle name="Normal 18 78" xfId="1761"/>
    <cellStyle name="Normal 18 79" xfId="1762"/>
    <cellStyle name="Normal 18 8" xfId="1763"/>
    <cellStyle name="Normal 18 80" xfId="1764"/>
    <cellStyle name="Normal 18 81" xfId="1765"/>
    <cellStyle name="Normal 18 82" xfId="1766"/>
    <cellStyle name="Normal 18 83" xfId="1767"/>
    <cellStyle name="Normal 18 84" xfId="1768"/>
    <cellStyle name="Normal 18 85" xfId="1769"/>
    <cellStyle name="Normal 18 86" xfId="1770"/>
    <cellStyle name="Normal 18 87" xfId="1771"/>
    <cellStyle name="Normal 18 88" xfId="1772"/>
    <cellStyle name="Normal 18 89" xfId="1773"/>
    <cellStyle name="Normal 18 9" xfId="1774"/>
    <cellStyle name="Normal 18 90" xfId="1775"/>
    <cellStyle name="Normal 18 91" xfId="1776"/>
    <cellStyle name="Normal 18 92" xfId="1777"/>
    <cellStyle name="Normal 18 93" xfId="1778"/>
    <cellStyle name="Normal 18 94" xfId="1779"/>
    <cellStyle name="Normal 18 95" xfId="1780"/>
    <cellStyle name="Normal 18 96" xfId="1781"/>
    <cellStyle name="Normal 18 97" xfId="1782"/>
    <cellStyle name="Normal 18 98" xfId="1783"/>
    <cellStyle name="Normal 18 99" xfId="1784"/>
    <cellStyle name="Normal 19" xfId="1785"/>
    <cellStyle name="Normal 19 10" xfId="1786"/>
    <cellStyle name="Normal 19 100" xfId="1787"/>
    <cellStyle name="Normal 19 101" xfId="1788"/>
    <cellStyle name="Normal 19 102" xfId="1789"/>
    <cellStyle name="Normal 19 103" xfId="1790"/>
    <cellStyle name="Normal 19 104" xfId="1791"/>
    <cellStyle name="Normal 19 105" xfId="1792"/>
    <cellStyle name="Normal 19 106" xfId="1793"/>
    <cellStyle name="Normal 19 107" xfId="1794"/>
    <cellStyle name="Normal 19 108" xfId="1795"/>
    <cellStyle name="Normal 19 109" xfId="1796"/>
    <cellStyle name="Normal 19 11" xfId="1797"/>
    <cellStyle name="Normal 19 110" xfId="1798"/>
    <cellStyle name="Normal 19 111" xfId="1799"/>
    <cellStyle name="Normal 19 112" xfId="1800"/>
    <cellStyle name="Normal 19 113" xfId="1801"/>
    <cellStyle name="Normal 19 114" xfId="1802"/>
    <cellStyle name="Normal 19 115" xfId="1803"/>
    <cellStyle name="Normal 19 116" xfId="1804"/>
    <cellStyle name="Normal 19 117" xfId="1805"/>
    <cellStyle name="Normal 19 118" xfId="1806"/>
    <cellStyle name="Normal 19 119" xfId="1807"/>
    <cellStyle name="Normal 19 12" xfId="1808"/>
    <cellStyle name="Normal 19 120" xfId="1809"/>
    <cellStyle name="Normal 19 121" xfId="1810"/>
    <cellStyle name="Normal 19 122" xfId="1811"/>
    <cellStyle name="Normal 19 123" xfId="1812"/>
    <cellStyle name="Normal 19 124" xfId="1813"/>
    <cellStyle name="Normal 19 125" xfId="1814"/>
    <cellStyle name="Normal 19 126" xfId="1815"/>
    <cellStyle name="Normal 19 127" xfId="1816"/>
    <cellStyle name="Normal 19 128" xfId="1817"/>
    <cellStyle name="Normal 19 129" xfId="1818"/>
    <cellStyle name="Normal 19 13" xfId="1819"/>
    <cellStyle name="Normal 19 130" xfId="1820"/>
    <cellStyle name="Normal 19 131" xfId="1821"/>
    <cellStyle name="Normal 19 132" xfId="1822"/>
    <cellStyle name="Normal 19 133" xfId="1823"/>
    <cellStyle name="Normal 19 134" xfId="1824"/>
    <cellStyle name="Normal 19 135" xfId="1825"/>
    <cellStyle name="Normal 19 136" xfId="1826"/>
    <cellStyle name="Normal 19 137" xfId="1827"/>
    <cellStyle name="Normal 19 138" xfId="1828"/>
    <cellStyle name="Normal 19 139" xfId="1829"/>
    <cellStyle name="Normal 19 14" xfId="1830"/>
    <cellStyle name="Normal 19 140" xfId="1831"/>
    <cellStyle name="Normal 19 141" xfId="1832"/>
    <cellStyle name="Normal 19 142" xfId="1833"/>
    <cellStyle name="Normal 19 143" xfId="1834"/>
    <cellStyle name="Normal 19 144" xfId="1835"/>
    <cellStyle name="Normal 19 145" xfId="1836"/>
    <cellStyle name="Normal 19 146" xfId="1837"/>
    <cellStyle name="Normal 19 147" xfId="1838"/>
    <cellStyle name="Normal 19 148" xfId="1839"/>
    <cellStyle name="Normal 19 149" xfId="1840"/>
    <cellStyle name="Normal 19 15" xfId="1841"/>
    <cellStyle name="Normal 19 150" xfId="1842"/>
    <cellStyle name="Normal 19 151" xfId="1843"/>
    <cellStyle name="Normal 19 152" xfId="1844"/>
    <cellStyle name="Normal 19 153" xfId="1845"/>
    <cellStyle name="Normal 19 154" xfId="1846"/>
    <cellStyle name="Normal 19 155" xfId="1847"/>
    <cellStyle name="Normal 19 156" xfId="1848"/>
    <cellStyle name="Normal 19 157" xfId="1849"/>
    <cellStyle name="Normal 19 158" xfId="1850"/>
    <cellStyle name="Normal 19 159" xfId="1851"/>
    <cellStyle name="Normal 19 16" xfId="1852"/>
    <cellStyle name="Normal 19 160" xfId="1853"/>
    <cellStyle name="Normal 19 161" xfId="1854"/>
    <cellStyle name="Normal 19 162" xfId="1855"/>
    <cellStyle name="Normal 19 163" xfId="1856"/>
    <cellStyle name="Normal 19 164" xfId="1857"/>
    <cellStyle name="Normal 19 165" xfId="1858"/>
    <cellStyle name="Normal 19 166" xfId="1859"/>
    <cellStyle name="Normal 19 167" xfId="1860"/>
    <cellStyle name="Normal 19 168" xfId="1861"/>
    <cellStyle name="Normal 19 169" xfId="1862"/>
    <cellStyle name="Normal 19 17" xfId="1863"/>
    <cellStyle name="Normal 19 170" xfId="1864"/>
    <cellStyle name="Normal 19 171" xfId="1865"/>
    <cellStyle name="Normal 19 172" xfId="1866"/>
    <cellStyle name="Normal 19 173" xfId="1867"/>
    <cellStyle name="Normal 19 174" xfId="1868"/>
    <cellStyle name="Normal 19 175" xfId="1869"/>
    <cellStyle name="Normal 19 176" xfId="1870"/>
    <cellStyle name="Normal 19 177" xfId="1871"/>
    <cellStyle name="Normal 19 178" xfId="1872"/>
    <cellStyle name="Normal 19 179" xfId="1873"/>
    <cellStyle name="Normal 19 18" xfId="1874"/>
    <cellStyle name="Normal 19 180" xfId="1875"/>
    <cellStyle name="Normal 19 181" xfId="1876"/>
    <cellStyle name="Normal 19 182" xfId="1877"/>
    <cellStyle name="Normal 19 183" xfId="1878"/>
    <cellStyle name="Normal 19 184" xfId="1879"/>
    <cellStyle name="Normal 19 185" xfId="1880"/>
    <cellStyle name="Normal 19 186" xfId="1881"/>
    <cellStyle name="Normal 19 187" xfId="1882"/>
    <cellStyle name="Normal 19 188" xfId="1883"/>
    <cellStyle name="Normal 19 189" xfId="1884"/>
    <cellStyle name="Normal 19 19" xfId="1885"/>
    <cellStyle name="Normal 19 190" xfId="1886"/>
    <cellStyle name="Normal 19 191" xfId="1887"/>
    <cellStyle name="Normal 19 192" xfId="1888"/>
    <cellStyle name="Normal 19 193" xfId="1889"/>
    <cellStyle name="Normal 19 194" xfId="1890"/>
    <cellStyle name="Normal 19 195" xfId="1891"/>
    <cellStyle name="Normal 19 196" xfId="1892"/>
    <cellStyle name="Normal 19 197" xfId="1893"/>
    <cellStyle name="Normal 19 198" xfId="1894"/>
    <cellStyle name="Normal 19 2" xfId="1895"/>
    <cellStyle name="Normal 19 20" xfId="1896"/>
    <cellStyle name="Normal 19 21" xfId="1897"/>
    <cellStyle name="Normal 19 22" xfId="1898"/>
    <cellStyle name="Normal 19 23" xfId="1899"/>
    <cellStyle name="Normal 19 24" xfId="1900"/>
    <cellStyle name="Normal 19 25" xfId="1901"/>
    <cellStyle name="Normal 19 26" xfId="1902"/>
    <cellStyle name="Normal 19 27" xfId="1903"/>
    <cellStyle name="Normal 19 28" xfId="1904"/>
    <cellStyle name="Normal 19 29" xfId="1905"/>
    <cellStyle name="Normal 19 3" xfId="1906"/>
    <cellStyle name="Normal 19 30" xfId="1907"/>
    <cellStyle name="Normal 19 31" xfId="1908"/>
    <cellStyle name="Normal 19 32" xfId="1909"/>
    <cellStyle name="Normal 19 33" xfId="1910"/>
    <cellStyle name="Normal 19 34" xfId="1911"/>
    <cellStyle name="Normal 19 35" xfId="1912"/>
    <cellStyle name="Normal 19 36" xfId="1913"/>
    <cellStyle name="Normal 19 37" xfId="1914"/>
    <cellStyle name="Normal 19 38" xfId="1915"/>
    <cellStyle name="Normal 19 39" xfId="1916"/>
    <cellStyle name="Normal 19 4" xfId="1917"/>
    <cellStyle name="Normal 19 40" xfId="1918"/>
    <cellStyle name="Normal 19 41" xfId="1919"/>
    <cellStyle name="Normal 19 42" xfId="1920"/>
    <cellStyle name="Normal 19 43" xfId="1921"/>
    <cellStyle name="Normal 19 44" xfId="1922"/>
    <cellStyle name="Normal 19 45" xfId="1923"/>
    <cellStyle name="Normal 19 46" xfId="1924"/>
    <cellStyle name="Normal 19 47" xfId="1925"/>
    <cellStyle name="Normal 19 48" xfId="1926"/>
    <cellStyle name="Normal 19 49" xfId="1927"/>
    <cellStyle name="Normal 19 5" xfId="1928"/>
    <cellStyle name="Normal 19 50" xfId="1929"/>
    <cellStyle name="Normal 19 51" xfId="1930"/>
    <cellStyle name="Normal 19 52" xfId="1931"/>
    <cellStyle name="Normal 19 53" xfId="1932"/>
    <cellStyle name="Normal 19 54" xfId="1933"/>
    <cellStyle name="Normal 19 55" xfId="1934"/>
    <cellStyle name="Normal 19 56" xfId="1935"/>
    <cellStyle name="Normal 19 57" xfId="1936"/>
    <cellStyle name="Normal 19 58" xfId="1937"/>
    <cellStyle name="Normal 19 59" xfId="1938"/>
    <cellStyle name="Normal 19 6" xfId="1939"/>
    <cellStyle name="Normal 19 60" xfId="1940"/>
    <cellStyle name="Normal 19 61" xfId="1941"/>
    <cellStyle name="Normal 19 62" xfId="1942"/>
    <cellStyle name="Normal 19 63" xfId="1943"/>
    <cellStyle name="Normal 19 64" xfId="1944"/>
    <cellStyle name="Normal 19 65" xfId="1945"/>
    <cellStyle name="Normal 19 66" xfId="1946"/>
    <cellStyle name="Normal 19 67" xfId="1947"/>
    <cellStyle name="Normal 19 68" xfId="1948"/>
    <cellStyle name="Normal 19 69" xfId="1949"/>
    <cellStyle name="Normal 19 7" xfId="1950"/>
    <cellStyle name="Normal 19 70" xfId="1951"/>
    <cellStyle name="Normal 19 71" xfId="1952"/>
    <cellStyle name="Normal 19 72" xfId="1953"/>
    <cellStyle name="Normal 19 73" xfId="1954"/>
    <cellStyle name="Normal 19 74" xfId="1955"/>
    <cellStyle name="Normal 19 75" xfId="1956"/>
    <cellStyle name="Normal 19 76" xfId="1957"/>
    <cellStyle name="Normal 19 77" xfId="1958"/>
    <cellStyle name="Normal 19 78" xfId="1959"/>
    <cellStyle name="Normal 19 79" xfId="1960"/>
    <cellStyle name="Normal 19 8" xfId="1961"/>
    <cellStyle name="Normal 19 80" xfId="1962"/>
    <cellStyle name="Normal 19 81" xfId="1963"/>
    <cellStyle name="Normal 19 82" xfId="1964"/>
    <cellStyle name="Normal 19 83" xfId="1965"/>
    <cellStyle name="Normal 19 84" xfId="1966"/>
    <cellStyle name="Normal 19 85" xfId="1967"/>
    <cellStyle name="Normal 19 86" xfId="1968"/>
    <cellStyle name="Normal 19 87" xfId="1969"/>
    <cellStyle name="Normal 19 88" xfId="1970"/>
    <cellStyle name="Normal 19 89" xfId="1971"/>
    <cellStyle name="Normal 19 9" xfId="1972"/>
    <cellStyle name="Normal 19 90" xfId="1973"/>
    <cellStyle name="Normal 19 91" xfId="1974"/>
    <cellStyle name="Normal 19 92" xfId="1975"/>
    <cellStyle name="Normal 19 93" xfId="1976"/>
    <cellStyle name="Normal 19 94" xfId="1977"/>
    <cellStyle name="Normal 19 95" xfId="1978"/>
    <cellStyle name="Normal 19 96" xfId="1979"/>
    <cellStyle name="Normal 19 97" xfId="1980"/>
    <cellStyle name="Normal 19 98" xfId="1981"/>
    <cellStyle name="Normal 19 99" xfId="1982"/>
    <cellStyle name="Normal 2" xfId="1983"/>
    <cellStyle name="Normal 20" xfId="1984"/>
    <cellStyle name="Normal 20 10" xfId="1985"/>
    <cellStyle name="Normal 20 100" xfId="1986"/>
    <cellStyle name="Normal 20 101" xfId="1987"/>
    <cellStyle name="Normal 20 102" xfId="1988"/>
    <cellStyle name="Normal 20 103" xfId="1989"/>
    <cellStyle name="Normal 20 104" xfId="1990"/>
    <cellStyle name="Normal 20 105" xfId="1991"/>
    <cellStyle name="Normal 20 106" xfId="1992"/>
    <cellStyle name="Normal 20 107" xfId="1993"/>
    <cellStyle name="Normal 20 108" xfId="1994"/>
    <cellStyle name="Normal 20 109" xfId="1995"/>
    <cellStyle name="Normal 20 11" xfId="1996"/>
    <cellStyle name="Normal 20 110" xfId="1997"/>
    <cellStyle name="Normal 20 111" xfId="1998"/>
    <cellStyle name="Normal 20 112" xfId="1999"/>
    <cellStyle name="Normal 20 113" xfId="2000"/>
    <cellStyle name="Normal 20 114" xfId="2001"/>
    <cellStyle name="Normal 20 115" xfId="2002"/>
    <cellStyle name="Normal 20 116" xfId="2003"/>
    <cellStyle name="Normal 20 117" xfId="2004"/>
    <cellStyle name="Normal 20 118" xfId="2005"/>
    <cellStyle name="Normal 20 119" xfId="2006"/>
    <cellStyle name="Normal 20 12" xfId="2007"/>
    <cellStyle name="Normal 20 120" xfId="2008"/>
    <cellStyle name="Normal 20 121" xfId="2009"/>
    <cellStyle name="Normal 20 122" xfId="2010"/>
    <cellStyle name="Normal 20 123" xfId="2011"/>
    <cellStyle name="Normal 20 124" xfId="2012"/>
    <cellStyle name="Normal 20 125" xfId="2013"/>
    <cellStyle name="Normal 20 126" xfId="2014"/>
    <cellStyle name="Normal 20 127" xfId="2015"/>
    <cellStyle name="Normal 20 128" xfId="2016"/>
    <cellStyle name="Normal 20 129" xfId="2017"/>
    <cellStyle name="Normal 20 13" xfId="2018"/>
    <cellStyle name="Normal 20 130" xfId="2019"/>
    <cellStyle name="Normal 20 131" xfId="2020"/>
    <cellStyle name="Normal 20 132" xfId="2021"/>
    <cellStyle name="Normal 20 133" xfId="2022"/>
    <cellStyle name="Normal 20 134" xfId="2023"/>
    <cellStyle name="Normal 20 135" xfId="2024"/>
    <cellStyle name="Normal 20 136" xfId="2025"/>
    <cellStyle name="Normal 20 137" xfId="2026"/>
    <cellStyle name="Normal 20 138" xfId="2027"/>
    <cellStyle name="Normal 20 139" xfId="2028"/>
    <cellStyle name="Normal 20 14" xfId="2029"/>
    <cellStyle name="Normal 20 140" xfId="2030"/>
    <cellStyle name="Normal 20 141" xfId="2031"/>
    <cellStyle name="Normal 20 142" xfId="2032"/>
    <cellStyle name="Normal 20 143" xfId="2033"/>
    <cellStyle name="Normal 20 144" xfId="2034"/>
    <cellStyle name="Normal 20 145" xfId="2035"/>
    <cellStyle name="Normal 20 146" xfId="2036"/>
    <cellStyle name="Normal 20 147" xfId="2037"/>
    <cellStyle name="Normal 20 148" xfId="2038"/>
    <cellStyle name="Normal 20 149" xfId="2039"/>
    <cellStyle name="Normal 20 15" xfId="2040"/>
    <cellStyle name="Normal 20 150" xfId="2041"/>
    <cellStyle name="Normal 20 151" xfId="2042"/>
    <cellStyle name="Normal 20 152" xfId="2043"/>
    <cellStyle name="Normal 20 153" xfId="2044"/>
    <cellStyle name="Normal 20 154" xfId="2045"/>
    <cellStyle name="Normal 20 155" xfId="2046"/>
    <cellStyle name="Normal 20 156" xfId="2047"/>
    <cellStyle name="Normal 20 157" xfId="2048"/>
    <cellStyle name="Normal 20 158" xfId="2049"/>
    <cellStyle name="Normal 20 159" xfId="2050"/>
    <cellStyle name="Normal 20 16" xfId="2051"/>
    <cellStyle name="Normal 20 160" xfId="2052"/>
    <cellStyle name="Normal 20 161" xfId="2053"/>
    <cellStyle name="Normal 20 162" xfId="2054"/>
    <cellStyle name="Normal 20 163" xfId="2055"/>
    <cellStyle name="Normal 20 164" xfId="2056"/>
    <cellStyle name="Normal 20 165" xfId="2057"/>
    <cellStyle name="Normal 20 166" xfId="2058"/>
    <cellStyle name="Normal 20 167" xfId="2059"/>
    <cellStyle name="Normal 20 168" xfId="2060"/>
    <cellStyle name="Normal 20 169" xfId="2061"/>
    <cellStyle name="Normal 20 17" xfId="2062"/>
    <cellStyle name="Normal 20 170" xfId="2063"/>
    <cellStyle name="Normal 20 171" xfId="2064"/>
    <cellStyle name="Normal 20 172" xfId="2065"/>
    <cellStyle name="Normal 20 173" xfId="2066"/>
    <cellStyle name="Normal 20 174" xfId="2067"/>
    <cellStyle name="Normal 20 175" xfId="2068"/>
    <cellStyle name="Normal 20 176" xfId="2069"/>
    <cellStyle name="Normal 20 177" xfId="2070"/>
    <cellStyle name="Normal 20 178" xfId="2071"/>
    <cellStyle name="Normal 20 179" xfId="2072"/>
    <cellStyle name="Normal 20 18" xfId="2073"/>
    <cellStyle name="Normal 20 180" xfId="2074"/>
    <cellStyle name="Normal 20 181" xfId="2075"/>
    <cellStyle name="Normal 20 182" xfId="2076"/>
    <cellStyle name="Normal 20 183" xfId="2077"/>
    <cellStyle name="Normal 20 184" xfId="2078"/>
    <cellStyle name="Normal 20 185" xfId="2079"/>
    <cellStyle name="Normal 20 186" xfId="2080"/>
    <cellStyle name="Normal 20 187" xfId="2081"/>
    <cellStyle name="Normal 20 188" xfId="2082"/>
    <cellStyle name="Normal 20 189" xfId="2083"/>
    <cellStyle name="Normal 20 19" xfId="2084"/>
    <cellStyle name="Normal 20 190" xfId="2085"/>
    <cellStyle name="Normal 20 191" xfId="2086"/>
    <cellStyle name="Normal 20 192" xfId="2087"/>
    <cellStyle name="Normal 20 193" xfId="2088"/>
    <cellStyle name="Normal 20 194" xfId="2089"/>
    <cellStyle name="Normal 20 195" xfId="2090"/>
    <cellStyle name="Normal 20 196" xfId="2091"/>
    <cellStyle name="Normal 20 197" xfId="2092"/>
    <cellStyle name="Normal 20 198" xfId="2093"/>
    <cellStyle name="Normal 20 2" xfId="2094"/>
    <cellStyle name="Normal 20 20" xfId="2095"/>
    <cellStyle name="Normal 20 21" xfId="2096"/>
    <cellStyle name="Normal 20 22" xfId="2097"/>
    <cellStyle name="Normal 20 23" xfId="2098"/>
    <cellStyle name="Normal 20 24" xfId="2099"/>
    <cellStyle name="Normal 20 25" xfId="2100"/>
    <cellStyle name="Normal 20 26" xfId="2101"/>
    <cellStyle name="Normal 20 27" xfId="2102"/>
    <cellStyle name="Normal 20 28" xfId="2103"/>
    <cellStyle name="Normal 20 29" xfId="2104"/>
    <cellStyle name="Normal 20 3" xfId="2105"/>
    <cellStyle name="Normal 20 30" xfId="2106"/>
    <cellStyle name="Normal 20 31" xfId="2107"/>
    <cellStyle name="Normal 20 32" xfId="2108"/>
    <cellStyle name="Normal 20 33" xfId="2109"/>
    <cellStyle name="Normal 20 34" xfId="2110"/>
    <cellStyle name="Normal 20 35" xfId="2111"/>
    <cellStyle name="Normal 20 36" xfId="2112"/>
    <cellStyle name="Normal 20 37" xfId="2113"/>
    <cellStyle name="Normal 20 38" xfId="2114"/>
    <cellStyle name="Normal 20 39" xfId="2115"/>
    <cellStyle name="Normal 20 4" xfId="2116"/>
    <cellStyle name="Normal 20 40" xfId="2117"/>
    <cellStyle name="Normal 20 41" xfId="2118"/>
    <cellStyle name="Normal 20 42" xfId="2119"/>
    <cellStyle name="Normal 20 43" xfId="2120"/>
    <cellStyle name="Normal 20 44" xfId="2121"/>
    <cellStyle name="Normal 20 45" xfId="2122"/>
    <cellStyle name="Normal 20 46" xfId="2123"/>
    <cellStyle name="Normal 20 47" xfId="2124"/>
    <cellStyle name="Normal 20 48" xfId="2125"/>
    <cellStyle name="Normal 20 49" xfId="2126"/>
    <cellStyle name="Normal 20 5" xfId="2127"/>
    <cellStyle name="Normal 20 50" xfId="2128"/>
    <cellStyle name="Normal 20 51" xfId="2129"/>
    <cellStyle name="Normal 20 52" xfId="2130"/>
    <cellStyle name="Normal 20 53" xfId="2131"/>
    <cellStyle name="Normal 20 54" xfId="2132"/>
    <cellStyle name="Normal 20 55" xfId="2133"/>
    <cellStyle name="Normal 20 56" xfId="2134"/>
    <cellStyle name="Normal 20 57" xfId="2135"/>
    <cellStyle name="Normal 20 58" xfId="2136"/>
    <cellStyle name="Normal 20 59" xfId="2137"/>
    <cellStyle name="Normal 20 6" xfId="2138"/>
    <cellStyle name="Normal 20 60" xfId="2139"/>
    <cellStyle name="Normal 20 61" xfId="2140"/>
    <cellStyle name="Normal 20 62" xfId="2141"/>
    <cellStyle name="Normal 20 63" xfId="2142"/>
    <cellStyle name="Normal 20 64" xfId="2143"/>
    <cellStyle name="Normal 20 65" xfId="2144"/>
    <cellStyle name="Normal 20 66" xfId="2145"/>
    <cellStyle name="Normal 20 67" xfId="2146"/>
    <cellStyle name="Normal 20 68" xfId="2147"/>
    <cellStyle name="Normal 20 69" xfId="2148"/>
    <cellStyle name="Normal 20 7" xfId="2149"/>
    <cellStyle name="Normal 20 70" xfId="2150"/>
    <cellStyle name="Normal 20 71" xfId="2151"/>
    <cellStyle name="Normal 20 72" xfId="2152"/>
    <cellStyle name="Normal 20 73" xfId="2153"/>
    <cellStyle name="Normal 20 74" xfId="2154"/>
    <cellStyle name="Normal 20 75" xfId="2155"/>
    <cellStyle name="Normal 20 76" xfId="2156"/>
    <cellStyle name="Normal 20 77" xfId="2157"/>
    <cellStyle name="Normal 20 78" xfId="2158"/>
    <cellStyle name="Normal 20 79" xfId="2159"/>
    <cellStyle name="Normal 20 8" xfId="2160"/>
    <cellStyle name="Normal 20 80" xfId="2161"/>
    <cellStyle name="Normal 20 81" xfId="2162"/>
    <cellStyle name="Normal 20 82" xfId="2163"/>
    <cellStyle name="Normal 20 83" xfId="2164"/>
    <cellStyle name="Normal 20 84" xfId="2165"/>
    <cellStyle name="Normal 20 85" xfId="2166"/>
    <cellStyle name="Normal 20 86" xfId="2167"/>
    <cellStyle name="Normal 20 87" xfId="2168"/>
    <cellStyle name="Normal 20 88" xfId="2169"/>
    <cellStyle name="Normal 20 89" xfId="2170"/>
    <cellStyle name="Normal 20 9" xfId="2171"/>
    <cellStyle name="Normal 20 90" xfId="2172"/>
    <cellStyle name="Normal 20 91" xfId="2173"/>
    <cellStyle name="Normal 20 92" xfId="2174"/>
    <cellStyle name="Normal 20 93" xfId="2175"/>
    <cellStyle name="Normal 20 94" xfId="2176"/>
    <cellStyle name="Normal 20 95" xfId="2177"/>
    <cellStyle name="Normal 20 96" xfId="2178"/>
    <cellStyle name="Normal 20 97" xfId="2179"/>
    <cellStyle name="Normal 20 98" xfId="2180"/>
    <cellStyle name="Normal 20 99" xfId="2181"/>
    <cellStyle name="Normal 21" xfId="2182"/>
    <cellStyle name="Normal 21 10" xfId="2183"/>
    <cellStyle name="Normal 21 100" xfId="2184"/>
    <cellStyle name="Normal 21 101" xfId="2185"/>
    <cellStyle name="Normal 21 102" xfId="2186"/>
    <cellStyle name="Normal 21 103" xfId="2187"/>
    <cellStyle name="Normal 21 104" xfId="2188"/>
    <cellStyle name="Normal 21 105" xfId="2189"/>
    <cellStyle name="Normal 21 106" xfId="2190"/>
    <cellStyle name="Normal 21 107" xfId="2191"/>
    <cellStyle name="Normal 21 108" xfId="2192"/>
    <cellStyle name="Normal 21 109" xfId="2193"/>
    <cellStyle name="Normal 21 11" xfId="2194"/>
    <cellStyle name="Normal 21 110" xfId="2195"/>
    <cellStyle name="Normal 21 111" xfId="2196"/>
    <cellStyle name="Normal 21 112" xfId="2197"/>
    <cellStyle name="Normal 21 113" xfId="2198"/>
    <cellStyle name="Normal 21 114" xfId="2199"/>
    <cellStyle name="Normal 21 115" xfId="2200"/>
    <cellStyle name="Normal 21 116" xfId="2201"/>
    <cellStyle name="Normal 21 117" xfId="2202"/>
    <cellStyle name="Normal 21 118" xfId="2203"/>
    <cellStyle name="Normal 21 119" xfId="2204"/>
    <cellStyle name="Normal 21 12" xfId="2205"/>
    <cellStyle name="Normal 21 120" xfId="2206"/>
    <cellStyle name="Normal 21 121" xfId="2207"/>
    <cellStyle name="Normal 21 122" xfId="2208"/>
    <cellStyle name="Normal 21 123" xfId="2209"/>
    <cellStyle name="Normal 21 124" xfId="2210"/>
    <cellStyle name="Normal 21 125" xfId="2211"/>
    <cellStyle name="Normal 21 126" xfId="2212"/>
    <cellStyle name="Normal 21 127" xfId="2213"/>
    <cellStyle name="Normal 21 128" xfId="2214"/>
    <cellStyle name="Normal 21 129" xfId="2215"/>
    <cellStyle name="Normal 21 13" xfId="2216"/>
    <cellStyle name="Normal 21 130" xfId="2217"/>
    <cellStyle name="Normal 21 131" xfId="2218"/>
    <cellStyle name="Normal 21 132" xfId="2219"/>
    <cellStyle name="Normal 21 133" xfId="2220"/>
    <cellStyle name="Normal 21 134" xfId="2221"/>
    <cellStyle name="Normal 21 135" xfId="2222"/>
    <cellStyle name="Normal 21 136" xfId="2223"/>
    <cellStyle name="Normal 21 137" xfId="2224"/>
    <cellStyle name="Normal 21 138" xfId="2225"/>
    <cellStyle name="Normal 21 139" xfId="2226"/>
    <cellStyle name="Normal 21 14" xfId="2227"/>
    <cellStyle name="Normal 21 140" xfId="2228"/>
    <cellStyle name="Normal 21 141" xfId="2229"/>
    <cellStyle name="Normal 21 142" xfId="2230"/>
    <cellStyle name="Normal 21 143" xfId="2231"/>
    <cellStyle name="Normal 21 144" xfId="2232"/>
    <cellStyle name="Normal 21 145" xfId="2233"/>
    <cellStyle name="Normal 21 146" xfId="2234"/>
    <cellStyle name="Normal 21 147" xfId="2235"/>
    <cellStyle name="Normal 21 148" xfId="2236"/>
    <cellStyle name="Normal 21 149" xfId="2237"/>
    <cellStyle name="Normal 21 15" xfId="2238"/>
    <cellStyle name="Normal 21 150" xfId="2239"/>
    <cellStyle name="Normal 21 151" xfId="2240"/>
    <cellStyle name="Normal 21 152" xfId="2241"/>
    <cellStyle name="Normal 21 153" xfId="2242"/>
    <cellStyle name="Normal 21 154" xfId="2243"/>
    <cellStyle name="Normal 21 155" xfId="2244"/>
    <cellStyle name="Normal 21 156" xfId="2245"/>
    <cellStyle name="Normal 21 157" xfId="2246"/>
    <cellStyle name="Normal 21 158" xfId="2247"/>
    <cellStyle name="Normal 21 159" xfId="2248"/>
    <cellStyle name="Normal 21 16" xfId="2249"/>
    <cellStyle name="Normal 21 160" xfId="2250"/>
    <cellStyle name="Normal 21 161" xfId="2251"/>
    <cellStyle name="Normal 21 162" xfId="2252"/>
    <cellStyle name="Normal 21 163" xfId="2253"/>
    <cellStyle name="Normal 21 164" xfId="2254"/>
    <cellStyle name="Normal 21 165" xfId="2255"/>
    <cellStyle name="Normal 21 166" xfId="2256"/>
    <cellStyle name="Normal 21 167" xfId="2257"/>
    <cellStyle name="Normal 21 168" xfId="2258"/>
    <cellStyle name="Normal 21 169" xfId="2259"/>
    <cellStyle name="Normal 21 17" xfId="2260"/>
    <cellStyle name="Normal 21 170" xfId="2261"/>
    <cellStyle name="Normal 21 171" xfId="2262"/>
    <cellStyle name="Normal 21 172" xfId="2263"/>
    <cellStyle name="Normal 21 173" xfId="2264"/>
    <cellStyle name="Normal 21 174" xfId="2265"/>
    <cellStyle name="Normal 21 175" xfId="2266"/>
    <cellStyle name="Normal 21 176" xfId="2267"/>
    <cellStyle name="Normal 21 177" xfId="2268"/>
    <cellStyle name="Normal 21 178" xfId="2269"/>
    <cellStyle name="Normal 21 179" xfId="2270"/>
    <cellStyle name="Normal 21 18" xfId="2271"/>
    <cellStyle name="Normal 21 180" xfId="2272"/>
    <cellStyle name="Normal 21 181" xfId="2273"/>
    <cellStyle name="Normal 21 182" xfId="2274"/>
    <cellStyle name="Normal 21 183" xfId="2275"/>
    <cellStyle name="Normal 21 184" xfId="2276"/>
    <cellStyle name="Normal 21 185" xfId="2277"/>
    <cellStyle name="Normal 21 186" xfId="2278"/>
    <cellStyle name="Normal 21 187" xfId="2279"/>
    <cellStyle name="Normal 21 188" xfId="2280"/>
    <cellStyle name="Normal 21 189" xfId="2281"/>
    <cellStyle name="Normal 21 19" xfId="2282"/>
    <cellStyle name="Normal 21 190" xfId="2283"/>
    <cellStyle name="Normal 21 191" xfId="2284"/>
    <cellStyle name="Normal 21 192" xfId="2285"/>
    <cellStyle name="Normal 21 193" xfId="2286"/>
    <cellStyle name="Normal 21 194" xfId="2287"/>
    <cellStyle name="Normal 21 195" xfId="2288"/>
    <cellStyle name="Normal 21 196" xfId="2289"/>
    <cellStyle name="Normal 21 197" xfId="2290"/>
    <cellStyle name="Normal 21 198" xfId="2291"/>
    <cellStyle name="Normal 21 2" xfId="2292"/>
    <cellStyle name="Normal 21 20" xfId="2293"/>
    <cellStyle name="Normal 21 21" xfId="2294"/>
    <cellStyle name="Normal 21 22" xfId="2295"/>
    <cellStyle name="Normal 21 23" xfId="2296"/>
    <cellStyle name="Normal 21 24" xfId="2297"/>
    <cellStyle name="Normal 21 25" xfId="2298"/>
    <cellStyle name="Normal 21 26" xfId="2299"/>
    <cellStyle name="Normal 21 27" xfId="2300"/>
    <cellStyle name="Normal 21 28" xfId="2301"/>
    <cellStyle name="Normal 21 29" xfId="2302"/>
    <cellStyle name="Normal 21 3" xfId="2303"/>
    <cellStyle name="Normal 21 30" xfId="2304"/>
    <cellStyle name="Normal 21 31" xfId="2305"/>
    <cellStyle name="Normal 21 32" xfId="2306"/>
    <cellStyle name="Normal 21 33" xfId="2307"/>
    <cellStyle name="Normal 21 34" xfId="2308"/>
    <cellStyle name="Normal 21 35" xfId="2309"/>
    <cellStyle name="Normal 21 36" xfId="2310"/>
    <cellStyle name="Normal 21 37" xfId="2311"/>
    <cellStyle name="Normal 21 38" xfId="2312"/>
    <cellStyle name="Normal 21 39" xfId="2313"/>
    <cellStyle name="Normal 21 4" xfId="2314"/>
    <cellStyle name="Normal 21 40" xfId="2315"/>
    <cellStyle name="Normal 21 41" xfId="2316"/>
    <cellStyle name="Normal 21 42" xfId="2317"/>
    <cellStyle name="Normal 21 43" xfId="2318"/>
    <cellStyle name="Normal 21 44" xfId="2319"/>
    <cellStyle name="Normal 21 45" xfId="2320"/>
    <cellStyle name="Normal 21 46" xfId="2321"/>
    <cellStyle name="Normal 21 47" xfId="2322"/>
    <cellStyle name="Normal 21 48" xfId="2323"/>
    <cellStyle name="Normal 21 49" xfId="2324"/>
    <cellStyle name="Normal 21 5" xfId="2325"/>
    <cellStyle name="Normal 21 50" xfId="2326"/>
    <cellStyle name="Normal 21 51" xfId="2327"/>
    <cellStyle name="Normal 21 52" xfId="2328"/>
    <cellStyle name="Normal 21 53" xfId="2329"/>
    <cellStyle name="Normal 21 54" xfId="2330"/>
    <cellStyle name="Normal 21 55" xfId="2331"/>
    <cellStyle name="Normal 21 56" xfId="2332"/>
    <cellStyle name="Normal 21 57" xfId="2333"/>
    <cellStyle name="Normal 21 58" xfId="2334"/>
    <cellStyle name="Normal 21 59" xfId="2335"/>
    <cellStyle name="Normal 21 6" xfId="2336"/>
    <cellStyle name="Normal 21 60" xfId="2337"/>
    <cellStyle name="Normal 21 61" xfId="2338"/>
    <cellStyle name="Normal 21 62" xfId="2339"/>
    <cellStyle name="Normal 21 63" xfId="2340"/>
    <cellStyle name="Normal 21 64" xfId="2341"/>
    <cellStyle name="Normal 21 65" xfId="2342"/>
    <cellStyle name="Normal 21 66" xfId="2343"/>
    <cellStyle name="Normal 21 67" xfId="2344"/>
    <cellStyle name="Normal 21 68" xfId="2345"/>
    <cellStyle name="Normal 21 69" xfId="2346"/>
    <cellStyle name="Normal 21 7" xfId="2347"/>
    <cellStyle name="Normal 21 70" xfId="2348"/>
    <cellStyle name="Normal 21 71" xfId="2349"/>
    <cellStyle name="Normal 21 72" xfId="2350"/>
    <cellStyle name="Normal 21 73" xfId="2351"/>
    <cellStyle name="Normal 21 74" xfId="2352"/>
    <cellStyle name="Normal 21 75" xfId="2353"/>
    <cellStyle name="Normal 21 76" xfId="2354"/>
    <cellStyle name="Normal 21 77" xfId="2355"/>
    <cellStyle name="Normal 21 78" xfId="2356"/>
    <cellStyle name="Normal 21 79" xfId="2357"/>
    <cellStyle name="Normal 21 8" xfId="2358"/>
    <cellStyle name="Normal 21 80" xfId="2359"/>
    <cellStyle name="Normal 21 81" xfId="2360"/>
    <cellStyle name="Normal 21 82" xfId="2361"/>
    <cellStyle name="Normal 21 83" xfId="2362"/>
    <cellStyle name="Normal 21 84" xfId="2363"/>
    <cellStyle name="Normal 21 85" xfId="2364"/>
    <cellStyle name="Normal 21 86" xfId="2365"/>
    <cellStyle name="Normal 21 87" xfId="2366"/>
    <cellStyle name="Normal 21 88" xfId="2367"/>
    <cellStyle name="Normal 21 89" xfId="2368"/>
    <cellStyle name="Normal 21 9" xfId="2369"/>
    <cellStyle name="Normal 21 90" xfId="2370"/>
    <cellStyle name="Normal 21 91" xfId="2371"/>
    <cellStyle name="Normal 21 92" xfId="2372"/>
    <cellStyle name="Normal 21 93" xfId="2373"/>
    <cellStyle name="Normal 21 94" xfId="2374"/>
    <cellStyle name="Normal 21 95" xfId="2375"/>
    <cellStyle name="Normal 21 96" xfId="2376"/>
    <cellStyle name="Normal 21 97" xfId="2377"/>
    <cellStyle name="Normal 21 98" xfId="2378"/>
    <cellStyle name="Normal 21 99" xfId="2379"/>
    <cellStyle name="Normal 22" xfId="2380"/>
    <cellStyle name="Normal 22 10" xfId="2381"/>
    <cellStyle name="Normal 22 100" xfId="2382"/>
    <cellStyle name="Normal 22 101" xfId="2383"/>
    <cellStyle name="Normal 22 102" xfId="2384"/>
    <cellStyle name="Normal 22 103" xfId="2385"/>
    <cellStyle name="Normal 22 104" xfId="2386"/>
    <cellStyle name="Normal 22 105" xfId="2387"/>
    <cellStyle name="Normal 22 106" xfId="2388"/>
    <cellStyle name="Normal 22 107" xfId="2389"/>
    <cellStyle name="Normal 22 108" xfId="2390"/>
    <cellStyle name="Normal 22 109" xfId="2391"/>
    <cellStyle name="Normal 22 11" xfId="2392"/>
    <cellStyle name="Normal 22 110" xfId="2393"/>
    <cellStyle name="Normal 22 111" xfId="2394"/>
    <cellStyle name="Normal 22 112" xfId="2395"/>
    <cellStyle name="Normal 22 113" xfId="2396"/>
    <cellStyle name="Normal 22 114" xfId="2397"/>
    <cellStyle name="Normal 22 115" xfId="2398"/>
    <cellStyle name="Normal 22 116" xfId="2399"/>
    <cellStyle name="Normal 22 117" xfId="2400"/>
    <cellStyle name="Normal 22 118" xfId="2401"/>
    <cellStyle name="Normal 22 119" xfId="2402"/>
    <cellStyle name="Normal 22 12" xfId="2403"/>
    <cellStyle name="Normal 22 120" xfId="2404"/>
    <cellStyle name="Normal 22 121" xfId="2405"/>
    <cellStyle name="Normal 22 122" xfId="2406"/>
    <cellStyle name="Normal 22 123" xfId="2407"/>
    <cellStyle name="Normal 22 124" xfId="2408"/>
    <cellStyle name="Normal 22 125" xfId="2409"/>
    <cellStyle name="Normal 22 126" xfId="2410"/>
    <cellStyle name="Normal 22 127" xfId="2411"/>
    <cellStyle name="Normal 22 128" xfId="2412"/>
    <cellStyle name="Normal 22 129" xfId="2413"/>
    <cellStyle name="Normal 22 13" xfId="2414"/>
    <cellStyle name="Normal 22 130" xfId="2415"/>
    <cellStyle name="Normal 22 131" xfId="2416"/>
    <cellStyle name="Normal 22 132" xfId="2417"/>
    <cellStyle name="Normal 22 133" xfId="2418"/>
    <cellStyle name="Normal 22 134" xfId="2419"/>
    <cellStyle name="Normal 22 135" xfId="2420"/>
    <cellStyle name="Normal 22 136" xfId="2421"/>
    <cellStyle name="Normal 22 137" xfId="2422"/>
    <cellStyle name="Normal 22 138" xfId="2423"/>
    <cellStyle name="Normal 22 139" xfId="2424"/>
    <cellStyle name="Normal 22 14" xfId="2425"/>
    <cellStyle name="Normal 22 140" xfId="2426"/>
    <cellStyle name="Normal 22 141" xfId="2427"/>
    <cellStyle name="Normal 22 142" xfId="2428"/>
    <cellStyle name="Normal 22 143" xfId="2429"/>
    <cellStyle name="Normal 22 144" xfId="2430"/>
    <cellStyle name="Normal 22 145" xfId="2431"/>
    <cellStyle name="Normal 22 146" xfId="2432"/>
    <cellStyle name="Normal 22 147" xfId="2433"/>
    <cellStyle name="Normal 22 148" xfId="2434"/>
    <cellStyle name="Normal 22 149" xfId="2435"/>
    <cellStyle name="Normal 22 15" xfId="2436"/>
    <cellStyle name="Normal 22 150" xfId="2437"/>
    <cellStyle name="Normal 22 151" xfId="2438"/>
    <cellStyle name="Normal 22 152" xfId="2439"/>
    <cellStyle name="Normal 22 153" xfId="2440"/>
    <cellStyle name="Normal 22 154" xfId="2441"/>
    <cellStyle name="Normal 22 155" xfId="2442"/>
    <cellStyle name="Normal 22 156" xfId="2443"/>
    <cellStyle name="Normal 22 157" xfId="2444"/>
    <cellStyle name="Normal 22 158" xfId="2445"/>
    <cellStyle name="Normal 22 159" xfId="2446"/>
    <cellStyle name="Normal 22 16" xfId="2447"/>
    <cellStyle name="Normal 22 160" xfId="2448"/>
    <cellStyle name="Normal 22 161" xfId="2449"/>
    <cellStyle name="Normal 22 162" xfId="2450"/>
    <cellStyle name="Normal 22 163" xfId="2451"/>
    <cellStyle name="Normal 22 164" xfId="2452"/>
    <cellStyle name="Normal 22 165" xfId="2453"/>
    <cellStyle name="Normal 22 166" xfId="2454"/>
    <cellStyle name="Normal 22 167" xfId="2455"/>
    <cellStyle name="Normal 22 168" xfId="2456"/>
    <cellStyle name="Normal 22 169" xfId="2457"/>
    <cellStyle name="Normal 22 17" xfId="2458"/>
    <cellStyle name="Normal 22 170" xfId="2459"/>
    <cellStyle name="Normal 22 171" xfId="2460"/>
    <cellStyle name="Normal 22 172" xfId="2461"/>
    <cellStyle name="Normal 22 173" xfId="2462"/>
    <cellStyle name="Normal 22 174" xfId="2463"/>
    <cellStyle name="Normal 22 175" xfId="2464"/>
    <cellStyle name="Normal 22 176" xfId="2465"/>
    <cellStyle name="Normal 22 177" xfId="2466"/>
    <cellStyle name="Normal 22 178" xfId="2467"/>
    <cellStyle name="Normal 22 179" xfId="2468"/>
    <cellStyle name="Normal 22 18" xfId="2469"/>
    <cellStyle name="Normal 22 180" xfId="2470"/>
    <cellStyle name="Normal 22 181" xfId="2471"/>
    <cellStyle name="Normal 22 182" xfId="2472"/>
    <cellStyle name="Normal 22 183" xfId="2473"/>
    <cellStyle name="Normal 22 184" xfId="2474"/>
    <cellStyle name="Normal 22 185" xfId="2475"/>
    <cellStyle name="Normal 22 186" xfId="2476"/>
    <cellStyle name="Normal 22 187" xfId="2477"/>
    <cellStyle name="Normal 22 188" xfId="2478"/>
    <cellStyle name="Normal 22 189" xfId="2479"/>
    <cellStyle name="Normal 22 19" xfId="2480"/>
    <cellStyle name="Normal 22 190" xfId="2481"/>
    <cellStyle name="Normal 22 191" xfId="2482"/>
    <cellStyle name="Normal 22 192" xfId="2483"/>
    <cellStyle name="Normal 22 193" xfId="2484"/>
    <cellStyle name="Normal 22 194" xfId="2485"/>
    <cellStyle name="Normal 22 195" xfId="2486"/>
    <cellStyle name="Normal 22 196" xfId="2487"/>
    <cellStyle name="Normal 22 197" xfId="2488"/>
    <cellStyle name="Normal 22 198" xfId="2489"/>
    <cellStyle name="Normal 22 2" xfId="2490"/>
    <cellStyle name="Normal 22 20" xfId="2491"/>
    <cellStyle name="Normal 22 21" xfId="2492"/>
    <cellStyle name="Normal 22 22" xfId="2493"/>
    <cellStyle name="Normal 22 23" xfId="2494"/>
    <cellStyle name="Normal 22 24" xfId="2495"/>
    <cellStyle name="Normal 22 25" xfId="2496"/>
    <cellStyle name="Normal 22 26" xfId="2497"/>
    <cellStyle name="Normal 22 27" xfId="2498"/>
    <cellStyle name="Normal 22 28" xfId="2499"/>
    <cellStyle name="Normal 22 29" xfId="2500"/>
    <cellStyle name="Normal 22 3" xfId="2501"/>
    <cellStyle name="Normal 22 30" xfId="2502"/>
    <cellStyle name="Normal 22 31" xfId="2503"/>
    <cellStyle name="Normal 22 32" xfId="2504"/>
    <cellStyle name="Normal 22 33" xfId="2505"/>
    <cellStyle name="Normal 22 34" xfId="2506"/>
    <cellStyle name="Normal 22 35" xfId="2507"/>
    <cellStyle name="Normal 22 36" xfId="2508"/>
    <cellStyle name="Normal 22 37" xfId="2509"/>
    <cellStyle name="Normal 22 38" xfId="2510"/>
    <cellStyle name="Normal 22 39" xfId="2511"/>
    <cellStyle name="Normal 22 4" xfId="2512"/>
    <cellStyle name="Normal 22 40" xfId="2513"/>
    <cellStyle name="Normal 22 41" xfId="2514"/>
    <cellStyle name="Normal 22 42" xfId="2515"/>
    <cellStyle name="Normal 22 43" xfId="2516"/>
    <cellStyle name="Normal 22 44" xfId="2517"/>
    <cellStyle name="Normal 22 45" xfId="2518"/>
    <cellStyle name="Normal 22 46" xfId="2519"/>
    <cellStyle name="Normal 22 47" xfId="2520"/>
    <cellStyle name="Normal 22 48" xfId="2521"/>
    <cellStyle name="Normal 22 49" xfId="2522"/>
    <cellStyle name="Normal 22 5" xfId="2523"/>
    <cellStyle name="Normal 22 50" xfId="2524"/>
    <cellStyle name="Normal 22 51" xfId="2525"/>
    <cellStyle name="Normal 22 52" xfId="2526"/>
    <cellStyle name="Normal 22 53" xfId="2527"/>
    <cellStyle name="Normal 22 54" xfId="2528"/>
    <cellStyle name="Normal 22 55" xfId="2529"/>
    <cellStyle name="Normal 22 56" xfId="2530"/>
    <cellStyle name="Normal 22 57" xfId="2531"/>
    <cellStyle name="Normal 22 58" xfId="2532"/>
    <cellStyle name="Normal 22 59" xfId="2533"/>
    <cellStyle name="Normal 22 6" xfId="2534"/>
    <cellStyle name="Normal 22 60" xfId="2535"/>
    <cellStyle name="Normal 22 61" xfId="2536"/>
    <cellStyle name="Normal 22 62" xfId="2537"/>
    <cellStyle name="Normal 22 63" xfId="2538"/>
    <cellStyle name="Normal 22 64" xfId="2539"/>
    <cellStyle name="Normal 22 65" xfId="2540"/>
    <cellStyle name="Normal 22 66" xfId="2541"/>
    <cellStyle name="Normal 22 67" xfId="2542"/>
    <cellStyle name="Normal 22 68" xfId="2543"/>
    <cellStyle name="Normal 22 69" xfId="2544"/>
    <cellStyle name="Normal 22 7" xfId="2545"/>
    <cellStyle name="Normal 22 70" xfId="2546"/>
    <cellStyle name="Normal 22 71" xfId="2547"/>
    <cellStyle name="Normal 22 72" xfId="2548"/>
    <cellStyle name="Normal 22 73" xfId="2549"/>
    <cellStyle name="Normal 22 74" xfId="2550"/>
    <cellStyle name="Normal 22 75" xfId="2551"/>
    <cellStyle name="Normal 22 76" xfId="2552"/>
    <cellStyle name="Normal 22 77" xfId="2553"/>
    <cellStyle name="Normal 22 78" xfId="2554"/>
    <cellStyle name="Normal 22 79" xfId="2555"/>
    <cellStyle name="Normal 22 8" xfId="2556"/>
    <cellStyle name="Normal 22 80" xfId="2557"/>
    <cellStyle name="Normal 22 81" xfId="2558"/>
    <cellStyle name="Normal 22 82" xfId="2559"/>
    <cellStyle name="Normal 22 83" xfId="2560"/>
    <cellStyle name="Normal 22 84" xfId="2561"/>
    <cellStyle name="Normal 22 85" xfId="2562"/>
    <cellStyle name="Normal 22 86" xfId="2563"/>
    <cellStyle name="Normal 22 87" xfId="2564"/>
    <cellStyle name="Normal 22 88" xfId="2565"/>
    <cellStyle name="Normal 22 89" xfId="2566"/>
    <cellStyle name="Normal 22 9" xfId="2567"/>
    <cellStyle name="Normal 22 90" xfId="2568"/>
    <cellStyle name="Normal 22 91" xfId="2569"/>
    <cellStyle name="Normal 22 92" xfId="2570"/>
    <cellStyle name="Normal 22 93" xfId="2571"/>
    <cellStyle name="Normal 22 94" xfId="2572"/>
    <cellStyle name="Normal 22 95" xfId="2573"/>
    <cellStyle name="Normal 22 96" xfId="2574"/>
    <cellStyle name="Normal 22 97" xfId="2575"/>
    <cellStyle name="Normal 22 98" xfId="2576"/>
    <cellStyle name="Normal 22 99" xfId="2577"/>
    <cellStyle name="Normal 23" xfId="2578"/>
    <cellStyle name="Normal 23 10" xfId="2579"/>
    <cellStyle name="Normal 23 100" xfId="2580"/>
    <cellStyle name="Normal 23 101" xfId="2581"/>
    <cellStyle name="Normal 23 102" xfId="2582"/>
    <cellStyle name="Normal 23 103" xfId="2583"/>
    <cellStyle name="Normal 23 104" xfId="2584"/>
    <cellStyle name="Normal 23 105" xfId="2585"/>
    <cellStyle name="Normal 23 106" xfId="2586"/>
    <cellStyle name="Normal 23 107" xfId="2587"/>
    <cellStyle name="Normal 23 108" xfId="2588"/>
    <cellStyle name="Normal 23 109" xfId="2589"/>
    <cellStyle name="Normal 23 11" xfId="2590"/>
    <cellStyle name="Normal 23 110" xfId="2591"/>
    <cellStyle name="Normal 23 111" xfId="2592"/>
    <cellStyle name="Normal 23 112" xfId="2593"/>
    <cellStyle name="Normal 23 113" xfId="2594"/>
    <cellStyle name="Normal 23 114" xfId="2595"/>
    <cellStyle name="Normal 23 115" xfId="2596"/>
    <cellStyle name="Normal 23 116" xfId="2597"/>
    <cellStyle name="Normal 23 117" xfId="2598"/>
    <cellStyle name="Normal 23 118" xfId="2599"/>
    <cellStyle name="Normal 23 119" xfId="2600"/>
    <cellStyle name="Normal 23 12" xfId="2601"/>
    <cellStyle name="Normal 23 120" xfId="2602"/>
    <cellStyle name="Normal 23 121" xfId="2603"/>
    <cellStyle name="Normal 23 122" xfId="2604"/>
    <cellStyle name="Normal 23 123" xfId="2605"/>
    <cellStyle name="Normal 23 124" xfId="2606"/>
    <cellStyle name="Normal 23 125" xfId="2607"/>
    <cellStyle name="Normal 23 126" xfId="2608"/>
    <cellStyle name="Normal 23 127" xfId="2609"/>
    <cellStyle name="Normal 23 128" xfId="2610"/>
    <cellStyle name="Normal 23 129" xfId="2611"/>
    <cellStyle name="Normal 23 13" xfId="2612"/>
    <cellStyle name="Normal 23 130" xfId="2613"/>
    <cellStyle name="Normal 23 131" xfId="2614"/>
    <cellStyle name="Normal 23 132" xfId="2615"/>
    <cellStyle name="Normal 23 133" xfId="2616"/>
    <cellStyle name="Normal 23 134" xfId="2617"/>
    <cellStyle name="Normal 23 135" xfId="2618"/>
    <cellStyle name="Normal 23 136" xfId="2619"/>
    <cellStyle name="Normal 23 137" xfId="2620"/>
    <cellStyle name="Normal 23 138" xfId="2621"/>
    <cellStyle name="Normal 23 139" xfId="2622"/>
    <cellStyle name="Normal 23 14" xfId="2623"/>
    <cellStyle name="Normal 23 140" xfId="2624"/>
    <cellStyle name="Normal 23 141" xfId="2625"/>
    <cellStyle name="Normal 23 142" xfId="2626"/>
    <cellStyle name="Normal 23 143" xfId="2627"/>
    <cellStyle name="Normal 23 144" xfId="2628"/>
    <cellStyle name="Normal 23 145" xfId="2629"/>
    <cellStyle name="Normal 23 146" xfId="2630"/>
    <cellStyle name="Normal 23 147" xfId="2631"/>
    <cellStyle name="Normal 23 148" xfId="2632"/>
    <cellStyle name="Normal 23 149" xfId="2633"/>
    <cellStyle name="Normal 23 15" xfId="2634"/>
    <cellStyle name="Normal 23 150" xfId="2635"/>
    <cellStyle name="Normal 23 151" xfId="2636"/>
    <cellStyle name="Normal 23 152" xfId="2637"/>
    <cellStyle name="Normal 23 153" xfId="2638"/>
    <cellStyle name="Normal 23 154" xfId="2639"/>
    <cellStyle name="Normal 23 155" xfId="2640"/>
    <cellStyle name="Normal 23 156" xfId="2641"/>
    <cellStyle name="Normal 23 157" xfId="2642"/>
    <cellStyle name="Normal 23 158" xfId="2643"/>
    <cellStyle name="Normal 23 159" xfId="2644"/>
    <cellStyle name="Normal 23 16" xfId="2645"/>
    <cellStyle name="Normal 23 160" xfId="2646"/>
    <cellStyle name="Normal 23 161" xfId="2647"/>
    <cellStyle name="Normal 23 162" xfId="2648"/>
    <cellStyle name="Normal 23 163" xfId="2649"/>
    <cellStyle name="Normal 23 164" xfId="2650"/>
    <cellStyle name="Normal 23 165" xfId="2651"/>
    <cellStyle name="Normal 23 166" xfId="2652"/>
    <cellStyle name="Normal 23 167" xfId="2653"/>
    <cellStyle name="Normal 23 168" xfId="2654"/>
    <cellStyle name="Normal 23 169" xfId="2655"/>
    <cellStyle name="Normal 23 17" xfId="2656"/>
    <cellStyle name="Normal 23 170" xfId="2657"/>
    <cellStyle name="Normal 23 171" xfId="2658"/>
    <cellStyle name="Normal 23 172" xfId="2659"/>
    <cellStyle name="Normal 23 173" xfId="2660"/>
    <cellStyle name="Normal 23 174" xfId="2661"/>
    <cellStyle name="Normal 23 175" xfId="2662"/>
    <cellStyle name="Normal 23 176" xfId="2663"/>
    <cellStyle name="Normal 23 177" xfId="2664"/>
    <cellStyle name="Normal 23 178" xfId="2665"/>
    <cellStyle name="Normal 23 179" xfId="2666"/>
    <cellStyle name="Normal 23 18" xfId="2667"/>
    <cellStyle name="Normal 23 180" xfId="2668"/>
    <cellStyle name="Normal 23 181" xfId="2669"/>
    <cellStyle name="Normal 23 182" xfId="2670"/>
    <cellStyle name="Normal 23 183" xfId="2671"/>
    <cellStyle name="Normal 23 184" xfId="2672"/>
    <cellStyle name="Normal 23 185" xfId="2673"/>
    <cellStyle name="Normal 23 186" xfId="2674"/>
    <cellStyle name="Normal 23 187" xfId="2675"/>
    <cellStyle name="Normal 23 188" xfId="2676"/>
    <cellStyle name="Normal 23 189" xfId="2677"/>
    <cellStyle name="Normal 23 19" xfId="2678"/>
    <cellStyle name="Normal 23 190" xfId="2679"/>
    <cellStyle name="Normal 23 191" xfId="2680"/>
    <cellStyle name="Normal 23 192" xfId="2681"/>
    <cellStyle name="Normal 23 193" xfId="2682"/>
    <cellStyle name="Normal 23 194" xfId="2683"/>
    <cellStyle name="Normal 23 195" xfId="2684"/>
    <cellStyle name="Normal 23 196" xfId="2685"/>
    <cellStyle name="Normal 23 197" xfId="2686"/>
    <cellStyle name="Normal 23 198" xfId="2687"/>
    <cellStyle name="Normal 23 2" xfId="2688"/>
    <cellStyle name="Normal 23 20" xfId="2689"/>
    <cellStyle name="Normal 23 21" xfId="2690"/>
    <cellStyle name="Normal 23 22" xfId="2691"/>
    <cellStyle name="Normal 23 23" xfId="2692"/>
    <cellStyle name="Normal 23 24" xfId="2693"/>
    <cellStyle name="Normal 23 25" xfId="2694"/>
    <cellStyle name="Normal 23 26" xfId="2695"/>
    <cellStyle name="Normal 23 27" xfId="2696"/>
    <cellStyle name="Normal 23 28" xfId="2697"/>
    <cellStyle name="Normal 23 29" xfId="2698"/>
    <cellStyle name="Normal 23 3" xfId="2699"/>
    <cellStyle name="Normal 23 30" xfId="2700"/>
    <cellStyle name="Normal 23 31" xfId="2701"/>
    <cellStyle name="Normal 23 32" xfId="2702"/>
    <cellStyle name="Normal 23 33" xfId="2703"/>
    <cellStyle name="Normal 23 34" xfId="2704"/>
    <cellStyle name="Normal 23 35" xfId="2705"/>
    <cellStyle name="Normal 23 36" xfId="2706"/>
    <cellStyle name="Normal 23 37" xfId="2707"/>
    <cellStyle name="Normal 23 38" xfId="2708"/>
    <cellStyle name="Normal 23 39" xfId="2709"/>
    <cellStyle name="Normal 23 4" xfId="2710"/>
    <cellStyle name="Normal 23 40" xfId="2711"/>
    <cellStyle name="Normal 23 41" xfId="2712"/>
    <cellStyle name="Normal 23 42" xfId="2713"/>
    <cellStyle name="Normal 23 43" xfId="2714"/>
    <cellStyle name="Normal 23 44" xfId="2715"/>
    <cellStyle name="Normal 23 45" xfId="2716"/>
    <cellStyle name="Normal 23 46" xfId="2717"/>
    <cellStyle name="Normal 23 47" xfId="2718"/>
    <cellStyle name="Normal 23 48" xfId="2719"/>
    <cellStyle name="Normal 23 49" xfId="2720"/>
    <cellStyle name="Normal 23 5" xfId="2721"/>
    <cellStyle name="Normal 23 50" xfId="2722"/>
    <cellStyle name="Normal 23 51" xfId="2723"/>
    <cellStyle name="Normal 23 52" xfId="2724"/>
    <cellStyle name="Normal 23 53" xfId="2725"/>
    <cellStyle name="Normal 23 54" xfId="2726"/>
    <cellStyle name="Normal 23 55" xfId="2727"/>
    <cellStyle name="Normal 23 56" xfId="2728"/>
    <cellStyle name="Normal 23 57" xfId="2729"/>
    <cellStyle name="Normal 23 58" xfId="2730"/>
    <cellStyle name="Normal 23 59" xfId="2731"/>
    <cellStyle name="Normal 23 6" xfId="2732"/>
    <cellStyle name="Normal 23 60" xfId="2733"/>
    <cellStyle name="Normal 23 61" xfId="2734"/>
    <cellStyle name="Normal 23 62" xfId="2735"/>
    <cellStyle name="Normal 23 63" xfId="2736"/>
    <cellStyle name="Normal 23 64" xfId="2737"/>
    <cellStyle name="Normal 23 65" xfId="2738"/>
    <cellStyle name="Normal 23 66" xfId="2739"/>
    <cellStyle name="Normal 23 67" xfId="2740"/>
    <cellStyle name="Normal 23 68" xfId="2741"/>
    <cellStyle name="Normal 23 69" xfId="2742"/>
    <cellStyle name="Normal 23 7" xfId="2743"/>
    <cellStyle name="Normal 23 70" xfId="2744"/>
    <cellStyle name="Normal 23 71" xfId="2745"/>
    <cellStyle name="Normal 23 72" xfId="2746"/>
    <cellStyle name="Normal 23 73" xfId="2747"/>
    <cellStyle name="Normal 23 74" xfId="2748"/>
    <cellStyle name="Normal 23 75" xfId="2749"/>
    <cellStyle name="Normal 23 76" xfId="2750"/>
    <cellStyle name="Normal 23 77" xfId="2751"/>
    <cellStyle name="Normal 23 78" xfId="2752"/>
    <cellStyle name="Normal 23 79" xfId="2753"/>
    <cellStyle name="Normal 23 8" xfId="2754"/>
    <cellStyle name="Normal 23 80" xfId="2755"/>
    <cellStyle name="Normal 23 81" xfId="2756"/>
    <cellStyle name="Normal 23 82" xfId="2757"/>
    <cellStyle name="Normal 23 83" xfId="2758"/>
    <cellStyle name="Normal 23 84" xfId="2759"/>
    <cellStyle name="Normal 23 85" xfId="2760"/>
    <cellStyle name="Normal 23 86" xfId="2761"/>
    <cellStyle name="Normal 23 87" xfId="2762"/>
    <cellStyle name="Normal 23 88" xfId="2763"/>
    <cellStyle name="Normal 23 89" xfId="2764"/>
    <cellStyle name="Normal 23 9" xfId="2765"/>
    <cellStyle name="Normal 23 90" xfId="2766"/>
    <cellStyle name="Normal 23 91" xfId="2767"/>
    <cellStyle name="Normal 23 92" xfId="2768"/>
    <cellStyle name="Normal 23 93" xfId="2769"/>
    <cellStyle name="Normal 23 94" xfId="2770"/>
    <cellStyle name="Normal 23 95" xfId="2771"/>
    <cellStyle name="Normal 23 96" xfId="2772"/>
    <cellStyle name="Normal 23 97" xfId="2773"/>
    <cellStyle name="Normal 23 98" xfId="2774"/>
    <cellStyle name="Normal 23 99" xfId="2775"/>
    <cellStyle name="Normal 24" xfId="2776"/>
    <cellStyle name="Normal 24 10" xfId="2777"/>
    <cellStyle name="Normal 24 100" xfId="2778"/>
    <cellStyle name="Normal 24 101" xfId="2779"/>
    <cellStyle name="Normal 24 102" xfId="2780"/>
    <cellStyle name="Normal 24 103" xfId="2781"/>
    <cellStyle name="Normal 24 104" xfId="2782"/>
    <cellStyle name="Normal 24 105" xfId="2783"/>
    <cellStyle name="Normal 24 106" xfId="2784"/>
    <cellStyle name="Normal 24 107" xfId="2785"/>
    <cellStyle name="Normal 24 108" xfId="2786"/>
    <cellStyle name="Normal 24 109" xfId="2787"/>
    <cellStyle name="Normal 24 11" xfId="2788"/>
    <cellStyle name="Normal 24 110" xfId="2789"/>
    <cellStyle name="Normal 24 111" xfId="2790"/>
    <cellStyle name="Normal 24 112" xfId="2791"/>
    <cellStyle name="Normal 24 113" xfId="2792"/>
    <cellStyle name="Normal 24 114" xfId="2793"/>
    <cellStyle name="Normal 24 115" xfId="2794"/>
    <cellStyle name="Normal 24 116" xfId="2795"/>
    <cellStyle name="Normal 24 117" xfId="2796"/>
    <cellStyle name="Normal 24 118" xfId="2797"/>
    <cellStyle name="Normal 24 119" xfId="2798"/>
    <cellStyle name="Normal 24 12" xfId="2799"/>
    <cellStyle name="Normal 24 120" xfId="2800"/>
    <cellStyle name="Normal 24 121" xfId="2801"/>
    <cellStyle name="Normal 24 122" xfId="2802"/>
    <cellStyle name="Normal 24 123" xfId="2803"/>
    <cellStyle name="Normal 24 124" xfId="2804"/>
    <cellStyle name="Normal 24 125" xfId="2805"/>
    <cellStyle name="Normal 24 126" xfId="2806"/>
    <cellStyle name="Normal 24 127" xfId="2807"/>
    <cellStyle name="Normal 24 128" xfId="2808"/>
    <cellStyle name="Normal 24 129" xfId="2809"/>
    <cellStyle name="Normal 24 13" xfId="2810"/>
    <cellStyle name="Normal 24 130" xfId="2811"/>
    <cellStyle name="Normal 24 131" xfId="2812"/>
    <cellStyle name="Normal 24 132" xfId="2813"/>
    <cellStyle name="Normal 24 133" xfId="2814"/>
    <cellStyle name="Normal 24 134" xfId="2815"/>
    <cellStyle name="Normal 24 135" xfId="2816"/>
    <cellStyle name="Normal 24 136" xfId="2817"/>
    <cellStyle name="Normal 24 137" xfId="2818"/>
    <cellStyle name="Normal 24 138" xfId="2819"/>
    <cellStyle name="Normal 24 139" xfId="2820"/>
    <cellStyle name="Normal 24 14" xfId="2821"/>
    <cellStyle name="Normal 24 140" xfId="2822"/>
    <cellStyle name="Normal 24 141" xfId="2823"/>
    <cellStyle name="Normal 24 142" xfId="2824"/>
    <cellStyle name="Normal 24 143" xfId="2825"/>
    <cellStyle name="Normal 24 144" xfId="2826"/>
    <cellStyle name="Normal 24 145" xfId="2827"/>
    <cellStyle name="Normal 24 146" xfId="2828"/>
    <cellStyle name="Normal 24 147" xfId="2829"/>
    <cellStyle name="Normal 24 148" xfId="2830"/>
    <cellStyle name="Normal 24 149" xfId="2831"/>
    <cellStyle name="Normal 24 15" xfId="2832"/>
    <cellStyle name="Normal 24 150" xfId="2833"/>
    <cellStyle name="Normal 24 151" xfId="2834"/>
    <cellStyle name="Normal 24 152" xfId="2835"/>
    <cellStyle name="Normal 24 153" xfId="2836"/>
    <cellStyle name="Normal 24 154" xfId="2837"/>
    <cellStyle name="Normal 24 155" xfId="2838"/>
    <cellStyle name="Normal 24 156" xfId="2839"/>
    <cellStyle name="Normal 24 157" xfId="2840"/>
    <cellStyle name="Normal 24 158" xfId="2841"/>
    <cellStyle name="Normal 24 159" xfId="2842"/>
    <cellStyle name="Normal 24 16" xfId="2843"/>
    <cellStyle name="Normal 24 160" xfId="2844"/>
    <cellStyle name="Normal 24 161" xfId="2845"/>
    <cellStyle name="Normal 24 162" xfId="2846"/>
    <cellStyle name="Normal 24 163" xfId="2847"/>
    <cellStyle name="Normal 24 164" xfId="2848"/>
    <cellStyle name="Normal 24 165" xfId="2849"/>
    <cellStyle name="Normal 24 166" xfId="2850"/>
    <cellStyle name="Normal 24 167" xfId="2851"/>
    <cellStyle name="Normal 24 168" xfId="2852"/>
    <cellStyle name="Normal 24 169" xfId="2853"/>
    <cellStyle name="Normal 24 17" xfId="2854"/>
    <cellStyle name="Normal 24 170" xfId="2855"/>
    <cellStyle name="Normal 24 171" xfId="2856"/>
    <cellStyle name="Normal 24 172" xfId="2857"/>
    <cellStyle name="Normal 24 173" xfId="2858"/>
    <cellStyle name="Normal 24 174" xfId="2859"/>
    <cellStyle name="Normal 24 175" xfId="2860"/>
    <cellStyle name="Normal 24 176" xfId="2861"/>
    <cellStyle name="Normal 24 177" xfId="2862"/>
    <cellStyle name="Normal 24 178" xfId="2863"/>
    <cellStyle name="Normal 24 179" xfId="2864"/>
    <cellStyle name="Normal 24 18" xfId="2865"/>
    <cellStyle name="Normal 24 180" xfId="2866"/>
    <cellStyle name="Normal 24 181" xfId="2867"/>
    <cellStyle name="Normal 24 182" xfId="2868"/>
    <cellStyle name="Normal 24 183" xfId="2869"/>
    <cellStyle name="Normal 24 184" xfId="2870"/>
    <cellStyle name="Normal 24 185" xfId="2871"/>
    <cellStyle name="Normal 24 186" xfId="2872"/>
    <cellStyle name="Normal 24 187" xfId="2873"/>
    <cellStyle name="Normal 24 188" xfId="2874"/>
    <cellStyle name="Normal 24 189" xfId="2875"/>
    <cellStyle name="Normal 24 19" xfId="2876"/>
    <cellStyle name="Normal 24 190" xfId="2877"/>
    <cellStyle name="Normal 24 191" xfId="2878"/>
    <cellStyle name="Normal 24 192" xfId="2879"/>
    <cellStyle name="Normal 24 193" xfId="2880"/>
    <cellStyle name="Normal 24 194" xfId="2881"/>
    <cellStyle name="Normal 24 195" xfId="2882"/>
    <cellStyle name="Normal 24 196" xfId="2883"/>
    <cellStyle name="Normal 24 197" xfId="2884"/>
    <cellStyle name="Normal 24 198" xfId="2885"/>
    <cellStyle name="Normal 24 2" xfId="2886"/>
    <cellStyle name="Normal 24 20" xfId="2887"/>
    <cellStyle name="Normal 24 21" xfId="2888"/>
    <cellStyle name="Normal 24 22" xfId="2889"/>
    <cellStyle name="Normal 24 23" xfId="2890"/>
    <cellStyle name="Normal 24 24" xfId="2891"/>
    <cellStyle name="Normal 24 25" xfId="2892"/>
    <cellStyle name="Normal 24 26" xfId="2893"/>
    <cellStyle name="Normal 24 27" xfId="2894"/>
    <cellStyle name="Normal 24 28" xfId="2895"/>
    <cellStyle name="Normal 24 29" xfId="2896"/>
    <cellStyle name="Normal 24 3" xfId="2897"/>
    <cellStyle name="Normal 24 30" xfId="2898"/>
    <cellStyle name="Normal 24 31" xfId="2899"/>
    <cellStyle name="Normal 24 32" xfId="2900"/>
    <cellStyle name="Normal 24 33" xfId="2901"/>
    <cellStyle name="Normal 24 34" xfId="2902"/>
    <cellStyle name="Normal 24 35" xfId="2903"/>
    <cellStyle name="Normal 24 36" xfId="2904"/>
    <cellStyle name="Normal 24 37" xfId="2905"/>
    <cellStyle name="Normal 24 38" xfId="2906"/>
    <cellStyle name="Normal 24 39" xfId="2907"/>
    <cellStyle name="Normal 24 4" xfId="2908"/>
    <cellStyle name="Normal 24 40" xfId="2909"/>
    <cellStyle name="Normal 24 41" xfId="2910"/>
    <cellStyle name="Normal 24 42" xfId="2911"/>
    <cellStyle name="Normal 24 43" xfId="2912"/>
    <cellStyle name="Normal 24 44" xfId="2913"/>
    <cellStyle name="Normal 24 45" xfId="2914"/>
    <cellStyle name="Normal 24 46" xfId="2915"/>
    <cellStyle name="Normal 24 47" xfId="2916"/>
    <cellStyle name="Normal 24 48" xfId="2917"/>
    <cellStyle name="Normal 24 49" xfId="2918"/>
    <cellStyle name="Normal 24 5" xfId="2919"/>
    <cellStyle name="Normal 24 50" xfId="2920"/>
    <cellStyle name="Normal 24 51" xfId="2921"/>
    <cellStyle name="Normal 24 52" xfId="2922"/>
    <cellStyle name="Normal 24 53" xfId="2923"/>
    <cellStyle name="Normal 24 54" xfId="2924"/>
    <cellStyle name="Normal 24 55" xfId="2925"/>
    <cellStyle name="Normal 24 56" xfId="2926"/>
    <cellStyle name="Normal 24 57" xfId="2927"/>
    <cellStyle name="Normal 24 58" xfId="2928"/>
    <cellStyle name="Normal 24 59" xfId="2929"/>
    <cellStyle name="Normal 24 6" xfId="2930"/>
    <cellStyle name="Normal 24 60" xfId="2931"/>
    <cellStyle name="Normal 24 61" xfId="2932"/>
    <cellStyle name="Normal 24 62" xfId="2933"/>
    <cellStyle name="Normal 24 63" xfId="2934"/>
    <cellStyle name="Normal 24 64" xfId="2935"/>
    <cellStyle name="Normal 24 65" xfId="2936"/>
    <cellStyle name="Normal 24 66" xfId="2937"/>
    <cellStyle name="Normal 24 67" xfId="2938"/>
    <cellStyle name="Normal 24 68" xfId="2939"/>
    <cellStyle name="Normal 24 69" xfId="2940"/>
    <cellStyle name="Normal 24 7" xfId="2941"/>
    <cellStyle name="Normal 24 70" xfId="2942"/>
    <cellStyle name="Normal 24 71" xfId="2943"/>
    <cellStyle name="Normal 24 72" xfId="2944"/>
    <cellStyle name="Normal 24 73" xfId="2945"/>
    <cellStyle name="Normal 24 74" xfId="2946"/>
    <cellStyle name="Normal 24 75" xfId="2947"/>
    <cellStyle name="Normal 24 76" xfId="2948"/>
    <cellStyle name="Normal 24 77" xfId="2949"/>
    <cellStyle name="Normal 24 78" xfId="2950"/>
    <cellStyle name="Normal 24 79" xfId="2951"/>
    <cellStyle name="Normal 24 8" xfId="2952"/>
    <cellStyle name="Normal 24 80" xfId="2953"/>
    <cellStyle name="Normal 24 81" xfId="2954"/>
    <cellStyle name="Normal 24 82" xfId="2955"/>
    <cellStyle name="Normal 24 83" xfId="2956"/>
    <cellStyle name="Normal 24 84" xfId="2957"/>
    <cellStyle name="Normal 24 85" xfId="2958"/>
    <cellStyle name="Normal 24 86" xfId="2959"/>
    <cellStyle name="Normal 24 87" xfId="2960"/>
    <cellStyle name="Normal 24 88" xfId="2961"/>
    <cellStyle name="Normal 24 89" xfId="2962"/>
    <cellStyle name="Normal 24 9" xfId="2963"/>
    <cellStyle name="Normal 24 90" xfId="2964"/>
    <cellStyle name="Normal 24 91" xfId="2965"/>
    <cellStyle name="Normal 24 92" xfId="2966"/>
    <cellStyle name="Normal 24 93" xfId="2967"/>
    <cellStyle name="Normal 24 94" xfId="2968"/>
    <cellStyle name="Normal 24 95" xfId="2969"/>
    <cellStyle name="Normal 24 96" xfId="2970"/>
    <cellStyle name="Normal 24 97" xfId="2971"/>
    <cellStyle name="Normal 24 98" xfId="2972"/>
    <cellStyle name="Normal 24 99" xfId="2973"/>
    <cellStyle name="Normal 25" xfId="2974"/>
    <cellStyle name="Normal 25 10" xfId="2975"/>
    <cellStyle name="Normal 25 100" xfId="2976"/>
    <cellStyle name="Normal 25 101" xfId="2977"/>
    <cellStyle name="Normal 25 102" xfId="2978"/>
    <cellStyle name="Normal 25 103" xfId="2979"/>
    <cellStyle name="Normal 25 104" xfId="2980"/>
    <cellStyle name="Normal 25 105" xfId="2981"/>
    <cellStyle name="Normal 25 106" xfId="2982"/>
    <cellStyle name="Normal 25 107" xfId="2983"/>
    <cellStyle name="Normal 25 108" xfId="2984"/>
    <cellStyle name="Normal 25 109" xfId="2985"/>
    <cellStyle name="Normal 25 11" xfId="2986"/>
    <cellStyle name="Normal 25 110" xfId="2987"/>
    <cellStyle name="Normal 25 111" xfId="2988"/>
    <cellStyle name="Normal 25 112" xfId="2989"/>
    <cellStyle name="Normal 25 113" xfId="2990"/>
    <cellStyle name="Normal 25 114" xfId="2991"/>
    <cellStyle name="Normal 25 115" xfId="2992"/>
    <cellStyle name="Normal 25 116" xfId="2993"/>
    <cellStyle name="Normal 25 117" xfId="2994"/>
    <cellStyle name="Normal 25 118" xfId="2995"/>
    <cellStyle name="Normal 25 119" xfId="2996"/>
    <cellStyle name="Normal 25 12" xfId="2997"/>
    <cellStyle name="Normal 25 120" xfId="2998"/>
    <cellStyle name="Normal 25 121" xfId="2999"/>
    <cellStyle name="Normal 25 122" xfId="3000"/>
    <cellStyle name="Normal 25 123" xfId="3001"/>
    <cellStyle name="Normal 25 124" xfId="3002"/>
    <cellStyle name="Normal 25 125" xfId="3003"/>
    <cellStyle name="Normal 25 126" xfId="3004"/>
    <cellStyle name="Normal 25 127" xfId="3005"/>
    <cellStyle name="Normal 25 128" xfId="3006"/>
    <cellStyle name="Normal 25 129" xfId="3007"/>
    <cellStyle name="Normal 25 13" xfId="3008"/>
    <cellStyle name="Normal 25 130" xfId="3009"/>
    <cellStyle name="Normal 25 131" xfId="3010"/>
    <cellStyle name="Normal 25 132" xfId="3011"/>
    <cellStyle name="Normal 25 133" xfId="3012"/>
    <cellStyle name="Normal 25 134" xfId="3013"/>
    <cellStyle name="Normal 25 135" xfId="3014"/>
    <cellStyle name="Normal 25 136" xfId="3015"/>
    <cellStyle name="Normal 25 137" xfId="3016"/>
    <cellStyle name="Normal 25 138" xfId="3017"/>
    <cellStyle name="Normal 25 139" xfId="3018"/>
    <cellStyle name="Normal 25 14" xfId="3019"/>
    <cellStyle name="Normal 25 140" xfId="3020"/>
    <cellStyle name="Normal 25 141" xfId="3021"/>
    <cellStyle name="Normal 25 142" xfId="3022"/>
    <cellStyle name="Normal 25 143" xfId="3023"/>
    <cellStyle name="Normal 25 144" xfId="3024"/>
    <cellStyle name="Normal 25 145" xfId="3025"/>
    <cellStyle name="Normal 25 146" xfId="3026"/>
    <cellStyle name="Normal 25 147" xfId="3027"/>
    <cellStyle name="Normal 25 148" xfId="3028"/>
    <cellStyle name="Normal 25 149" xfId="3029"/>
    <cellStyle name="Normal 25 15" xfId="3030"/>
    <cellStyle name="Normal 25 150" xfId="3031"/>
    <cellStyle name="Normal 25 151" xfId="3032"/>
    <cellStyle name="Normal 25 152" xfId="3033"/>
    <cellStyle name="Normal 25 153" xfId="3034"/>
    <cellStyle name="Normal 25 154" xfId="3035"/>
    <cellStyle name="Normal 25 155" xfId="3036"/>
    <cellStyle name="Normal 25 156" xfId="3037"/>
    <cellStyle name="Normal 25 157" xfId="3038"/>
    <cellStyle name="Normal 25 158" xfId="3039"/>
    <cellStyle name="Normal 25 159" xfId="3040"/>
    <cellStyle name="Normal 25 16" xfId="3041"/>
    <cellStyle name="Normal 25 160" xfId="3042"/>
    <cellStyle name="Normal 25 161" xfId="3043"/>
    <cellStyle name="Normal 25 162" xfId="3044"/>
    <cellStyle name="Normal 25 163" xfId="3045"/>
    <cellStyle name="Normal 25 164" xfId="3046"/>
    <cellStyle name="Normal 25 165" xfId="3047"/>
    <cellStyle name="Normal 25 166" xfId="3048"/>
    <cellStyle name="Normal 25 167" xfId="3049"/>
    <cellStyle name="Normal 25 168" xfId="3050"/>
    <cellStyle name="Normal 25 169" xfId="3051"/>
    <cellStyle name="Normal 25 17" xfId="3052"/>
    <cellStyle name="Normal 25 170" xfId="3053"/>
    <cellStyle name="Normal 25 171" xfId="3054"/>
    <cellStyle name="Normal 25 172" xfId="3055"/>
    <cellStyle name="Normal 25 173" xfId="3056"/>
    <cellStyle name="Normal 25 174" xfId="3057"/>
    <cellStyle name="Normal 25 175" xfId="3058"/>
    <cellStyle name="Normal 25 176" xfId="3059"/>
    <cellStyle name="Normal 25 177" xfId="3060"/>
    <cellStyle name="Normal 25 178" xfId="3061"/>
    <cellStyle name="Normal 25 179" xfId="3062"/>
    <cellStyle name="Normal 25 18" xfId="3063"/>
    <cellStyle name="Normal 25 180" xfId="3064"/>
    <cellStyle name="Normal 25 181" xfId="3065"/>
    <cellStyle name="Normal 25 182" xfId="3066"/>
    <cellStyle name="Normal 25 183" xfId="3067"/>
    <cellStyle name="Normal 25 184" xfId="3068"/>
    <cellStyle name="Normal 25 185" xfId="3069"/>
    <cellStyle name="Normal 25 186" xfId="3070"/>
    <cellStyle name="Normal 25 187" xfId="3071"/>
    <cellStyle name="Normal 25 188" xfId="3072"/>
    <cellStyle name="Normal 25 189" xfId="3073"/>
    <cellStyle name="Normal 25 19" xfId="3074"/>
    <cellStyle name="Normal 25 190" xfId="3075"/>
    <cellStyle name="Normal 25 191" xfId="3076"/>
    <cellStyle name="Normal 25 192" xfId="3077"/>
    <cellStyle name="Normal 25 193" xfId="3078"/>
    <cellStyle name="Normal 25 194" xfId="3079"/>
    <cellStyle name="Normal 25 195" xfId="3080"/>
    <cellStyle name="Normal 25 196" xfId="3081"/>
    <cellStyle name="Normal 25 197" xfId="3082"/>
    <cellStyle name="Normal 25 198" xfId="3083"/>
    <cellStyle name="Normal 25 2" xfId="3084"/>
    <cellStyle name="Normal 25 20" xfId="3085"/>
    <cellStyle name="Normal 25 21" xfId="3086"/>
    <cellStyle name="Normal 25 22" xfId="3087"/>
    <cellStyle name="Normal 25 23" xfId="3088"/>
    <cellStyle name="Normal 25 24" xfId="3089"/>
    <cellStyle name="Normal 25 25" xfId="3090"/>
    <cellStyle name="Normal 25 26" xfId="3091"/>
    <cellStyle name="Normal 25 27" xfId="3092"/>
    <cellStyle name="Normal 25 28" xfId="3093"/>
    <cellStyle name="Normal 25 29" xfId="3094"/>
    <cellStyle name="Normal 25 3" xfId="3095"/>
    <cellStyle name="Normal 25 30" xfId="3096"/>
    <cellStyle name="Normal 25 31" xfId="3097"/>
    <cellStyle name="Normal 25 32" xfId="3098"/>
    <cellStyle name="Normal 25 33" xfId="3099"/>
    <cellStyle name="Normal 25 34" xfId="3100"/>
    <cellStyle name="Normal 25 35" xfId="3101"/>
    <cellStyle name="Normal 25 36" xfId="3102"/>
    <cellStyle name="Normal 25 37" xfId="3103"/>
    <cellStyle name="Normal 25 38" xfId="3104"/>
    <cellStyle name="Normal 25 39" xfId="3105"/>
    <cellStyle name="Normal 25 4" xfId="3106"/>
    <cellStyle name="Normal 25 40" xfId="3107"/>
    <cellStyle name="Normal 25 41" xfId="3108"/>
    <cellStyle name="Normal 25 42" xfId="3109"/>
    <cellStyle name="Normal 25 43" xfId="3110"/>
    <cellStyle name="Normal 25 44" xfId="3111"/>
    <cellStyle name="Normal 25 45" xfId="3112"/>
    <cellStyle name="Normal 25 46" xfId="3113"/>
    <cellStyle name="Normal 25 47" xfId="3114"/>
    <cellStyle name="Normal 25 48" xfId="3115"/>
    <cellStyle name="Normal 25 49" xfId="3116"/>
    <cellStyle name="Normal 25 5" xfId="3117"/>
    <cellStyle name="Normal 25 50" xfId="3118"/>
    <cellStyle name="Normal 25 51" xfId="3119"/>
    <cellStyle name="Normal 25 52" xfId="3120"/>
    <cellStyle name="Normal 25 53" xfId="3121"/>
    <cellStyle name="Normal 25 54" xfId="3122"/>
    <cellStyle name="Normal 25 55" xfId="3123"/>
    <cellStyle name="Normal 25 56" xfId="3124"/>
    <cellStyle name="Normal 25 57" xfId="3125"/>
    <cellStyle name="Normal 25 58" xfId="3126"/>
    <cellStyle name="Normal 25 59" xfId="3127"/>
    <cellStyle name="Normal 25 6" xfId="3128"/>
    <cellStyle name="Normal 25 60" xfId="3129"/>
    <cellStyle name="Normal 25 61" xfId="3130"/>
    <cellStyle name="Normal 25 62" xfId="3131"/>
    <cellStyle name="Normal 25 63" xfId="3132"/>
    <cellStyle name="Normal 25 64" xfId="3133"/>
    <cellStyle name="Normal 25 65" xfId="3134"/>
    <cellStyle name="Normal 25 66" xfId="3135"/>
    <cellStyle name="Normal 25 67" xfId="3136"/>
    <cellStyle name="Normal 25 68" xfId="3137"/>
    <cellStyle name="Normal 25 69" xfId="3138"/>
    <cellStyle name="Normal 25 7" xfId="3139"/>
    <cellStyle name="Normal 25 70" xfId="3140"/>
    <cellStyle name="Normal 25 71" xfId="3141"/>
    <cellStyle name="Normal 25 72" xfId="3142"/>
    <cellStyle name="Normal 25 73" xfId="3143"/>
    <cellStyle name="Normal 25 74" xfId="3144"/>
    <cellStyle name="Normal 25 75" xfId="3145"/>
    <cellStyle name="Normal 25 76" xfId="3146"/>
    <cellStyle name="Normal 25 77" xfId="3147"/>
    <cellStyle name="Normal 25 78" xfId="3148"/>
    <cellStyle name="Normal 25 79" xfId="3149"/>
    <cellStyle name="Normal 25 8" xfId="3150"/>
    <cellStyle name="Normal 25 80" xfId="3151"/>
    <cellStyle name="Normal 25 81" xfId="3152"/>
    <cellStyle name="Normal 25 82" xfId="3153"/>
    <cellStyle name="Normal 25 83" xfId="3154"/>
    <cellStyle name="Normal 25 84" xfId="3155"/>
    <cellStyle name="Normal 25 85" xfId="3156"/>
    <cellStyle name="Normal 25 86" xfId="3157"/>
    <cellStyle name="Normal 25 87" xfId="3158"/>
    <cellStyle name="Normal 25 88" xfId="3159"/>
    <cellStyle name="Normal 25 89" xfId="3160"/>
    <cellStyle name="Normal 25 9" xfId="3161"/>
    <cellStyle name="Normal 25 90" xfId="3162"/>
    <cellStyle name="Normal 25 91" xfId="3163"/>
    <cellStyle name="Normal 25 92" xfId="3164"/>
    <cellStyle name="Normal 25 93" xfId="3165"/>
    <cellStyle name="Normal 25 94" xfId="3166"/>
    <cellStyle name="Normal 25 95" xfId="3167"/>
    <cellStyle name="Normal 25 96" xfId="3168"/>
    <cellStyle name="Normal 25 97" xfId="3169"/>
    <cellStyle name="Normal 25 98" xfId="3170"/>
    <cellStyle name="Normal 25 99" xfId="3171"/>
    <cellStyle name="Normal 26" xfId="3172"/>
    <cellStyle name="Normal 26 10" xfId="3173"/>
    <cellStyle name="Normal 26 100" xfId="3174"/>
    <cellStyle name="Normal 26 101" xfId="3175"/>
    <cellStyle name="Normal 26 102" xfId="3176"/>
    <cellStyle name="Normal 26 103" xfId="3177"/>
    <cellStyle name="Normal 26 104" xfId="3178"/>
    <cellStyle name="Normal 26 105" xfId="3179"/>
    <cellStyle name="Normal 26 106" xfId="3180"/>
    <cellStyle name="Normal 26 107" xfId="3181"/>
    <cellStyle name="Normal 26 108" xfId="3182"/>
    <cellStyle name="Normal 26 109" xfId="3183"/>
    <cellStyle name="Normal 26 11" xfId="3184"/>
    <cellStyle name="Normal 26 110" xfId="3185"/>
    <cellStyle name="Normal 26 111" xfId="3186"/>
    <cellStyle name="Normal 26 112" xfId="3187"/>
    <cellStyle name="Normal 26 113" xfId="3188"/>
    <cellStyle name="Normal 26 114" xfId="3189"/>
    <cellStyle name="Normal 26 115" xfId="3190"/>
    <cellStyle name="Normal 26 116" xfId="3191"/>
    <cellStyle name="Normal 26 117" xfId="3192"/>
    <cellStyle name="Normal 26 118" xfId="3193"/>
    <cellStyle name="Normal 26 119" xfId="3194"/>
    <cellStyle name="Normal 26 12" xfId="3195"/>
    <cellStyle name="Normal 26 120" xfId="3196"/>
    <cellStyle name="Normal 26 121" xfId="3197"/>
    <cellStyle name="Normal 26 122" xfId="3198"/>
    <cellStyle name="Normal 26 123" xfId="3199"/>
    <cellStyle name="Normal 26 124" xfId="3200"/>
    <cellStyle name="Normal 26 125" xfId="3201"/>
    <cellStyle name="Normal 26 126" xfId="3202"/>
    <cellStyle name="Normal 26 127" xfId="3203"/>
    <cellStyle name="Normal 26 128" xfId="3204"/>
    <cellStyle name="Normal 26 129" xfId="3205"/>
    <cellStyle name="Normal 26 13" xfId="3206"/>
    <cellStyle name="Normal 26 130" xfId="3207"/>
    <cellStyle name="Normal 26 131" xfId="3208"/>
    <cellStyle name="Normal 26 132" xfId="3209"/>
    <cellStyle name="Normal 26 133" xfId="3210"/>
    <cellStyle name="Normal 26 134" xfId="3211"/>
    <cellStyle name="Normal 26 135" xfId="3212"/>
    <cellStyle name="Normal 26 136" xfId="3213"/>
    <cellStyle name="Normal 26 137" xfId="3214"/>
    <cellStyle name="Normal 26 138" xfId="3215"/>
    <cellStyle name="Normal 26 139" xfId="3216"/>
    <cellStyle name="Normal 26 14" xfId="3217"/>
    <cellStyle name="Normal 26 140" xfId="3218"/>
    <cellStyle name="Normal 26 141" xfId="3219"/>
    <cellStyle name="Normal 26 142" xfId="3220"/>
    <cellStyle name="Normal 26 143" xfId="3221"/>
    <cellStyle name="Normal 26 144" xfId="3222"/>
    <cellStyle name="Normal 26 145" xfId="3223"/>
    <cellStyle name="Normal 26 146" xfId="3224"/>
    <cellStyle name="Normal 26 147" xfId="3225"/>
    <cellStyle name="Normal 26 148" xfId="3226"/>
    <cellStyle name="Normal 26 149" xfId="3227"/>
    <cellStyle name="Normal 26 15" xfId="3228"/>
    <cellStyle name="Normal 26 150" xfId="3229"/>
    <cellStyle name="Normal 26 151" xfId="3230"/>
    <cellStyle name="Normal 26 152" xfId="3231"/>
    <cellStyle name="Normal 26 153" xfId="3232"/>
    <cellStyle name="Normal 26 154" xfId="3233"/>
    <cellStyle name="Normal 26 155" xfId="3234"/>
    <cellStyle name="Normal 26 156" xfId="3235"/>
    <cellStyle name="Normal 26 157" xfId="3236"/>
    <cellStyle name="Normal 26 158" xfId="3237"/>
    <cellStyle name="Normal 26 159" xfId="3238"/>
    <cellStyle name="Normal 26 16" xfId="3239"/>
    <cellStyle name="Normal 26 160" xfId="3240"/>
    <cellStyle name="Normal 26 161" xfId="3241"/>
    <cellStyle name="Normal 26 162" xfId="3242"/>
    <cellStyle name="Normal 26 163" xfId="3243"/>
    <cellStyle name="Normal 26 164" xfId="3244"/>
    <cellStyle name="Normal 26 165" xfId="3245"/>
    <cellStyle name="Normal 26 166" xfId="3246"/>
    <cellStyle name="Normal 26 167" xfId="3247"/>
    <cellStyle name="Normal 26 168" xfId="3248"/>
    <cellStyle name="Normal 26 169" xfId="3249"/>
    <cellStyle name="Normal 26 17" xfId="3250"/>
    <cellStyle name="Normal 26 170" xfId="3251"/>
    <cellStyle name="Normal 26 171" xfId="3252"/>
    <cellStyle name="Normal 26 172" xfId="3253"/>
    <cellStyle name="Normal 26 173" xfId="3254"/>
    <cellStyle name="Normal 26 174" xfId="3255"/>
    <cellStyle name="Normal 26 175" xfId="3256"/>
    <cellStyle name="Normal 26 176" xfId="3257"/>
    <cellStyle name="Normal 26 177" xfId="3258"/>
    <cellStyle name="Normal 26 178" xfId="3259"/>
    <cellStyle name="Normal 26 179" xfId="3260"/>
    <cellStyle name="Normal 26 18" xfId="3261"/>
    <cellStyle name="Normal 26 180" xfId="3262"/>
    <cellStyle name="Normal 26 181" xfId="3263"/>
    <cellStyle name="Normal 26 182" xfId="3264"/>
    <cellStyle name="Normal 26 183" xfId="3265"/>
    <cellStyle name="Normal 26 184" xfId="3266"/>
    <cellStyle name="Normal 26 185" xfId="3267"/>
    <cellStyle name="Normal 26 186" xfId="3268"/>
    <cellStyle name="Normal 26 187" xfId="3269"/>
    <cellStyle name="Normal 26 188" xfId="3270"/>
    <cellStyle name="Normal 26 189" xfId="3271"/>
    <cellStyle name="Normal 26 19" xfId="3272"/>
    <cellStyle name="Normal 26 190" xfId="3273"/>
    <cellStyle name="Normal 26 191" xfId="3274"/>
    <cellStyle name="Normal 26 192" xfId="3275"/>
    <cellStyle name="Normal 26 193" xfId="3276"/>
    <cellStyle name="Normal 26 194" xfId="3277"/>
    <cellStyle name="Normal 26 195" xfId="3278"/>
    <cellStyle name="Normal 26 196" xfId="3279"/>
    <cellStyle name="Normal 26 197" xfId="3280"/>
    <cellStyle name="Normal 26 198" xfId="3281"/>
    <cellStyle name="Normal 26 2" xfId="3282"/>
    <cellStyle name="Normal 26 20" xfId="3283"/>
    <cellStyle name="Normal 26 21" xfId="3284"/>
    <cellStyle name="Normal 26 22" xfId="3285"/>
    <cellStyle name="Normal 26 23" xfId="3286"/>
    <cellStyle name="Normal 26 24" xfId="3287"/>
    <cellStyle name="Normal 26 25" xfId="3288"/>
    <cellStyle name="Normal 26 26" xfId="3289"/>
    <cellStyle name="Normal 26 27" xfId="3290"/>
    <cellStyle name="Normal 26 28" xfId="3291"/>
    <cellStyle name="Normal 26 29" xfId="3292"/>
    <cellStyle name="Normal 26 3" xfId="3293"/>
    <cellStyle name="Normal 26 30" xfId="3294"/>
    <cellStyle name="Normal 26 31" xfId="3295"/>
    <cellStyle name="Normal 26 32" xfId="3296"/>
    <cellStyle name="Normal 26 33" xfId="3297"/>
    <cellStyle name="Normal 26 34" xfId="3298"/>
    <cellStyle name="Normal 26 35" xfId="3299"/>
    <cellStyle name="Normal 26 36" xfId="3300"/>
    <cellStyle name="Normal 26 37" xfId="3301"/>
    <cellStyle name="Normal 26 38" xfId="3302"/>
    <cellStyle name="Normal 26 39" xfId="3303"/>
    <cellStyle name="Normal 26 4" xfId="3304"/>
    <cellStyle name="Normal 26 40" xfId="3305"/>
    <cellStyle name="Normal 26 41" xfId="3306"/>
    <cellStyle name="Normal 26 42" xfId="3307"/>
    <cellStyle name="Normal 26 43" xfId="3308"/>
    <cellStyle name="Normal 26 44" xfId="3309"/>
    <cellStyle name="Normal 26 45" xfId="3310"/>
    <cellStyle name="Normal 26 46" xfId="3311"/>
    <cellStyle name="Normal 26 47" xfId="3312"/>
    <cellStyle name="Normal 26 48" xfId="3313"/>
    <cellStyle name="Normal 26 49" xfId="3314"/>
    <cellStyle name="Normal 26 5" xfId="3315"/>
    <cellStyle name="Normal 26 50" xfId="3316"/>
    <cellStyle name="Normal 26 51" xfId="3317"/>
    <cellStyle name="Normal 26 52" xfId="3318"/>
    <cellStyle name="Normal 26 53" xfId="3319"/>
    <cellStyle name="Normal 26 54" xfId="3320"/>
    <cellStyle name="Normal 26 55" xfId="3321"/>
    <cellStyle name="Normal 26 56" xfId="3322"/>
    <cellStyle name="Normal 26 57" xfId="3323"/>
    <cellStyle name="Normal 26 58" xfId="3324"/>
    <cellStyle name="Normal 26 59" xfId="3325"/>
    <cellStyle name="Normal 26 6" xfId="3326"/>
    <cellStyle name="Normal 26 60" xfId="3327"/>
    <cellStyle name="Normal 26 61" xfId="3328"/>
    <cellStyle name="Normal 26 62" xfId="3329"/>
    <cellStyle name="Normal 26 63" xfId="3330"/>
    <cellStyle name="Normal 26 64" xfId="3331"/>
    <cellStyle name="Normal 26 65" xfId="3332"/>
    <cellStyle name="Normal 26 66" xfId="3333"/>
    <cellStyle name="Normal 26 67" xfId="3334"/>
    <cellStyle name="Normal 26 68" xfId="3335"/>
    <cellStyle name="Normal 26 69" xfId="3336"/>
    <cellStyle name="Normal 26 7" xfId="3337"/>
    <cellStyle name="Normal 26 70" xfId="3338"/>
    <cellStyle name="Normal 26 71" xfId="3339"/>
    <cellStyle name="Normal 26 72" xfId="3340"/>
    <cellStyle name="Normal 26 73" xfId="3341"/>
    <cellStyle name="Normal 26 74" xfId="3342"/>
    <cellStyle name="Normal 26 75" xfId="3343"/>
    <cellStyle name="Normal 26 76" xfId="3344"/>
    <cellStyle name="Normal 26 77" xfId="3345"/>
    <cellStyle name="Normal 26 78" xfId="3346"/>
    <cellStyle name="Normal 26 79" xfId="3347"/>
    <cellStyle name="Normal 26 8" xfId="3348"/>
    <cellStyle name="Normal 26 80" xfId="3349"/>
    <cellStyle name="Normal 26 81" xfId="3350"/>
    <cellStyle name="Normal 26 82" xfId="3351"/>
    <cellStyle name="Normal 26 83" xfId="3352"/>
    <cellStyle name="Normal 26 84" xfId="3353"/>
    <cellStyle name="Normal 26 85" xfId="3354"/>
    <cellStyle name="Normal 26 86" xfId="3355"/>
    <cellStyle name="Normal 26 87" xfId="3356"/>
    <cellStyle name="Normal 26 88" xfId="3357"/>
    <cellStyle name="Normal 26 89" xfId="3358"/>
    <cellStyle name="Normal 26 9" xfId="3359"/>
    <cellStyle name="Normal 26 90" xfId="3360"/>
    <cellStyle name="Normal 26 91" xfId="3361"/>
    <cellStyle name="Normal 26 92" xfId="3362"/>
    <cellStyle name="Normal 26 93" xfId="3363"/>
    <cellStyle name="Normal 26 94" xfId="3364"/>
    <cellStyle name="Normal 26 95" xfId="3365"/>
    <cellStyle name="Normal 26 96" xfId="3366"/>
    <cellStyle name="Normal 26 97" xfId="3367"/>
    <cellStyle name="Normal 26 98" xfId="3368"/>
    <cellStyle name="Normal 26 99" xfId="3369"/>
    <cellStyle name="Normal 27" xfId="3370"/>
    <cellStyle name="Normal 27 10" xfId="3371"/>
    <cellStyle name="Normal 27 100" xfId="3372"/>
    <cellStyle name="Normal 27 101" xfId="3373"/>
    <cellStyle name="Normal 27 102" xfId="3374"/>
    <cellStyle name="Normal 27 103" xfId="3375"/>
    <cellStyle name="Normal 27 104" xfId="3376"/>
    <cellStyle name="Normal 27 105" xfId="3377"/>
    <cellStyle name="Normal 27 106" xfId="3378"/>
    <cellStyle name="Normal 27 107" xfId="3379"/>
    <cellStyle name="Normal 27 108" xfId="3380"/>
    <cellStyle name="Normal 27 109" xfId="3381"/>
    <cellStyle name="Normal 27 11" xfId="3382"/>
    <cellStyle name="Normal 27 110" xfId="3383"/>
    <cellStyle name="Normal 27 111" xfId="3384"/>
    <cellStyle name="Normal 27 112" xfId="3385"/>
    <cellStyle name="Normal 27 113" xfId="3386"/>
    <cellStyle name="Normal 27 114" xfId="3387"/>
    <cellStyle name="Normal 27 115" xfId="3388"/>
    <cellStyle name="Normal 27 116" xfId="3389"/>
    <cellStyle name="Normal 27 117" xfId="3390"/>
    <cellStyle name="Normal 27 118" xfId="3391"/>
    <cellStyle name="Normal 27 119" xfId="3392"/>
    <cellStyle name="Normal 27 12" xfId="3393"/>
    <cellStyle name="Normal 27 120" xfId="3394"/>
    <cellStyle name="Normal 27 121" xfId="3395"/>
    <cellStyle name="Normal 27 122" xfId="3396"/>
    <cellStyle name="Normal 27 123" xfId="3397"/>
    <cellStyle name="Normal 27 124" xfId="3398"/>
    <cellStyle name="Normal 27 125" xfId="3399"/>
    <cellStyle name="Normal 27 126" xfId="3400"/>
    <cellStyle name="Normal 27 127" xfId="3401"/>
    <cellStyle name="Normal 27 128" xfId="3402"/>
    <cellStyle name="Normal 27 129" xfId="3403"/>
    <cellStyle name="Normal 27 13" xfId="3404"/>
    <cellStyle name="Normal 27 130" xfId="3405"/>
    <cellStyle name="Normal 27 131" xfId="3406"/>
    <cellStyle name="Normal 27 132" xfId="3407"/>
    <cellStyle name="Normal 27 133" xfId="3408"/>
    <cellStyle name="Normal 27 134" xfId="3409"/>
    <cellStyle name="Normal 27 135" xfId="3410"/>
    <cellStyle name="Normal 27 136" xfId="3411"/>
    <cellStyle name="Normal 27 137" xfId="3412"/>
    <cellStyle name="Normal 27 138" xfId="3413"/>
    <cellStyle name="Normal 27 139" xfId="3414"/>
    <cellStyle name="Normal 27 14" xfId="3415"/>
    <cellStyle name="Normal 27 140" xfId="3416"/>
    <cellStyle name="Normal 27 141" xfId="3417"/>
    <cellStyle name="Normal 27 142" xfId="3418"/>
    <cellStyle name="Normal 27 143" xfId="3419"/>
    <cellStyle name="Normal 27 144" xfId="3420"/>
    <cellStyle name="Normal 27 145" xfId="3421"/>
    <cellStyle name="Normal 27 146" xfId="3422"/>
    <cellStyle name="Normal 27 147" xfId="3423"/>
    <cellStyle name="Normal 27 148" xfId="3424"/>
    <cellStyle name="Normal 27 149" xfId="3425"/>
    <cellStyle name="Normal 27 15" xfId="3426"/>
    <cellStyle name="Normal 27 150" xfId="3427"/>
    <cellStyle name="Normal 27 151" xfId="3428"/>
    <cellStyle name="Normal 27 152" xfId="3429"/>
    <cellStyle name="Normal 27 153" xfId="3430"/>
    <cellStyle name="Normal 27 154" xfId="3431"/>
    <cellStyle name="Normal 27 155" xfId="3432"/>
    <cellStyle name="Normal 27 156" xfId="3433"/>
    <cellStyle name="Normal 27 157" xfId="3434"/>
    <cellStyle name="Normal 27 158" xfId="3435"/>
    <cellStyle name="Normal 27 159" xfId="3436"/>
    <cellStyle name="Normal 27 16" xfId="3437"/>
    <cellStyle name="Normal 27 160" xfId="3438"/>
    <cellStyle name="Normal 27 161" xfId="3439"/>
    <cellStyle name="Normal 27 162" xfId="3440"/>
    <cellStyle name="Normal 27 163" xfId="3441"/>
    <cellStyle name="Normal 27 164" xfId="3442"/>
    <cellStyle name="Normal 27 165" xfId="3443"/>
    <cellStyle name="Normal 27 166" xfId="3444"/>
    <cellStyle name="Normal 27 167" xfId="3445"/>
    <cellStyle name="Normal 27 168" xfId="3446"/>
    <cellStyle name="Normal 27 169" xfId="3447"/>
    <cellStyle name="Normal 27 17" xfId="3448"/>
    <cellStyle name="Normal 27 170" xfId="3449"/>
    <cellStyle name="Normal 27 171" xfId="3450"/>
    <cellStyle name="Normal 27 172" xfId="3451"/>
    <cellStyle name="Normal 27 173" xfId="3452"/>
    <cellStyle name="Normal 27 174" xfId="3453"/>
    <cellStyle name="Normal 27 175" xfId="3454"/>
    <cellStyle name="Normal 27 176" xfId="3455"/>
    <cellStyle name="Normal 27 177" xfId="3456"/>
    <cellStyle name="Normal 27 178" xfId="3457"/>
    <cellStyle name="Normal 27 179" xfId="3458"/>
    <cellStyle name="Normal 27 18" xfId="3459"/>
    <cellStyle name="Normal 27 180" xfId="3460"/>
    <cellStyle name="Normal 27 181" xfId="3461"/>
    <cellStyle name="Normal 27 182" xfId="3462"/>
    <cellStyle name="Normal 27 183" xfId="3463"/>
    <cellStyle name="Normal 27 184" xfId="3464"/>
    <cellStyle name="Normal 27 185" xfId="3465"/>
    <cellStyle name="Normal 27 186" xfId="3466"/>
    <cellStyle name="Normal 27 187" xfId="3467"/>
    <cellStyle name="Normal 27 188" xfId="3468"/>
    <cellStyle name="Normal 27 189" xfId="3469"/>
    <cellStyle name="Normal 27 19" xfId="3470"/>
    <cellStyle name="Normal 27 190" xfId="3471"/>
    <cellStyle name="Normal 27 191" xfId="3472"/>
    <cellStyle name="Normal 27 192" xfId="3473"/>
    <cellStyle name="Normal 27 193" xfId="3474"/>
    <cellStyle name="Normal 27 194" xfId="3475"/>
    <cellStyle name="Normal 27 195" xfId="3476"/>
    <cellStyle name="Normal 27 196" xfId="3477"/>
    <cellStyle name="Normal 27 197" xfId="3478"/>
    <cellStyle name="Normal 27 198" xfId="3479"/>
    <cellStyle name="Normal 27 2" xfId="3480"/>
    <cellStyle name="Normal 27 20" xfId="3481"/>
    <cellStyle name="Normal 27 21" xfId="3482"/>
    <cellStyle name="Normal 27 22" xfId="3483"/>
    <cellStyle name="Normal 27 23" xfId="3484"/>
    <cellStyle name="Normal 27 24" xfId="3485"/>
    <cellStyle name="Normal 27 25" xfId="3486"/>
    <cellStyle name="Normal 27 26" xfId="3487"/>
    <cellStyle name="Normal 27 27" xfId="3488"/>
    <cellStyle name="Normal 27 28" xfId="3489"/>
    <cellStyle name="Normal 27 29" xfId="3490"/>
    <cellStyle name="Normal 27 3" xfId="3491"/>
    <cellStyle name="Normal 27 30" xfId="3492"/>
    <cellStyle name="Normal 27 31" xfId="3493"/>
    <cellStyle name="Normal 27 32" xfId="3494"/>
    <cellStyle name="Normal 27 33" xfId="3495"/>
    <cellStyle name="Normal 27 34" xfId="3496"/>
    <cellStyle name="Normal 27 35" xfId="3497"/>
    <cellStyle name="Normal 27 36" xfId="3498"/>
    <cellStyle name="Normal 27 37" xfId="3499"/>
    <cellStyle name="Normal 27 38" xfId="3500"/>
    <cellStyle name="Normal 27 39" xfId="3501"/>
    <cellStyle name="Normal 27 4" xfId="3502"/>
    <cellStyle name="Normal 27 40" xfId="3503"/>
    <cellStyle name="Normal 27 41" xfId="3504"/>
    <cellStyle name="Normal 27 42" xfId="3505"/>
    <cellStyle name="Normal 27 43" xfId="3506"/>
    <cellStyle name="Normal 27 44" xfId="3507"/>
    <cellStyle name="Normal 27 45" xfId="3508"/>
    <cellStyle name="Normal 27 46" xfId="3509"/>
    <cellStyle name="Normal 27 47" xfId="3510"/>
    <cellStyle name="Normal 27 48" xfId="3511"/>
    <cellStyle name="Normal 27 49" xfId="3512"/>
    <cellStyle name="Normal 27 5" xfId="3513"/>
    <cellStyle name="Normal 27 50" xfId="3514"/>
    <cellStyle name="Normal 27 51" xfId="3515"/>
    <cellStyle name="Normal 27 52" xfId="3516"/>
    <cellStyle name="Normal 27 53" xfId="3517"/>
    <cellStyle name="Normal 27 54" xfId="3518"/>
    <cellStyle name="Normal 27 55" xfId="3519"/>
    <cellStyle name="Normal 27 56" xfId="3520"/>
    <cellStyle name="Normal 27 57" xfId="3521"/>
    <cellStyle name="Normal 27 58" xfId="3522"/>
    <cellStyle name="Normal 27 59" xfId="3523"/>
    <cellStyle name="Normal 27 6" xfId="3524"/>
    <cellStyle name="Normal 27 60" xfId="3525"/>
    <cellStyle name="Normal 27 61" xfId="3526"/>
    <cellStyle name="Normal 27 62" xfId="3527"/>
    <cellStyle name="Normal 27 63" xfId="3528"/>
    <cellStyle name="Normal 27 64" xfId="3529"/>
    <cellStyle name="Normal 27 65" xfId="3530"/>
    <cellStyle name="Normal 27 66" xfId="3531"/>
    <cellStyle name="Normal 27 67" xfId="3532"/>
    <cellStyle name="Normal 27 68" xfId="3533"/>
    <cellStyle name="Normal 27 69" xfId="3534"/>
    <cellStyle name="Normal 27 7" xfId="3535"/>
    <cellStyle name="Normal 27 70" xfId="3536"/>
    <cellStyle name="Normal 27 71" xfId="3537"/>
    <cellStyle name="Normal 27 72" xfId="3538"/>
    <cellStyle name="Normal 27 73" xfId="3539"/>
    <cellStyle name="Normal 27 74" xfId="3540"/>
    <cellStyle name="Normal 27 75" xfId="3541"/>
    <cellStyle name="Normal 27 76" xfId="3542"/>
    <cellStyle name="Normal 27 77" xfId="3543"/>
    <cellStyle name="Normal 27 78" xfId="3544"/>
    <cellStyle name="Normal 27 79" xfId="3545"/>
    <cellStyle name="Normal 27 8" xfId="3546"/>
    <cellStyle name="Normal 27 80" xfId="3547"/>
    <cellStyle name="Normal 27 81" xfId="3548"/>
    <cellStyle name="Normal 27 82" xfId="3549"/>
    <cellStyle name="Normal 27 83" xfId="3550"/>
    <cellStyle name="Normal 27 84" xfId="3551"/>
    <cellStyle name="Normal 27 85" xfId="3552"/>
    <cellStyle name="Normal 27 86" xfId="3553"/>
    <cellStyle name="Normal 27 87" xfId="3554"/>
    <cellStyle name="Normal 27 88" xfId="3555"/>
    <cellStyle name="Normal 27 89" xfId="3556"/>
    <cellStyle name="Normal 27 9" xfId="3557"/>
    <cellStyle name="Normal 27 90" xfId="3558"/>
    <cellStyle name="Normal 27 91" xfId="3559"/>
    <cellStyle name="Normal 27 92" xfId="3560"/>
    <cellStyle name="Normal 27 93" xfId="3561"/>
    <cellStyle name="Normal 27 94" xfId="3562"/>
    <cellStyle name="Normal 27 95" xfId="3563"/>
    <cellStyle name="Normal 27 96" xfId="3564"/>
    <cellStyle name="Normal 27 97" xfId="3565"/>
    <cellStyle name="Normal 27 98" xfId="3566"/>
    <cellStyle name="Normal 27 99" xfId="3567"/>
    <cellStyle name="Normal 28" xfId="3568"/>
    <cellStyle name="Normal 28 10" xfId="3569"/>
    <cellStyle name="Normal 28 100" xfId="3570"/>
    <cellStyle name="Normal 28 101" xfId="3571"/>
    <cellStyle name="Normal 28 102" xfId="3572"/>
    <cellStyle name="Normal 28 103" xfId="3573"/>
    <cellStyle name="Normal 28 104" xfId="3574"/>
    <cellStyle name="Normal 28 105" xfId="3575"/>
    <cellStyle name="Normal 28 106" xfId="3576"/>
    <cellStyle name="Normal 28 107" xfId="3577"/>
    <cellStyle name="Normal 28 108" xfId="3578"/>
    <cellStyle name="Normal 28 109" xfId="3579"/>
    <cellStyle name="Normal 28 11" xfId="3580"/>
    <cellStyle name="Normal 28 110" xfId="3581"/>
    <cellStyle name="Normal 28 111" xfId="3582"/>
    <cellStyle name="Normal 28 112" xfId="3583"/>
    <cellStyle name="Normal 28 113" xfId="3584"/>
    <cellStyle name="Normal 28 114" xfId="3585"/>
    <cellStyle name="Normal 28 115" xfId="3586"/>
    <cellStyle name="Normal 28 116" xfId="3587"/>
    <cellStyle name="Normal 28 117" xfId="3588"/>
    <cellStyle name="Normal 28 118" xfId="3589"/>
    <cellStyle name="Normal 28 119" xfId="3590"/>
    <cellStyle name="Normal 28 12" xfId="3591"/>
    <cellStyle name="Normal 28 120" xfId="3592"/>
    <cellStyle name="Normal 28 121" xfId="3593"/>
    <cellStyle name="Normal 28 122" xfId="3594"/>
    <cellStyle name="Normal 28 123" xfId="3595"/>
    <cellStyle name="Normal 28 124" xfId="3596"/>
    <cellStyle name="Normal 28 125" xfId="3597"/>
    <cellStyle name="Normal 28 126" xfId="3598"/>
    <cellStyle name="Normal 28 127" xfId="3599"/>
    <cellStyle name="Normal 28 128" xfId="3600"/>
    <cellStyle name="Normal 28 129" xfId="3601"/>
    <cellStyle name="Normal 28 13" xfId="3602"/>
    <cellStyle name="Normal 28 130" xfId="3603"/>
    <cellStyle name="Normal 28 131" xfId="3604"/>
    <cellStyle name="Normal 28 132" xfId="3605"/>
    <cellStyle name="Normal 28 133" xfId="3606"/>
    <cellStyle name="Normal 28 134" xfId="3607"/>
    <cellStyle name="Normal 28 135" xfId="3608"/>
    <cellStyle name="Normal 28 136" xfId="3609"/>
    <cellStyle name="Normal 28 137" xfId="3610"/>
    <cellStyle name="Normal 28 138" xfId="3611"/>
    <cellStyle name="Normal 28 139" xfId="3612"/>
    <cellStyle name="Normal 28 14" xfId="3613"/>
    <cellStyle name="Normal 28 140" xfId="3614"/>
    <cellStyle name="Normal 28 141" xfId="3615"/>
    <cellStyle name="Normal 28 142" xfId="3616"/>
    <cellStyle name="Normal 28 143" xfId="3617"/>
    <cellStyle name="Normal 28 144" xfId="3618"/>
    <cellStyle name="Normal 28 145" xfId="3619"/>
    <cellStyle name="Normal 28 146" xfId="3620"/>
    <cellStyle name="Normal 28 147" xfId="3621"/>
    <cellStyle name="Normal 28 148" xfId="3622"/>
    <cellStyle name="Normal 28 149" xfId="3623"/>
    <cellStyle name="Normal 28 15" xfId="3624"/>
    <cellStyle name="Normal 28 150" xfId="3625"/>
    <cellStyle name="Normal 28 151" xfId="3626"/>
    <cellStyle name="Normal 28 152" xfId="3627"/>
    <cellStyle name="Normal 28 153" xfId="3628"/>
    <cellStyle name="Normal 28 154" xfId="3629"/>
    <cellStyle name="Normal 28 155" xfId="3630"/>
    <cellStyle name="Normal 28 156" xfId="3631"/>
    <cellStyle name="Normal 28 157" xfId="3632"/>
    <cellStyle name="Normal 28 158" xfId="3633"/>
    <cellStyle name="Normal 28 159" xfId="3634"/>
    <cellStyle name="Normal 28 16" xfId="3635"/>
    <cellStyle name="Normal 28 160" xfId="3636"/>
    <cellStyle name="Normal 28 161" xfId="3637"/>
    <cellStyle name="Normal 28 162" xfId="3638"/>
    <cellStyle name="Normal 28 163" xfId="3639"/>
    <cellStyle name="Normal 28 164" xfId="3640"/>
    <cellStyle name="Normal 28 165" xfId="3641"/>
    <cellStyle name="Normal 28 166" xfId="3642"/>
    <cellStyle name="Normal 28 167" xfId="3643"/>
    <cellStyle name="Normal 28 168" xfId="3644"/>
    <cellStyle name="Normal 28 169" xfId="3645"/>
    <cellStyle name="Normal 28 17" xfId="3646"/>
    <cellStyle name="Normal 28 170" xfId="3647"/>
    <cellStyle name="Normal 28 171" xfId="3648"/>
    <cellStyle name="Normal 28 172" xfId="3649"/>
    <cellStyle name="Normal 28 173" xfId="3650"/>
    <cellStyle name="Normal 28 174" xfId="3651"/>
    <cellStyle name="Normal 28 175" xfId="3652"/>
    <cellStyle name="Normal 28 176" xfId="3653"/>
    <cellStyle name="Normal 28 177" xfId="3654"/>
    <cellStyle name="Normal 28 178" xfId="3655"/>
    <cellStyle name="Normal 28 179" xfId="3656"/>
    <cellStyle name="Normal 28 18" xfId="3657"/>
    <cellStyle name="Normal 28 180" xfId="3658"/>
    <cellStyle name="Normal 28 181" xfId="3659"/>
    <cellStyle name="Normal 28 182" xfId="3660"/>
    <cellStyle name="Normal 28 183" xfId="3661"/>
    <cellStyle name="Normal 28 184" xfId="3662"/>
    <cellStyle name="Normal 28 185" xfId="3663"/>
    <cellStyle name="Normal 28 186" xfId="3664"/>
    <cellStyle name="Normal 28 187" xfId="3665"/>
    <cellStyle name="Normal 28 188" xfId="3666"/>
    <cellStyle name="Normal 28 189" xfId="3667"/>
    <cellStyle name="Normal 28 19" xfId="3668"/>
    <cellStyle name="Normal 28 190" xfId="3669"/>
    <cellStyle name="Normal 28 191" xfId="3670"/>
    <cellStyle name="Normal 28 192" xfId="3671"/>
    <cellStyle name="Normal 28 193" xfId="3672"/>
    <cellStyle name="Normal 28 194" xfId="3673"/>
    <cellStyle name="Normal 28 195" xfId="3674"/>
    <cellStyle name="Normal 28 196" xfId="3675"/>
    <cellStyle name="Normal 28 197" xfId="3676"/>
    <cellStyle name="Normal 28 198" xfId="3677"/>
    <cellStyle name="Normal 28 2" xfId="3678"/>
    <cellStyle name="Normal 28 20" xfId="3679"/>
    <cellStyle name="Normal 28 21" xfId="3680"/>
    <cellStyle name="Normal 28 22" xfId="3681"/>
    <cellStyle name="Normal 28 23" xfId="3682"/>
    <cellStyle name="Normal 28 24" xfId="3683"/>
    <cellStyle name="Normal 28 25" xfId="3684"/>
    <cellStyle name="Normal 28 26" xfId="3685"/>
    <cellStyle name="Normal 28 27" xfId="3686"/>
    <cellStyle name="Normal 28 28" xfId="3687"/>
    <cellStyle name="Normal 28 29" xfId="3688"/>
    <cellStyle name="Normal 28 3" xfId="3689"/>
    <cellStyle name="Normal 28 30" xfId="3690"/>
    <cellStyle name="Normal 28 31" xfId="3691"/>
    <cellStyle name="Normal 28 32" xfId="3692"/>
    <cellStyle name="Normal 28 33" xfId="3693"/>
    <cellStyle name="Normal 28 34" xfId="3694"/>
    <cellStyle name="Normal 28 35" xfId="3695"/>
    <cellStyle name="Normal 28 36" xfId="3696"/>
    <cellStyle name="Normal 28 37" xfId="3697"/>
    <cellStyle name="Normal 28 38" xfId="3698"/>
    <cellStyle name="Normal 28 39" xfId="3699"/>
    <cellStyle name="Normal 28 4" xfId="3700"/>
    <cellStyle name="Normal 28 40" xfId="3701"/>
    <cellStyle name="Normal 28 41" xfId="3702"/>
    <cellStyle name="Normal 28 42" xfId="3703"/>
    <cellStyle name="Normal 28 43" xfId="3704"/>
    <cellStyle name="Normal 28 44" xfId="3705"/>
    <cellStyle name="Normal 28 45" xfId="3706"/>
    <cellStyle name="Normal 28 46" xfId="3707"/>
    <cellStyle name="Normal 28 47" xfId="3708"/>
    <cellStyle name="Normal 28 48" xfId="3709"/>
    <cellStyle name="Normal 28 49" xfId="3710"/>
    <cellStyle name="Normal 28 5" xfId="3711"/>
    <cellStyle name="Normal 28 50" xfId="3712"/>
    <cellStyle name="Normal 28 51" xfId="3713"/>
    <cellStyle name="Normal 28 52" xfId="3714"/>
    <cellStyle name="Normal 28 53" xfId="3715"/>
    <cellStyle name="Normal 28 54" xfId="3716"/>
    <cellStyle name="Normal 28 55" xfId="3717"/>
    <cellStyle name="Normal 28 56" xfId="3718"/>
    <cellStyle name="Normal 28 57" xfId="3719"/>
    <cellStyle name="Normal 28 58" xfId="3720"/>
    <cellStyle name="Normal 28 59" xfId="3721"/>
    <cellStyle name="Normal 28 6" xfId="3722"/>
    <cellStyle name="Normal 28 60" xfId="3723"/>
    <cellStyle name="Normal 28 61" xfId="3724"/>
    <cellStyle name="Normal 28 62" xfId="3725"/>
    <cellStyle name="Normal 28 63" xfId="3726"/>
    <cellStyle name="Normal 28 64" xfId="3727"/>
    <cellStyle name="Normal 28 65" xfId="3728"/>
    <cellStyle name="Normal 28 66" xfId="3729"/>
    <cellStyle name="Normal 28 67" xfId="3730"/>
    <cellStyle name="Normal 28 68" xfId="3731"/>
    <cellStyle name="Normal 28 69" xfId="3732"/>
    <cellStyle name="Normal 28 7" xfId="3733"/>
    <cellStyle name="Normal 28 70" xfId="3734"/>
    <cellStyle name="Normal 28 71" xfId="3735"/>
    <cellStyle name="Normal 28 72" xfId="3736"/>
    <cellStyle name="Normal 28 73" xfId="3737"/>
    <cellStyle name="Normal 28 74" xfId="3738"/>
    <cellStyle name="Normal 28 75" xfId="3739"/>
    <cellStyle name="Normal 28 76" xfId="3740"/>
    <cellStyle name="Normal 28 77" xfId="3741"/>
    <cellStyle name="Normal 28 78" xfId="3742"/>
    <cellStyle name="Normal 28 79" xfId="3743"/>
    <cellStyle name="Normal 28 8" xfId="3744"/>
    <cellStyle name="Normal 28 80" xfId="3745"/>
    <cellStyle name="Normal 28 81" xfId="3746"/>
    <cellStyle name="Normal 28 82" xfId="3747"/>
    <cellStyle name="Normal 28 83" xfId="3748"/>
    <cellStyle name="Normal 28 84" xfId="3749"/>
    <cellStyle name="Normal 28 85" xfId="3750"/>
    <cellStyle name="Normal 28 86" xfId="3751"/>
    <cellStyle name="Normal 28 87" xfId="3752"/>
    <cellStyle name="Normal 28 88" xfId="3753"/>
    <cellStyle name="Normal 28 89" xfId="3754"/>
    <cellStyle name="Normal 28 9" xfId="3755"/>
    <cellStyle name="Normal 28 90" xfId="3756"/>
    <cellStyle name="Normal 28 91" xfId="3757"/>
    <cellStyle name="Normal 28 92" xfId="3758"/>
    <cellStyle name="Normal 28 93" xfId="3759"/>
    <cellStyle name="Normal 28 94" xfId="3760"/>
    <cellStyle name="Normal 28 95" xfId="3761"/>
    <cellStyle name="Normal 28 96" xfId="3762"/>
    <cellStyle name="Normal 28 97" xfId="3763"/>
    <cellStyle name="Normal 28 98" xfId="3764"/>
    <cellStyle name="Normal 28 99" xfId="3765"/>
    <cellStyle name="Normal 29" xfId="3766"/>
    <cellStyle name="Normal 29 10" xfId="3767"/>
    <cellStyle name="Normal 29 100" xfId="3768"/>
    <cellStyle name="Normal 29 101" xfId="3769"/>
    <cellStyle name="Normal 29 102" xfId="3770"/>
    <cellStyle name="Normal 29 103" xfId="3771"/>
    <cellStyle name="Normal 29 104" xfId="3772"/>
    <cellStyle name="Normal 29 105" xfId="3773"/>
    <cellStyle name="Normal 29 106" xfId="3774"/>
    <cellStyle name="Normal 29 107" xfId="3775"/>
    <cellStyle name="Normal 29 108" xfId="3776"/>
    <cellStyle name="Normal 29 109" xfId="3777"/>
    <cellStyle name="Normal 29 11" xfId="3778"/>
    <cellStyle name="Normal 29 110" xfId="3779"/>
    <cellStyle name="Normal 29 111" xfId="3780"/>
    <cellStyle name="Normal 29 112" xfId="3781"/>
    <cellStyle name="Normal 29 113" xfId="3782"/>
    <cellStyle name="Normal 29 114" xfId="3783"/>
    <cellStyle name="Normal 29 115" xfId="3784"/>
    <cellStyle name="Normal 29 116" xfId="3785"/>
    <cellStyle name="Normal 29 117" xfId="3786"/>
    <cellStyle name="Normal 29 118" xfId="3787"/>
    <cellStyle name="Normal 29 119" xfId="3788"/>
    <cellStyle name="Normal 29 12" xfId="3789"/>
    <cellStyle name="Normal 29 120" xfId="3790"/>
    <cellStyle name="Normal 29 121" xfId="3791"/>
    <cellStyle name="Normal 29 122" xfId="3792"/>
    <cellStyle name="Normal 29 123" xfId="3793"/>
    <cellStyle name="Normal 29 124" xfId="3794"/>
    <cellStyle name="Normal 29 125" xfId="3795"/>
    <cellStyle name="Normal 29 126" xfId="3796"/>
    <cellStyle name="Normal 29 127" xfId="3797"/>
    <cellStyle name="Normal 29 128" xfId="3798"/>
    <cellStyle name="Normal 29 129" xfId="3799"/>
    <cellStyle name="Normal 29 13" xfId="3800"/>
    <cellStyle name="Normal 29 130" xfId="3801"/>
    <cellStyle name="Normal 29 131" xfId="3802"/>
    <cellStyle name="Normal 29 132" xfId="3803"/>
    <cellStyle name="Normal 29 133" xfId="3804"/>
    <cellStyle name="Normal 29 134" xfId="3805"/>
    <cellStyle name="Normal 29 135" xfId="3806"/>
    <cellStyle name="Normal 29 136" xfId="3807"/>
    <cellStyle name="Normal 29 137" xfId="3808"/>
    <cellStyle name="Normal 29 138" xfId="3809"/>
    <cellStyle name="Normal 29 139" xfId="3810"/>
    <cellStyle name="Normal 29 14" xfId="3811"/>
    <cellStyle name="Normal 29 140" xfId="3812"/>
    <cellStyle name="Normal 29 141" xfId="3813"/>
    <cellStyle name="Normal 29 142" xfId="3814"/>
    <cellStyle name="Normal 29 143" xfId="3815"/>
    <cellStyle name="Normal 29 144" xfId="3816"/>
    <cellStyle name="Normal 29 145" xfId="3817"/>
    <cellStyle name="Normal 29 146" xfId="3818"/>
    <cellStyle name="Normal 29 147" xfId="3819"/>
    <cellStyle name="Normal 29 148" xfId="3820"/>
    <cellStyle name="Normal 29 149" xfId="3821"/>
    <cellStyle name="Normal 29 15" xfId="3822"/>
    <cellStyle name="Normal 29 150" xfId="3823"/>
    <cellStyle name="Normal 29 151" xfId="3824"/>
    <cellStyle name="Normal 29 152" xfId="3825"/>
    <cellStyle name="Normal 29 153" xfId="3826"/>
    <cellStyle name="Normal 29 154" xfId="3827"/>
    <cellStyle name="Normal 29 155" xfId="3828"/>
    <cellStyle name="Normal 29 156" xfId="3829"/>
    <cellStyle name="Normal 29 157" xfId="3830"/>
    <cellStyle name="Normal 29 158" xfId="3831"/>
    <cellStyle name="Normal 29 159" xfId="3832"/>
    <cellStyle name="Normal 29 16" xfId="3833"/>
    <cellStyle name="Normal 29 160" xfId="3834"/>
    <cellStyle name="Normal 29 161" xfId="3835"/>
    <cellStyle name="Normal 29 162" xfId="3836"/>
    <cellStyle name="Normal 29 163" xfId="3837"/>
    <cellStyle name="Normal 29 164" xfId="3838"/>
    <cellStyle name="Normal 29 165" xfId="3839"/>
    <cellStyle name="Normal 29 166" xfId="3840"/>
    <cellStyle name="Normal 29 167" xfId="3841"/>
    <cellStyle name="Normal 29 168" xfId="3842"/>
    <cellStyle name="Normal 29 169" xfId="3843"/>
    <cellStyle name="Normal 29 17" xfId="3844"/>
    <cellStyle name="Normal 29 170" xfId="3845"/>
    <cellStyle name="Normal 29 171" xfId="3846"/>
    <cellStyle name="Normal 29 172" xfId="3847"/>
    <cellStyle name="Normal 29 173" xfId="3848"/>
    <cellStyle name="Normal 29 174" xfId="3849"/>
    <cellStyle name="Normal 29 175" xfId="3850"/>
    <cellStyle name="Normal 29 176" xfId="3851"/>
    <cellStyle name="Normal 29 177" xfId="3852"/>
    <cellStyle name="Normal 29 178" xfId="3853"/>
    <cellStyle name="Normal 29 179" xfId="3854"/>
    <cellStyle name="Normal 29 18" xfId="3855"/>
    <cellStyle name="Normal 29 180" xfId="3856"/>
    <cellStyle name="Normal 29 181" xfId="3857"/>
    <cellStyle name="Normal 29 182" xfId="3858"/>
    <cellStyle name="Normal 29 183" xfId="3859"/>
    <cellStyle name="Normal 29 184" xfId="3860"/>
    <cellStyle name="Normal 29 185" xfId="3861"/>
    <cellStyle name="Normal 29 186" xfId="3862"/>
    <cellStyle name="Normal 29 187" xfId="3863"/>
    <cellStyle name="Normal 29 188" xfId="3864"/>
    <cellStyle name="Normal 29 189" xfId="3865"/>
    <cellStyle name="Normal 29 19" xfId="3866"/>
    <cellStyle name="Normal 29 190" xfId="3867"/>
    <cellStyle name="Normal 29 191" xfId="3868"/>
    <cellStyle name="Normal 29 192" xfId="3869"/>
    <cellStyle name="Normal 29 193" xfId="3870"/>
    <cellStyle name="Normal 29 194" xfId="3871"/>
    <cellStyle name="Normal 29 195" xfId="3872"/>
    <cellStyle name="Normal 29 196" xfId="3873"/>
    <cellStyle name="Normal 29 197" xfId="3874"/>
    <cellStyle name="Normal 29 198" xfId="3875"/>
    <cellStyle name="Normal 29 2" xfId="3876"/>
    <cellStyle name="Normal 29 20" xfId="3877"/>
    <cellStyle name="Normal 29 21" xfId="3878"/>
    <cellStyle name="Normal 29 22" xfId="3879"/>
    <cellStyle name="Normal 29 23" xfId="3880"/>
    <cellStyle name="Normal 29 24" xfId="3881"/>
    <cellStyle name="Normal 29 25" xfId="3882"/>
    <cellStyle name="Normal 29 26" xfId="3883"/>
    <cellStyle name="Normal 29 27" xfId="3884"/>
    <cellStyle name="Normal 29 28" xfId="3885"/>
    <cellStyle name="Normal 29 29" xfId="3886"/>
    <cellStyle name="Normal 29 3" xfId="3887"/>
    <cellStyle name="Normal 29 30" xfId="3888"/>
    <cellStyle name="Normal 29 31" xfId="3889"/>
    <cellStyle name="Normal 29 32" xfId="3890"/>
    <cellStyle name="Normal 29 33" xfId="3891"/>
    <cellStyle name="Normal 29 34" xfId="3892"/>
    <cellStyle name="Normal 29 35" xfId="3893"/>
    <cellStyle name="Normal 29 36" xfId="3894"/>
    <cellStyle name="Normal 29 37" xfId="3895"/>
    <cellStyle name="Normal 29 38" xfId="3896"/>
    <cellStyle name="Normal 29 39" xfId="3897"/>
    <cellStyle name="Normal 29 4" xfId="3898"/>
    <cellStyle name="Normal 29 40" xfId="3899"/>
    <cellStyle name="Normal 29 41" xfId="3900"/>
    <cellStyle name="Normal 29 42" xfId="3901"/>
    <cellStyle name="Normal 29 43" xfId="3902"/>
    <cellStyle name="Normal 29 44" xfId="3903"/>
    <cellStyle name="Normal 29 45" xfId="3904"/>
    <cellStyle name="Normal 29 46" xfId="3905"/>
    <cellStyle name="Normal 29 47" xfId="3906"/>
    <cellStyle name="Normal 29 48" xfId="3907"/>
    <cellStyle name="Normal 29 49" xfId="3908"/>
    <cellStyle name="Normal 29 5" xfId="3909"/>
    <cellStyle name="Normal 29 50" xfId="3910"/>
    <cellStyle name="Normal 29 51" xfId="3911"/>
    <cellStyle name="Normal 29 52" xfId="3912"/>
    <cellStyle name="Normal 29 53" xfId="3913"/>
    <cellStyle name="Normal 29 54" xfId="3914"/>
    <cellStyle name="Normal 29 55" xfId="3915"/>
    <cellStyle name="Normal 29 56" xfId="3916"/>
    <cellStyle name="Normal 29 57" xfId="3917"/>
    <cellStyle name="Normal 29 58" xfId="3918"/>
    <cellStyle name="Normal 29 59" xfId="3919"/>
    <cellStyle name="Normal 29 6" xfId="3920"/>
    <cellStyle name="Normal 29 60" xfId="3921"/>
    <cellStyle name="Normal 29 61" xfId="3922"/>
    <cellStyle name="Normal 29 62" xfId="3923"/>
    <cellStyle name="Normal 29 63" xfId="3924"/>
    <cellStyle name="Normal 29 64" xfId="3925"/>
    <cellStyle name="Normal 29 65" xfId="3926"/>
    <cellStyle name="Normal 29 66" xfId="3927"/>
    <cellStyle name="Normal 29 67" xfId="3928"/>
    <cellStyle name="Normal 29 68" xfId="3929"/>
    <cellStyle name="Normal 29 69" xfId="3930"/>
    <cellStyle name="Normal 29 7" xfId="3931"/>
    <cellStyle name="Normal 29 70" xfId="3932"/>
    <cellStyle name="Normal 29 71" xfId="3933"/>
    <cellStyle name="Normal 29 72" xfId="3934"/>
    <cellStyle name="Normal 29 73" xfId="3935"/>
    <cellStyle name="Normal 29 74" xfId="3936"/>
    <cellStyle name="Normal 29 75" xfId="3937"/>
    <cellStyle name="Normal 29 76" xfId="3938"/>
    <cellStyle name="Normal 29 77" xfId="3939"/>
    <cellStyle name="Normal 29 78" xfId="3940"/>
    <cellStyle name="Normal 29 79" xfId="3941"/>
    <cellStyle name="Normal 29 8" xfId="3942"/>
    <cellStyle name="Normal 29 80" xfId="3943"/>
    <cellStyle name="Normal 29 81" xfId="3944"/>
    <cellStyle name="Normal 29 82" xfId="3945"/>
    <cellStyle name="Normal 29 83" xfId="3946"/>
    <cellStyle name="Normal 29 84" xfId="3947"/>
    <cellStyle name="Normal 29 85" xfId="3948"/>
    <cellStyle name="Normal 29 86" xfId="3949"/>
    <cellStyle name="Normal 29 87" xfId="3950"/>
    <cellStyle name="Normal 29 88" xfId="3951"/>
    <cellStyle name="Normal 29 89" xfId="3952"/>
    <cellStyle name="Normal 29 9" xfId="3953"/>
    <cellStyle name="Normal 29 90" xfId="3954"/>
    <cellStyle name="Normal 29 91" xfId="3955"/>
    <cellStyle name="Normal 29 92" xfId="3956"/>
    <cellStyle name="Normal 29 93" xfId="3957"/>
    <cellStyle name="Normal 29 94" xfId="3958"/>
    <cellStyle name="Normal 29 95" xfId="3959"/>
    <cellStyle name="Normal 29 96" xfId="3960"/>
    <cellStyle name="Normal 29 97" xfId="3961"/>
    <cellStyle name="Normal 29 98" xfId="3962"/>
    <cellStyle name="Normal 29 99" xfId="3963"/>
    <cellStyle name="Normal 3" xfId="3964"/>
    <cellStyle name="Normal 3 10" xfId="3965"/>
    <cellStyle name="Normal 3 100" xfId="3966"/>
    <cellStyle name="Normal 3 101" xfId="3967"/>
    <cellStyle name="Normal 3 102" xfId="3968"/>
    <cellStyle name="Normal 3 103" xfId="3969"/>
    <cellStyle name="Normal 3 104" xfId="3970"/>
    <cellStyle name="Normal 3 105" xfId="3971"/>
    <cellStyle name="Normal 3 106" xfId="3972"/>
    <cellStyle name="Normal 3 107" xfId="3973"/>
    <cellStyle name="Normal 3 108" xfId="3974"/>
    <cellStyle name="Normal 3 109" xfId="3975"/>
    <cellStyle name="Normal 3 11" xfId="3976"/>
    <cellStyle name="Normal 3 110" xfId="3977"/>
    <cellStyle name="Normal 3 111" xfId="3978"/>
    <cellStyle name="Normal 3 112" xfId="3979"/>
    <cellStyle name="Normal 3 113" xfId="3980"/>
    <cellStyle name="Normal 3 114" xfId="3981"/>
    <cellStyle name="Normal 3 115" xfId="3982"/>
    <cellStyle name="Normal 3 116" xfId="3983"/>
    <cellStyle name="Normal 3 117" xfId="3984"/>
    <cellStyle name="Normal 3 118" xfId="3985"/>
    <cellStyle name="Normal 3 119" xfId="3986"/>
    <cellStyle name="Normal 3 12" xfId="3987"/>
    <cellStyle name="Normal 3 120" xfId="3988"/>
    <cellStyle name="Normal 3 121" xfId="3989"/>
    <cellStyle name="Normal 3 122" xfId="3990"/>
    <cellStyle name="Normal 3 123" xfId="3991"/>
    <cellStyle name="Normal 3 124" xfId="3992"/>
    <cellStyle name="Normal 3 125" xfId="3993"/>
    <cellStyle name="Normal 3 126" xfId="3994"/>
    <cellStyle name="Normal 3 127" xfId="3995"/>
    <cellStyle name="Normal 3 128" xfId="3996"/>
    <cellStyle name="Normal 3 129" xfId="3997"/>
    <cellStyle name="Normal 3 13" xfId="3998"/>
    <cellStyle name="Normal 3 130" xfId="3999"/>
    <cellStyle name="Normal 3 131" xfId="4000"/>
    <cellStyle name="Normal 3 132" xfId="4001"/>
    <cellStyle name="Normal 3 133" xfId="4002"/>
    <cellStyle name="Normal 3 134" xfId="4003"/>
    <cellStyle name="Normal 3 135" xfId="4004"/>
    <cellStyle name="Normal 3 136" xfId="4005"/>
    <cellStyle name="Normal 3 137" xfId="4006"/>
    <cellStyle name="Normal 3 138" xfId="4007"/>
    <cellStyle name="Normal 3 139" xfId="4008"/>
    <cellStyle name="Normal 3 14" xfId="4009"/>
    <cellStyle name="Normal 3 140" xfId="4010"/>
    <cellStyle name="Normal 3 141" xfId="4011"/>
    <cellStyle name="Normal 3 142" xfId="4012"/>
    <cellStyle name="Normal 3 143" xfId="4013"/>
    <cellStyle name="Normal 3 144" xfId="4014"/>
    <cellStyle name="Normal 3 145" xfId="4015"/>
    <cellStyle name="Normal 3 146" xfId="4016"/>
    <cellStyle name="Normal 3 147" xfId="4017"/>
    <cellStyle name="Normal 3 148" xfId="4018"/>
    <cellStyle name="Normal 3 149" xfId="4019"/>
    <cellStyle name="Normal 3 15" xfId="4020"/>
    <cellStyle name="Normal 3 150" xfId="4021"/>
    <cellStyle name="Normal 3 151" xfId="4022"/>
    <cellStyle name="Normal 3 152" xfId="4023"/>
    <cellStyle name="Normal 3 153" xfId="4024"/>
    <cellStyle name="Normal 3 154" xfId="4025"/>
    <cellStyle name="Normal 3 155" xfId="4026"/>
    <cellStyle name="Normal 3 156" xfId="4027"/>
    <cellStyle name="Normal 3 157" xfId="4028"/>
    <cellStyle name="Normal 3 158" xfId="4029"/>
    <cellStyle name="Normal 3 159" xfId="4030"/>
    <cellStyle name="Normal 3 16" xfId="4031"/>
    <cellStyle name="Normal 3 160" xfId="4032"/>
    <cellStyle name="Normal 3 161" xfId="4033"/>
    <cellStyle name="Normal 3 162" xfId="4034"/>
    <cellStyle name="Normal 3 163" xfId="4035"/>
    <cellStyle name="Normal 3 164" xfId="4036"/>
    <cellStyle name="Normal 3 165" xfId="4037"/>
    <cellStyle name="Normal 3 166" xfId="4038"/>
    <cellStyle name="Normal 3 167" xfId="4039"/>
    <cellStyle name="Normal 3 168" xfId="4040"/>
    <cellStyle name="Normal 3 169" xfId="4041"/>
    <cellStyle name="Normal 3 17" xfId="4042"/>
    <cellStyle name="Normal 3 170" xfId="4043"/>
    <cellStyle name="Normal 3 171" xfId="4044"/>
    <cellStyle name="Normal 3 172" xfId="4045"/>
    <cellStyle name="Normal 3 173" xfId="4046"/>
    <cellStyle name="Normal 3 174" xfId="4047"/>
    <cellStyle name="Normal 3 175" xfId="4048"/>
    <cellStyle name="Normal 3 176" xfId="4049"/>
    <cellStyle name="Normal 3 177" xfId="4050"/>
    <cellStyle name="Normal 3 178" xfId="4051"/>
    <cellStyle name="Normal 3 179" xfId="4052"/>
    <cellStyle name="Normal 3 18" xfId="4053"/>
    <cellStyle name="Normal 3 180" xfId="4054"/>
    <cellStyle name="Normal 3 181" xfId="4055"/>
    <cellStyle name="Normal 3 182" xfId="4056"/>
    <cellStyle name="Normal 3 183" xfId="4057"/>
    <cellStyle name="Normal 3 184" xfId="4058"/>
    <cellStyle name="Normal 3 185" xfId="4059"/>
    <cellStyle name="Normal 3 186" xfId="4060"/>
    <cellStyle name="Normal 3 187" xfId="4061"/>
    <cellStyle name="Normal 3 188" xfId="4062"/>
    <cellStyle name="Normal 3 189" xfId="4063"/>
    <cellStyle name="Normal 3 19" xfId="4064"/>
    <cellStyle name="Normal 3 190" xfId="4065"/>
    <cellStyle name="Normal 3 191" xfId="4066"/>
    <cellStyle name="Normal 3 192" xfId="4067"/>
    <cellStyle name="Normal 3 193" xfId="4068"/>
    <cellStyle name="Normal 3 194" xfId="4069"/>
    <cellStyle name="Normal 3 195" xfId="4070"/>
    <cellStyle name="Normal 3 196" xfId="4071"/>
    <cellStyle name="Normal 3 197" xfId="4072"/>
    <cellStyle name="Normal 3 198" xfId="4073"/>
    <cellStyle name="Normal 3 2" xfId="4074"/>
    <cellStyle name="Normal 3 20" xfId="4075"/>
    <cellStyle name="Normal 3 21" xfId="4076"/>
    <cellStyle name="Normal 3 22" xfId="4077"/>
    <cellStyle name="Normal 3 23" xfId="4078"/>
    <cellStyle name="Normal 3 24" xfId="4079"/>
    <cellStyle name="Normal 3 25" xfId="4080"/>
    <cellStyle name="Normal 3 26" xfId="4081"/>
    <cellStyle name="Normal 3 27" xfId="4082"/>
    <cellStyle name="Normal 3 28" xfId="4083"/>
    <cellStyle name="Normal 3 29" xfId="4084"/>
    <cellStyle name="Normal 3 3" xfId="4085"/>
    <cellStyle name="Normal 3 30" xfId="4086"/>
    <cellStyle name="Normal 3 31" xfId="4087"/>
    <cellStyle name="Normal 3 32" xfId="4088"/>
    <cellStyle name="Normal 3 33" xfId="4089"/>
    <cellStyle name="Normal 3 34" xfId="4090"/>
    <cellStyle name="Normal 3 35" xfId="4091"/>
    <cellStyle name="Normal 3 36" xfId="4092"/>
    <cellStyle name="Normal 3 37" xfId="4093"/>
    <cellStyle name="Normal 3 38" xfId="4094"/>
    <cellStyle name="Normal 3 39" xfId="4095"/>
    <cellStyle name="Normal 3 4" xfId="4096"/>
    <cellStyle name="Normal 3 40" xfId="4097"/>
    <cellStyle name="Normal 3 41" xfId="4098"/>
    <cellStyle name="Normal 3 42" xfId="4099"/>
    <cellStyle name="Normal 3 43" xfId="4100"/>
    <cellStyle name="Normal 3 44" xfId="4101"/>
    <cellStyle name="Normal 3 45" xfId="4102"/>
    <cellStyle name="Normal 3 46" xfId="4103"/>
    <cellStyle name="Normal 3 47" xfId="4104"/>
    <cellStyle name="Normal 3 48" xfId="4105"/>
    <cellStyle name="Normal 3 49" xfId="4106"/>
    <cellStyle name="Normal 3 5" xfId="4107"/>
    <cellStyle name="Normal 3 50" xfId="4108"/>
    <cellStyle name="Normal 3 51" xfId="4109"/>
    <cellStyle name="Normal 3 52" xfId="4110"/>
    <cellStyle name="Normal 3 53" xfId="4111"/>
    <cellStyle name="Normal 3 54" xfId="4112"/>
    <cellStyle name="Normal 3 55" xfId="4113"/>
    <cellStyle name="Normal 3 56" xfId="4114"/>
    <cellStyle name="Normal 3 57" xfId="4115"/>
    <cellStyle name="Normal 3 58" xfId="4116"/>
    <cellStyle name="Normal 3 59" xfId="4117"/>
    <cellStyle name="Normal 3 6" xfId="4118"/>
    <cellStyle name="Normal 3 60" xfId="4119"/>
    <cellStyle name="Normal 3 61" xfId="4120"/>
    <cellStyle name="Normal 3 62" xfId="4121"/>
    <cellStyle name="Normal 3 63" xfId="4122"/>
    <cellStyle name="Normal 3 64" xfId="4123"/>
    <cellStyle name="Normal 3 65" xfId="4124"/>
    <cellStyle name="Normal 3 66" xfId="4125"/>
    <cellStyle name="Normal 3 67" xfId="4126"/>
    <cellStyle name="Normal 3 68" xfId="4127"/>
    <cellStyle name="Normal 3 69" xfId="4128"/>
    <cellStyle name="Normal 3 7" xfId="4129"/>
    <cellStyle name="Normal 3 70" xfId="4130"/>
    <cellStyle name="Normal 3 71" xfId="4131"/>
    <cellStyle name="Normal 3 72" xfId="4132"/>
    <cellStyle name="Normal 3 73" xfId="4133"/>
    <cellStyle name="Normal 3 74" xfId="4134"/>
    <cellStyle name="Normal 3 75" xfId="4135"/>
    <cellStyle name="Normal 3 76" xfId="4136"/>
    <cellStyle name="Normal 3 77" xfId="4137"/>
    <cellStyle name="Normal 3 78" xfId="4138"/>
    <cellStyle name="Normal 3 79" xfId="4139"/>
    <cellStyle name="Normal 3 8" xfId="4140"/>
    <cellStyle name="Normal 3 80" xfId="4141"/>
    <cellStyle name="Normal 3 81" xfId="4142"/>
    <cellStyle name="Normal 3 82" xfId="4143"/>
    <cellStyle name="Normal 3 83" xfId="4144"/>
    <cellStyle name="Normal 3 84" xfId="4145"/>
    <cellStyle name="Normal 3 85" xfId="4146"/>
    <cellStyle name="Normal 3 86" xfId="4147"/>
    <cellStyle name="Normal 3 87" xfId="4148"/>
    <cellStyle name="Normal 3 88" xfId="4149"/>
    <cellStyle name="Normal 3 89" xfId="4150"/>
    <cellStyle name="Normal 3 9" xfId="4151"/>
    <cellStyle name="Normal 3 90" xfId="4152"/>
    <cellStyle name="Normal 3 91" xfId="4153"/>
    <cellStyle name="Normal 3 92" xfId="4154"/>
    <cellStyle name="Normal 3 93" xfId="4155"/>
    <cellStyle name="Normal 3 94" xfId="4156"/>
    <cellStyle name="Normal 3 95" xfId="4157"/>
    <cellStyle name="Normal 3 96" xfId="4158"/>
    <cellStyle name="Normal 3 97" xfId="4159"/>
    <cellStyle name="Normal 3 98" xfId="4160"/>
    <cellStyle name="Normal 3 99" xfId="4161"/>
    <cellStyle name="Normal 30" xfId="4162"/>
    <cellStyle name="Normal 30 10" xfId="4163"/>
    <cellStyle name="Normal 30 100" xfId="4164"/>
    <cellStyle name="Normal 30 101" xfId="4165"/>
    <cellStyle name="Normal 30 102" xfId="4166"/>
    <cellStyle name="Normal 30 103" xfId="4167"/>
    <cellStyle name="Normal 30 104" xfId="4168"/>
    <cellStyle name="Normal 30 105" xfId="4169"/>
    <cellStyle name="Normal 30 106" xfId="4170"/>
    <cellStyle name="Normal 30 107" xfId="4171"/>
    <cellStyle name="Normal 30 108" xfId="4172"/>
    <cellStyle name="Normal 30 109" xfId="4173"/>
    <cellStyle name="Normal 30 11" xfId="4174"/>
    <cellStyle name="Normal 30 110" xfId="4175"/>
    <cellStyle name="Normal 30 111" xfId="4176"/>
    <cellStyle name="Normal 30 112" xfId="4177"/>
    <cellStyle name="Normal 30 113" xfId="4178"/>
    <cellStyle name="Normal 30 114" xfId="4179"/>
    <cellStyle name="Normal 30 115" xfId="4180"/>
    <cellStyle name="Normal 30 116" xfId="4181"/>
    <cellStyle name="Normal 30 117" xfId="4182"/>
    <cellStyle name="Normal 30 118" xfId="4183"/>
    <cellStyle name="Normal 30 119" xfId="4184"/>
    <cellStyle name="Normal 30 12" xfId="4185"/>
    <cellStyle name="Normal 30 120" xfId="4186"/>
    <cellStyle name="Normal 30 121" xfId="4187"/>
    <cellStyle name="Normal 30 122" xfId="4188"/>
    <cellStyle name="Normal 30 123" xfId="4189"/>
    <cellStyle name="Normal 30 124" xfId="4190"/>
    <cellStyle name="Normal 30 125" xfId="4191"/>
    <cellStyle name="Normal 30 126" xfId="4192"/>
    <cellStyle name="Normal 30 127" xfId="4193"/>
    <cellStyle name="Normal 30 128" xfId="4194"/>
    <cellStyle name="Normal 30 129" xfId="4195"/>
    <cellStyle name="Normal 30 13" xfId="4196"/>
    <cellStyle name="Normal 30 130" xfId="4197"/>
    <cellStyle name="Normal 30 131" xfId="4198"/>
    <cellStyle name="Normal 30 132" xfId="4199"/>
    <cellStyle name="Normal 30 133" xfId="4200"/>
    <cellStyle name="Normal 30 134" xfId="4201"/>
    <cellStyle name="Normal 30 135" xfId="4202"/>
    <cellStyle name="Normal 30 136" xfId="4203"/>
    <cellStyle name="Normal 30 137" xfId="4204"/>
    <cellStyle name="Normal 30 138" xfId="4205"/>
    <cellStyle name="Normal 30 139" xfId="4206"/>
    <cellStyle name="Normal 30 14" xfId="4207"/>
    <cellStyle name="Normal 30 140" xfId="4208"/>
    <cellStyle name="Normal 30 141" xfId="4209"/>
    <cellStyle name="Normal 30 142" xfId="4210"/>
    <cellStyle name="Normal 30 143" xfId="4211"/>
    <cellStyle name="Normal 30 144" xfId="4212"/>
    <cellStyle name="Normal 30 145" xfId="4213"/>
    <cellStyle name="Normal 30 146" xfId="4214"/>
    <cellStyle name="Normal 30 147" xfId="4215"/>
    <cellStyle name="Normal 30 148" xfId="4216"/>
    <cellStyle name="Normal 30 149" xfId="4217"/>
    <cellStyle name="Normal 30 15" xfId="4218"/>
    <cellStyle name="Normal 30 150" xfId="4219"/>
    <cellStyle name="Normal 30 151" xfId="4220"/>
    <cellStyle name="Normal 30 152" xfId="4221"/>
    <cellStyle name="Normal 30 153" xfId="4222"/>
    <cellStyle name="Normal 30 154" xfId="4223"/>
    <cellStyle name="Normal 30 155" xfId="4224"/>
    <cellStyle name="Normal 30 156" xfId="4225"/>
    <cellStyle name="Normal 30 157" xfId="4226"/>
    <cellStyle name="Normal 30 158" xfId="4227"/>
    <cellStyle name="Normal 30 159" xfId="4228"/>
    <cellStyle name="Normal 30 16" xfId="4229"/>
    <cellStyle name="Normal 30 160" xfId="4230"/>
    <cellStyle name="Normal 30 161" xfId="4231"/>
    <cellStyle name="Normal 30 162" xfId="4232"/>
    <cellStyle name="Normal 30 163" xfId="4233"/>
    <cellStyle name="Normal 30 164" xfId="4234"/>
    <cellStyle name="Normal 30 165" xfId="4235"/>
    <cellStyle name="Normal 30 166" xfId="4236"/>
    <cellStyle name="Normal 30 167" xfId="4237"/>
    <cellStyle name="Normal 30 168" xfId="4238"/>
    <cellStyle name="Normal 30 169" xfId="4239"/>
    <cellStyle name="Normal 30 17" xfId="4240"/>
    <cellStyle name="Normal 30 170" xfId="4241"/>
    <cellStyle name="Normal 30 171" xfId="4242"/>
    <cellStyle name="Normal 30 172" xfId="4243"/>
    <cellStyle name="Normal 30 173" xfId="4244"/>
    <cellStyle name="Normal 30 174" xfId="4245"/>
    <cellStyle name="Normal 30 175" xfId="4246"/>
    <cellStyle name="Normal 30 176" xfId="4247"/>
    <cellStyle name="Normal 30 177" xfId="4248"/>
    <cellStyle name="Normal 30 178" xfId="4249"/>
    <cellStyle name="Normal 30 179" xfId="4250"/>
    <cellStyle name="Normal 30 18" xfId="4251"/>
    <cellStyle name="Normal 30 180" xfId="4252"/>
    <cellStyle name="Normal 30 181" xfId="4253"/>
    <cellStyle name="Normal 30 182" xfId="4254"/>
    <cellStyle name="Normal 30 183" xfId="4255"/>
    <cellStyle name="Normal 30 184" xfId="4256"/>
    <cellStyle name="Normal 30 185" xfId="4257"/>
    <cellStyle name="Normal 30 186" xfId="4258"/>
    <cellStyle name="Normal 30 187" xfId="4259"/>
    <cellStyle name="Normal 30 188" xfId="4260"/>
    <cellStyle name="Normal 30 189" xfId="4261"/>
    <cellStyle name="Normal 30 19" xfId="4262"/>
    <cellStyle name="Normal 30 190" xfId="4263"/>
    <cellStyle name="Normal 30 191" xfId="4264"/>
    <cellStyle name="Normal 30 192" xfId="4265"/>
    <cellStyle name="Normal 30 193" xfId="4266"/>
    <cellStyle name="Normal 30 194" xfId="4267"/>
    <cellStyle name="Normal 30 195" xfId="4268"/>
    <cellStyle name="Normal 30 196" xfId="4269"/>
    <cellStyle name="Normal 30 197" xfId="4270"/>
    <cellStyle name="Normal 30 198" xfId="4271"/>
    <cellStyle name="Normal 30 2" xfId="4272"/>
    <cellStyle name="Normal 30 20" xfId="4273"/>
    <cellStyle name="Normal 30 21" xfId="4274"/>
    <cellStyle name="Normal 30 22" xfId="4275"/>
    <cellStyle name="Normal 30 23" xfId="4276"/>
    <cellStyle name="Normal 30 24" xfId="4277"/>
    <cellStyle name="Normal 30 25" xfId="4278"/>
    <cellStyle name="Normal 30 26" xfId="4279"/>
    <cellStyle name="Normal 30 27" xfId="4280"/>
    <cellStyle name="Normal 30 28" xfId="4281"/>
    <cellStyle name="Normal 30 29" xfId="4282"/>
    <cellStyle name="Normal 30 3" xfId="4283"/>
    <cellStyle name="Normal 30 30" xfId="4284"/>
    <cellStyle name="Normal 30 31" xfId="4285"/>
    <cellStyle name="Normal 30 32" xfId="4286"/>
    <cellStyle name="Normal 30 33" xfId="4287"/>
    <cellStyle name="Normal 30 34" xfId="4288"/>
    <cellStyle name="Normal 30 35" xfId="4289"/>
    <cellStyle name="Normal 30 36" xfId="4290"/>
    <cellStyle name="Normal 30 37" xfId="4291"/>
    <cellStyle name="Normal 30 38" xfId="4292"/>
    <cellStyle name="Normal 30 39" xfId="4293"/>
    <cellStyle name="Normal 30 4" xfId="4294"/>
    <cellStyle name="Normal 30 40" xfId="4295"/>
    <cellStyle name="Normal 30 41" xfId="4296"/>
    <cellStyle name="Normal 30 42" xfId="4297"/>
    <cellStyle name="Normal 30 43" xfId="4298"/>
    <cellStyle name="Normal 30 44" xfId="4299"/>
    <cellStyle name="Normal 30 45" xfId="4300"/>
    <cellStyle name="Normal 30 46" xfId="4301"/>
    <cellStyle name="Normal 30 47" xfId="4302"/>
    <cellStyle name="Normal 30 48" xfId="4303"/>
    <cellStyle name="Normal 30 49" xfId="4304"/>
    <cellStyle name="Normal 30 5" xfId="4305"/>
    <cellStyle name="Normal 30 50" xfId="4306"/>
    <cellStyle name="Normal 30 51" xfId="4307"/>
    <cellStyle name="Normal 30 52" xfId="4308"/>
    <cellStyle name="Normal 30 53" xfId="4309"/>
    <cellStyle name="Normal 30 54" xfId="4310"/>
    <cellStyle name="Normal 30 55" xfId="4311"/>
    <cellStyle name="Normal 30 56" xfId="4312"/>
    <cellStyle name="Normal 30 57" xfId="4313"/>
    <cellStyle name="Normal 30 58" xfId="4314"/>
    <cellStyle name="Normal 30 59" xfId="4315"/>
    <cellStyle name="Normal 30 6" xfId="4316"/>
    <cellStyle name="Normal 30 60" xfId="4317"/>
    <cellStyle name="Normal 30 61" xfId="4318"/>
    <cellStyle name="Normal 30 62" xfId="4319"/>
    <cellStyle name="Normal 30 63" xfId="4320"/>
    <cellStyle name="Normal 30 64" xfId="4321"/>
    <cellStyle name="Normal 30 65" xfId="4322"/>
    <cellStyle name="Normal 30 66" xfId="4323"/>
    <cellStyle name="Normal 30 67" xfId="4324"/>
    <cellStyle name="Normal 30 68" xfId="4325"/>
    <cellStyle name="Normal 30 69" xfId="4326"/>
    <cellStyle name="Normal 30 7" xfId="4327"/>
    <cellStyle name="Normal 30 70" xfId="4328"/>
    <cellStyle name="Normal 30 71" xfId="4329"/>
    <cellStyle name="Normal 30 72" xfId="4330"/>
    <cellStyle name="Normal 30 73" xfId="4331"/>
    <cellStyle name="Normal 30 74" xfId="4332"/>
    <cellStyle name="Normal 30 75" xfId="4333"/>
    <cellStyle name="Normal 30 76" xfId="4334"/>
    <cellStyle name="Normal 30 77" xfId="4335"/>
    <cellStyle name="Normal 30 78" xfId="4336"/>
    <cellStyle name="Normal 30 79" xfId="4337"/>
    <cellStyle name="Normal 30 8" xfId="4338"/>
    <cellStyle name="Normal 30 80" xfId="4339"/>
    <cellStyle name="Normal 30 81" xfId="4340"/>
    <cellStyle name="Normal 30 82" xfId="4341"/>
    <cellStyle name="Normal 30 83" xfId="4342"/>
    <cellStyle name="Normal 30 84" xfId="4343"/>
    <cellStyle name="Normal 30 85" xfId="4344"/>
    <cellStyle name="Normal 30 86" xfId="4345"/>
    <cellStyle name="Normal 30 87" xfId="4346"/>
    <cellStyle name="Normal 30 88" xfId="4347"/>
    <cellStyle name="Normal 30 89" xfId="4348"/>
    <cellStyle name="Normal 30 9" xfId="4349"/>
    <cellStyle name="Normal 30 90" xfId="4350"/>
    <cellStyle name="Normal 30 91" xfId="4351"/>
    <cellStyle name="Normal 30 92" xfId="4352"/>
    <cellStyle name="Normal 30 93" xfId="4353"/>
    <cellStyle name="Normal 30 94" xfId="4354"/>
    <cellStyle name="Normal 30 95" xfId="4355"/>
    <cellStyle name="Normal 30 96" xfId="4356"/>
    <cellStyle name="Normal 30 97" xfId="4357"/>
    <cellStyle name="Normal 30 98" xfId="4358"/>
    <cellStyle name="Normal 30 99" xfId="4359"/>
    <cellStyle name="Normal 31" xfId="4360"/>
    <cellStyle name="Normal 31 10" xfId="4361"/>
    <cellStyle name="Normal 31 100" xfId="4362"/>
    <cellStyle name="Normal 31 101" xfId="4363"/>
    <cellStyle name="Normal 31 102" xfId="4364"/>
    <cellStyle name="Normal 31 103" xfId="4365"/>
    <cellStyle name="Normal 31 104" xfId="4366"/>
    <cellStyle name="Normal 31 105" xfId="4367"/>
    <cellStyle name="Normal 31 106" xfId="4368"/>
    <cellStyle name="Normal 31 107" xfId="4369"/>
    <cellStyle name="Normal 31 108" xfId="4370"/>
    <cellStyle name="Normal 31 109" xfId="4371"/>
    <cellStyle name="Normal 31 11" xfId="4372"/>
    <cellStyle name="Normal 31 110" xfId="4373"/>
    <cellStyle name="Normal 31 111" xfId="4374"/>
    <cellStyle name="Normal 31 112" xfId="4375"/>
    <cellStyle name="Normal 31 113" xfId="4376"/>
    <cellStyle name="Normal 31 114" xfId="4377"/>
    <cellStyle name="Normal 31 115" xfId="4378"/>
    <cellStyle name="Normal 31 116" xfId="4379"/>
    <cellStyle name="Normal 31 117" xfId="4380"/>
    <cellStyle name="Normal 31 118" xfId="4381"/>
    <cellStyle name="Normal 31 119" xfId="4382"/>
    <cellStyle name="Normal 31 12" xfId="4383"/>
    <cellStyle name="Normal 31 120" xfId="4384"/>
    <cellStyle name="Normal 31 121" xfId="4385"/>
    <cellStyle name="Normal 31 122" xfId="4386"/>
    <cellStyle name="Normal 31 123" xfId="4387"/>
    <cellStyle name="Normal 31 124" xfId="4388"/>
    <cellStyle name="Normal 31 125" xfId="4389"/>
    <cellStyle name="Normal 31 126" xfId="4390"/>
    <cellStyle name="Normal 31 127" xfId="4391"/>
    <cellStyle name="Normal 31 128" xfId="4392"/>
    <cellStyle name="Normal 31 129" xfId="4393"/>
    <cellStyle name="Normal 31 13" xfId="4394"/>
    <cellStyle name="Normal 31 130" xfId="4395"/>
    <cellStyle name="Normal 31 131" xfId="4396"/>
    <cellStyle name="Normal 31 132" xfId="4397"/>
    <cellStyle name="Normal 31 133" xfId="4398"/>
    <cellStyle name="Normal 31 134" xfId="4399"/>
    <cellStyle name="Normal 31 135" xfId="4400"/>
    <cellStyle name="Normal 31 136" xfId="4401"/>
    <cellStyle name="Normal 31 137" xfId="4402"/>
    <cellStyle name="Normal 31 138" xfId="4403"/>
    <cellStyle name="Normal 31 139" xfId="4404"/>
    <cellStyle name="Normal 31 14" xfId="4405"/>
    <cellStyle name="Normal 31 140" xfId="4406"/>
    <cellStyle name="Normal 31 141" xfId="4407"/>
    <cellStyle name="Normal 31 142" xfId="4408"/>
    <cellStyle name="Normal 31 143" xfId="4409"/>
    <cellStyle name="Normal 31 144" xfId="4410"/>
    <cellStyle name="Normal 31 145" xfId="4411"/>
    <cellStyle name="Normal 31 146" xfId="4412"/>
    <cellStyle name="Normal 31 147" xfId="4413"/>
    <cellStyle name="Normal 31 148" xfId="4414"/>
    <cellStyle name="Normal 31 149" xfId="4415"/>
    <cellStyle name="Normal 31 15" xfId="4416"/>
    <cellStyle name="Normal 31 150" xfId="4417"/>
    <cellStyle name="Normal 31 151" xfId="4418"/>
    <cellStyle name="Normal 31 152" xfId="4419"/>
    <cellStyle name="Normal 31 153" xfId="4420"/>
    <cellStyle name="Normal 31 154" xfId="4421"/>
    <cellStyle name="Normal 31 155" xfId="4422"/>
    <cellStyle name="Normal 31 156" xfId="4423"/>
    <cellStyle name="Normal 31 157" xfId="4424"/>
    <cellStyle name="Normal 31 158" xfId="4425"/>
    <cellStyle name="Normal 31 159" xfId="4426"/>
    <cellStyle name="Normal 31 16" xfId="4427"/>
    <cellStyle name="Normal 31 160" xfId="4428"/>
    <cellStyle name="Normal 31 161" xfId="4429"/>
    <cellStyle name="Normal 31 162" xfId="4430"/>
    <cellStyle name="Normal 31 163" xfId="4431"/>
    <cellStyle name="Normal 31 164" xfId="4432"/>
    <cellStyle name="Normal 31 165" xfId="4433"/>
    <cellStyle name="Normal 31 166" xfId="4434"/>
    <cellStyle name="Normal 31 167" xfId="4435"/>
    <cellStyle name="Normal 31 168" xfId="4436"/>
    <cellStyle name="Normal 31 169" xfId="4437"/>
    <cellStyle name="Normal 31 17" xfId="4438"/>
    <cellStyle name="Normal 31 170" xfId="4439"/>
    <cellStyle name="Normal 31 171" xfId="4440"/>
    <cellStyle name="Normal 31 172" xfId="4441"/>
    <cellStyle name="Normal 31 173" xfId="4442"/>
    <cellStyle name="Normal 31 174" xfId="4443"/>
    <cellStyle name="Normal 31 175" xfId="4444"/>
    <cellStyle name="Normal 31 176" xfId="4445"/>
    <cellStyle name="Normal 31 177" xfId="4446"/>
    <cellStyle name="Normal 31 178" xfId="4447"/>
    <cellStyle name="Normal 31 179" xfId="4448"/>
    <cellStyle name="Normal 31 18" xfId="4449"/>
    <cellStyle name="Normal 31 180" xfId="4450"/>
    <cellStyle name="Normal 31 181" xfId="4451"/>
    <cellStyle name="Normal 31 182" xfId="4452"/>
    <cellStyle name="Normal 31 183" xfId="4453"/>
    <cellStyle name="Normal 31 184" xfId="4454"/>
    <cellStyle name="Normal 31 185" xfId="4455"/>
    <cellStyle name="Normal 31 186" xfId="4456"/>
    <cellStyle name="Normal 31 187" xfId="4457"/>
    <cellStyle name="Normal 31 188" xfId="4458"/>
    <cellStyle name="Normal 31 189" xfId="4459"/>
    <cellStyle name="Normal 31 19" xfId="4460"/>
    <cellStyle name="Normal 31 190" xfId="4461"/>
    <cellStyle name="Normal 31 191" xfId="4462"/>
    <cellStyle name="Normal 31 192" xfId="4463"/>
    <cellStyle name="Normal 31 193" xfId="4464"/>
    <cellStyle name="Normal 31 194" xfId="4465"/>
    <cellStyle name="Normal 31 195" xfId="4466"/>
    <cellStyle name="Normal 31 196" xfId="4467"/>
    <cellStyle name="Normal 31 197" xfId="4468"/>
    <cellStyle name="Normal 31 198" xfId="4469"/>
    <cellStyle name="Normal 31 2" xfId="4470"/>
    <cellStyle name="Normal 31 20" xfId="4471"/>
    <cellStyle name="Normal 31 21" xfId="4472"/>
    <cellStyle name="Normal 31 22" xfId="4473"/>
    <cellStyle name="Normal 31 23" xfId="4474"/>
    <cellStyle name="Normal 31 24" xfId="4475"/>
    <cellStyle name="Normal 31 25" xfId="4476"/>
    <cellStyle name="Normal 31 26" xfId="4477"/>
    <cellStyle name="Normal 31 27" xfId="4478"/>
    <cellStyle name="Normal 31 28" xfId="4479"/>
    <cellStyle name="Normal 31 29" xfId="4480"/>
    <cellStyle name="Normal 31 3" xfId="4481"/>
    <cellStyle name="Normal 31 30" xfId="4482"/>
    <cellStyle name="Normal 31 31" xfId="4483"/>
    <cellStyle name="Normal 31 32" xfId="4484"/>
    <cellStyle name="Normal 31 33" xfId="4485"/>
    <cellStyle name="Normal 31 34" xfId="4486"/>
    <cellStyle name="Normal 31 35" xfId="4487"/>
    <cellStyle name="Normal 31 36" xfId="4488"/>
    <cellStyle name="Normal 31 37" xfId="4489"/>
    <cellStyle name="Normal 31 38" xfId="4490"/>
    <cellStyle name="Normal 31 39" xfId="4491"/>
    <cellStyle name="Normal 31 4" xfId="4492"/>
    <cellStyle name="Normal 31 40" xfId="4493"/>
    <cellStyle name="Normal 31 41" xfId="4494"/>
    <cellStyle name="Normal 31 42" xfId="4495"/>
    <cellStyle name="Normal 31 43" xfId="4496"/>
    <cellStyle name="Normal 31 44" xfId="4497"/>
    <cellStyle name="Normal 31 45" xfId="4498"/>
    <cellStyle name="Normal 31 46" xfId="4499"/>
    <cellStyle name="Normal 31 47" xfId="4500"/>
    <cellStyle name="Normal 31 48" xfId="4501"/>
    <cellStyle name="Normal 31 49" xfId="4502"/>
    <cellStyle name="Normal 31 5" xfId="4503"/>
    <cellStyle name="Normal 31 50" xfId="4504"/>
    <cellStyle name="Normal 31 51" xfId="4505"/>
    <cellStyle name="Normal 31 52" xfId="4506"/>
    <cellStyle name="Normal 31 53" xfId="4507"/>
    <cellStyle name="Normal 31 54" xfId="4508"/>
    <cellStyle name="Normal 31 55" xfId="4509"/>
    <cellStyle name="Normal 31 56" xfId="4510"/>
    <cellStyle name="Normal 31 57" xfId="4511"/>
    <cellStyle name="Normal 31 58" xfId="4512"/>
    <cellStyle name="Normal 31 59" xfId="4513"/>
    <cellStyle name="Normal 31 6" xfId="4514"/>
    <cellStyle name="Normal 31 60" xfId="4515"/>
    <cellStyle name="Normal 31 61" xfId="4516"/>
    <cellStyle name="Normal 31 62" xfId="4517"/>
    <cellStyle name="Normal 31 63" xfId="4518"/>
    <cellStyle name="Normal 31 64" xfId="4519"/>
    <cellStyle name="Normal 31 65" xfId="4520"/>
    <cellStyle name="Normal 31 66" xfId="4521"/>
    <cellStyle name="Normal 31 67" xfId="4522"/>
    <cellStyle name="Normal 31 68" xfId="4523"/>
    <cellStyle name="Normal 31 69" xfId="4524"/>
    <cellStyle name="Normal 31 7" xfId="4525"/>
    <cellStyle name="Normal 31 70" xfId="4526"/>
    <cellStyle name="Normal 31 71" xfId="4527"/>
    <cellStyle name="Normal 31 72" xfId="4528"/>
    <cellStyle name="Normal 31 73" xfId="4529"/>
    <cellStyle name="Normal 31 74" xfId="4530"/>
    <cellStyle name="Normal 31 75" xfId="4531"/>
    <cellStyle name="Normal 31 76" xfId="4532"/>
    <cellStyle name="Normal 31 77" xfId="4533"/>
    <cellStyle name="Normal 31 78" xfId="4534"/>
    <cellStyle name="Normal 31 79" xfId="4535"/>
    <cellStyle name="Normal 31 8" xfId="4536"/>
    <cellStyle name="Normal 31 80" xfId="4537"/>
    <cellStyle name="Normal 31 81" xfId="4538"/>
    <cellStyle name="Normal 31 82" xfId="4539"/>
    <cellStyle name="Normal 31 83" xfId="4540"/>
    <cellStyle name="Normal 31 84" xfId="4541"/>
    <cellStyle name="Normal 31 85" xfId="4542"/>
    <cellStyle name="Normal 31 86" xfId="4543"/>
    <cellStyle name="Normal 31 87" xfId="4544"/>
    <cellStyle name="Normal 31 88" xfId="4545"/>
    <cellStyle name="Normal 31 89" xfId="4546"/>
    <cellStyle name="Normal 31 9" xfId="4547"/>
    <cellStyle name="Normal 31 90" xfId="4548"/>
    <cellStyle name="Normal 31 91" xfId="4549"/>
    <cellStyle name="Normal 31 92" xfId="4550"/>
    <cellStyle name="Normal 31 93" xfId="4551"/>
    <cellStyle name="Normal 31 94" xfId="4552"/>
    <cellStyle name="Normal 31 95" xfId="4553"/>
    <cellStyle name="Normal 31 96" xfId="4554"/>
    <cellStyle name="Normal 31 97" xfId="4555"/>
    <cellStyle name="Normal 31 98" xfId="4556"/>
    <cellStyle name="Normal 31 99" xfId="4557"/>
    <cellStyle name="Normal 32" xfId="4558"/>
    <cellStyle name="Normal 32 10" xfId="4559"/>
    <cellStyle name="Normal 32 100" xfId="4560"/>
    <cellStyle name="Normal 32 101" xfId="4561"/>
    <cellStyle name="Normal 32 102" xfId="4562"/>
    <cellStyle name="Normal 32 103" xfId="4563"/>
    <cellStyle name="Normal 32 104" xfId="4564"/>
    <cellStyle name="Normal 32 105" xfId="4565"/>
    <cellStyle name="Normal 32 106" xfId="4566"/>
    <cellStyle name="Normal 32 107" xfId="4567"/>
    <cellStyle name="Normal 32 108" xfId="4568"/>
    <cellStyle name="Normal 32 109" xfId="4569"/>
    <cellStyle name="Normal 32 11" xfId="4570"/>
    <cellStyle name="Normal 32 110" xfId="4571"/>
    <cellStyle name="Normal 32 111" xfId="4572"/>
    <cellStyle name="Normal 32 112" xfId="4573"/>
    <cellStyle name="Normal 32 113" xfId="4574"/>
    <cellStyle name="Normal 32 114" xfId="4575"/>
    <cellStyle name="Normal 32 115" xfId="4576"/>
    <cellStyle name="Normal 32 116" xfId="4577"/>
    <cellStyle name="Normal 32 117" xfId="4578"/>
    <cellStyle name="Normal 32 118" xfId="4579"/>
    <cellStyle name="Normal 32 119" xfId="4580"/>
    <cellStyle name="Normal 32 12" xfId="4581"/>
    <cellStyle name="Normal 32 120" xfId="4582"/>
    <cellStyle name="Normal 32 121" xfId="4583"/>
    <cellStyle name="Normal 32 122" xfId="4584"/>
    <cellStyle name="Normal 32 123" xfId="4585"/>
    <cellStyle name="Normal 32 124" xfId="4586"/>
    <cellStyle name="Normal 32 125" xfId="4587"/>
    <cellStyle name="Normal 32 126" xfId="4588"/>
    <cellStyle name="Normal 32 127" xfId="4589"/>
    <cellStyle name="Normal 32 128" xfId="4590"/>
    <cellStyle name="Normal 32 129" xfId="4591"/>
    <cellStyle name="Normal 32 13" xfId="4592"/>
    <cellStyle name="Normal 32 130" xfId="4593"/>
    <cellStyle name="Normal 32 131" xfId="4594"/>
    <cellStyle name="Normal 32 132" xfId="4595"/>
    <cellStyle name="Normal 32 133" xfId="4596"/>
    <cellStyle name="Normal 32 134" xfId="4597"/>
    <cellStyle name="Normal 32 135" xfId="4598"/>
    <cellStyle name="Normal 32 136" xfId="4599"/>
    <cellStyle name="Normal 32 137" xfId="4600"/>
    <cellStyle name="Normal 32 138" xfId="4601"/>
    <cellStyle name="Normal 32 139" xfId="4602"/>
    <cellStyle name="Normal 32 14" xfId="4603"/>
    <cellStyle name="Normal 32 140" xfId="4604"/>
    <cellStyle name="Normal 32 141" xfId="4605"/>
    <cellStyle name="Normal 32 142" xfId="4606"/>
    <cellStyle name="Normal 32 143" xfId="4607"/>
    <cellStyle name="Normal 32 144" xfId="4608"/>
    <cellStyle name="Normal 32 145" xfId="4609"/>
    <cellStyle name="Normal 32 146" xfId="4610"/>
    <cellStyle name="Normal 32 147" xfId="4611"/>
    <cellStyle name="Normal 32 148" xfId="4612"/>
    <cellStyle name="Normal 32 149" xfId="4613"/>
    <cellStyle name="Normal 32 15" xfId="4614"/>
    <cellStyle name="Normal 32 150" xfId="4615"/>
    <cellStyle name="Normal 32 151" xfId="4616"/>
    <cellStyle name="Normal 32 152" xfId="4617"/>
    <cellStyle name="Normal 32 153" xfId="4618"/>
    <cellStyle name="Normal 32 154" xfId="4619"/>
    <cellStyle name="Normal 32 155" xfId="4620"/>
    <cellStyle name="Normal 32 156" xfId="4621"/>
    <cellStyle name="Normal 32 157" xfId="4622"/>
    <cellStyle name="Normal 32 158" xfId="4623"/>
    <cellStyle name="Normal 32 159" xfId="4624"/>
    <cellStyle name="Normal 32 16" xfId="4625"/>
    <cellStyle name="Normal 32 160" xfId="4626"/>
    <cellStyle name="Normal 32 161" xfId="4627"/>
    <cellStyle name="Normal 32 162" xfId="4628"/>
    <cellStyle name="Normal 32 163" xfId="4629"/>
    <cellStyle name="Normal 32 164" xfId="4630"/>
    <cellStyle name="Normal 32 165" xfId="4631"/>
    <cellStyle name="Normal 32 166" xfId="4632"/>
    <cellStyle name="Normal 32 167" xfId="4633"/>
    <cellStyle name="Normal 32 168" xfId="4634"/>
    <cellStyle name="Normal 32 169" xfId="4635"/>
    <cellStyle name="Normal 32 17" xfId="4636"/>
    <cellStyle name="Normal 32 170" xfId="4637"/>
    <cellStyle name="Normal 32 171" xfId="4638"/>
    <cellStyle name="Normal 32 172" xfId="4639"/>
    <cellStyle name="Normal 32 173" xfId="4640"/>
    <cellStyle name="Normal 32 174" xfId="4641"/>
    <cellStyle name="Normal 32 175" xfId="4642"/>
    <cellStyle name="Normal 32 176" xfId="4643"/>
    <cellStyle name="Normal 32 177" xfId="4644"/>
    <cellStyle name="Normal 32 178" xfId="4645"/>
    <cellStyle name="Normal 32 179" xfId="4646"/>
    <cellStyle name="Normal 32 18" xfId="4647"/>
    <cellStyle name="Normal 32 180" xfId="4648"/>
    <cellStyle name="Normal 32 181" xfId="4649"/>
    <cellStyle name="Normal 32 182" xfId="4650"/>
    <cellStyle name="Normal 32 183" xfId="4651"/>
    <cellStyle name="Normal 32 184" xfId="4652"/>
    <cellStyle name="Normal 32 185" xfId="4653"/>
    <cellStyle name="Normal 32 186" xfId="4654"/>
    <cellStyle name="Normal 32 187" xfId="4655"/>
    <cellStyle name="Normal 32 188" xfId="4656"/>
    <cellStyle name="Normal 32 189" xfId="4657"/>
    <cellStyle name="Normal 32 19" xfId="4658"/>
    <cellStyle name="Normal 32 190" xfId="4659"/>
    <cellStyle name="Normal 32 191" xfId="4660"/>
    <cellStyle name="Normal 32 192" xfId="4661"/>
    <cellStyle name="Normal 32 193" xfId="4662"/>
    <cellStyle name="Normal 32 194" xfId="4663"/>
    <cellStyle name="Normal 32 195" xfId="4664"/>
    <cellStyle name="Normal 32 196" xfId="4665"/>
    <cellStyle name="Normal 32 197" xfId="4666"/>
    <cellStyle name="Normal 32 198" xfId="4667"/>
    <cellStyle name="Normal 32 2" xfId="4668"/>
    <cellStyle name="Normal 32 20" xfId="4669"/>
    <cellStyle name="Normal 32 21" xfId="4670"/>
    <cellStyle name="Normal 32 22" xfId="4671"/>
    <cellStyle name="Normal 32 23" xfId="4672"/>
    <cellStyle name="Normal 32 24" xfId="4673"/>
    <cellStyle name="Normal 32 25" xfId="4674"/>
    <cellStyle name="Normal 32 26" xfId="4675"/>
    <cellStyle name="Normal 32 27" xfId="4676"/>
    <cellStyle name="Normal 32 28" xfId="4677"/>
    <cellStyle name="Normal 32 29" xfId="4678"/>
    <cellStyle name="Normal 32 3" xfId="4679"/>
    <cellStyle name="Normal 32 30" xfId="4680"/>
    <cellStyle name="Normal 32 31" xfId="4681"/>
    <cellStyle name="Normal 32 32" xfId="4682"/>
    <cellStyle name="Normal 32 33" xfId="4683"/>
    <cellStyle name="Normal 32 34" xfId="4684"/>
    <cellStyle name="Normal 32 35" xfId="4685"/>
    <cellStyle name="Normal 32 36" xfId="4686"/>
    <cellStyle name="Normal 32 37" xfId="4687"/>
    <cellStyle name="Normal 32 38" xfId="4688"/>
    <cellStyle name="Normal 32 39" xfId="4689"/>
    <cellStyle name="Normal 32 4" xfId="4690"/>
    <cellStyle name="Normal 32 40" xfId="4691"/>
    <cellStyle name="Normal 32 41" xfId="4692"/>
    <cellStyle name="Normal 32 42" xfId="4693"/>
    <cellStyle name="Normal 32 43" xfId="4694"/>
    <cellStyle name="Normal 32 44" xfId="4695"/>
    <cellStyle name="Normal 32 45" xfId="4696"/>
    <cellStyle name="Normal 32 46" xfId="4697"/>
    <cellStyle name="Normal 32 47" xfId="4698"/>
    <cellStyle name="Normal 32 48" xfId="4699"/>
    <cellStyle name="Normal 32 49" xfId="4700"/>
    <cellStyle name="Normal 32 5" xfId="4701"/>
    <cellStyle name="Normal 32 50" xfId="4702"/>
    <cellStyle name="Normal 32 51" xfId="4703"/>
    <cellStyle name="Normal 32 52" xfId="4704"/>
    <cellStyle name="Normal 32 53" xfId="4705"/>
    <cellStyle name="Normal 32 54" xfId="4706"/>
    <cellStyle name="Normal 32 55" xfId="4707"/>
    <cellStyle name="Normal 32 56" xfId="4708"/>
    <cellStyle name="Normal 32 57" xfId="4709"/>
    <cellStyle name="Normal 32 58" xfId="4710"/>
    <cellStyle name="Normal 32 59" xfId="4711"/>
    <cellStyle name="Normal 32 6" xfId="4712"/>
    <cellStyle name="Normal 32 60" xfId="4713"/>
    <cellStyle name="Normal 32 61" xfId="4714"/>
    <cellStyle name="Normal 32 62" xfId="4715"/>
    <cellStyle name="Normal 32 63" xfId="4716"/>
    <cellStyle name="Normal 32 64" xfId="4717"/>
    <cellStyle name="Normal 32 65" xfId="4718"/>
    <cellStyle name="Normal 32 66" xfId="4719"/>
    <cellStyle name="Normal 32 67" xfId="4720"/>
    <cellStyle name="Normal 32 68" xfId="4721"/>
    <cellStyle name="Normal 32 69" xfId="4722"/>
    <cellStyle name="Normal 32 7" xfId="4723"/>
    <cellStyle name="Normal 32 70" xfId="4724"/>
    <cellStyle name="Normal 32 71" xfId="4725"/>
    <cellStyle name="Normal 32 72" xfId="4726"/>
    <cellStyle name="Normal 32 73" xfId="4727"/>
    <cellStyle name="Normal 32 74" xfId="4728"/>
    <cellStyle name="Normal 32 75" xfId="4729"/>
    <cellStyle name="Normal 32 76" xfId="4730"/>
    <cellStyle name="Normal 32 77" xfId="4731"/>
    <cellStyle name="Normal 32 78" xfId="4732"/>
    <cellStyle name="Normal 32 79" xfId="4733"/>
    <cellStyle name="Normal 32 8" xfId="4734"/>
    <cellStyle name="Normal 32 80" xfId="4735"/>
    <cellStyle name="Normal 32 81" xfId="4736"/>
    <cellStyle name="Normal 32 82" xfId="4737"/>
    <cellStyle name="Normal 32 83" xfId="4738"/>
    <cellStyle name="Normal 32 84" xfId="4739"/>
    <cellStyle name="Normal 32 85" xfId="4740"/>
    <cellStyle name="Normal 32 86" xfId="4741"/>
    <cellStyle name="Normal 32 87" xfId="4742"/>
    <cellStyle name="Normal 32 88" xfId="4743"/>
    <cellStyle name="Normal 32 89" xfId="4744"/>
    <cellStyle name="Normal 32 9" xfId="4745"/>
    <cellStyle name="Normal 32 90" xfId="4746"/>
    <cellStyle name="Normal 32 91" xfId="4747"/>
    <cellStyle name="Normal 32 92" xfId="4748"/>
    <cellStyle name="Normal 32 93" xfId="4749"/>
    <cellStyle name="Normal 32 94" xfId="4750"/>
    <cellStyle name="Normal 32 95" xfId="4751"/>
    <cellStyle name="Normal 32 96" xfId="4752"/>
    <cellStyle name="Normal 32 97" xfId="4753"/>
    <cellStyle name="Normal 32 98" xfId="4754"/>
    <cellStyle name="Normal 32 99" xfId="4755"/>
    <cellStyle name="Normal 33" xfId="4756"/>
    <cellStyle name="Normal 33 10" xfId="4757"/>
    <cellStyle name="Normal 33 100" xfId="4758"/>
    <cellStyle name="Normal 33 101" xfId="4759"/>
    <cellStyle name="Normal 33 102" xfId="4760"/>
    <cellStyle name="Normal 33 103" xfId="4761"/>
    <cellStyle name="Normal 33 104" xfId="4762"/>
    <cellStyle name="Normal 33 105" xfId="4763"/>
    <cellStyle name="Normal 33 106" xfId="4764"/>
    <cellStyle name="Normal 33 107" xfId="4765"/>
    <cellStyle name="Normal 33 108" xfId="4766"/>
    <cellStyle name="Normal 33 109" xfId="4767"/>
    <cellStyle name="Normal 33 11" xfId="4768"/>
    <cellStyle name="Normal 33 110" xfId="4769"/>
    <cellStyle name="Normal 33 111" xfId="4770"/>
    <cellStyle name="Normal 33 112" xfId="4771"/>
    <cellStyle name="Normal 33 113" xfId="4772"/>
    <cellStyle name="Normal 33 114" xfId="4773"/>
    <cellStyle name="Normal 33 115" xfId="4774"/>
    <cellStyle name="Normal 33 116" xfId="4775"/>
    <cellStyle name="Normal 33 117" xfId="4776"/>
    <cellStyle name="Normal 33 118" xfId="4777"/>
    <cellStyle name="Normal 33 119" xfId="4778"/>
    <cellStyle name="Normal 33 12" xfId="4779"/>
    <cellStyle name="Normal 33 120" xfId="4780"/>
    <cellStyle name="Normal 33 121" xfId="4781"/>
    <cellStyle name="Normal 33 122" xfId="4782"/>
    <cellStyle name="Normal 33 123" xfId="4783"/>
    <cellStyle name="Normal 33 124" xfId="4784"/>
    <cellStyle name="Normal 33 125" xfId="4785"/>
    <cellStyle name="Normal 33 126" xfId="4786"/>
    <cellStyle name="Normal 33 127" xfId="4787"/>
    <cellStyle name="Normal 33 128" xfId="4788"/>
    <cellStyle name="Normal 33 129" xfId="4789"/>
    <cellStyle name="Normal 33 13" xfId="4790"/>
    <cellStyle name="Normal 33 130" xfId="4791"/>
    <cellStyle name="Normal 33 131" xfId="4792"/>
    <cellStyle name="Normal 33 132" xfId="4793"/>
    <cellStyle name="Normal 33 133" xfId="4794"/>
    <cellStyle name="Normal 33 134" xfId="4795"/>
    <cellStyle name="Normal 33 135" xfId="4796"/>
    <cellStyle name="Normal 33 136" xfId="4797"/>
    <cellStyle name="Normal 33 137" xfId="4798"/>
    <cellStyle name="Normal 33 138" xfId="4799"/>
    <cellStyle name="Normal 33 139" xfId="4800"/>
    <cellStyle name="Normal 33 14" xfId="4801"/>
    <cellStyle name="Normal 33 140" xfId="4802"/>
    <cellStyle name="Normal 33 141" xfId="4803"/>
    <cellStyle name="Normal 33 142" xfId="4804"/>
    <cellStyle name="Normal 33 143" xfId="4805"/>
    <cellStyle name="Normal 33 144" xfId="4806"/>
    <cellStyle name="Normal 33 145" xfId="4807"/>
    <cellStyle name="Normal 33 146" xfId="4808"/>
    <cellStyle name="Normal 33 147" xfId="4809"/>
    <cellStyle name="Normal 33 148" xfId="4810"/>
    <cellStyle name="Normal 33 149" xfId="4811"/>
    <cellStyle name="Normal 33 15" xfId="4812"/>
    <cellStyle name="Normal 33 150" xfId="4813"/>
    <cellStyle name="Normal 33 151" xfId="4814"/>
    <cellStyle name="Normal 33 152" xfId="4815"/>
    <cellStyle name="Normal 33 153" xfId="4816"/>
    <cellStyle name="Normal 33 154" xfId="4817"/>
    <cellStyle name="Normal 33 155" xfId="4818"/>
    <cellStyle name="Normal 33 156" xfId="4819"/>
    <cellStyle name="Normal 33 157" xfId="4820"/>
    <cellStyle name="Normal 33 158" xfId="4821"/>
    <cellStyle name="Normal 33 159" xfId="4822"/>
    <cellStyle name="Normal 33 16" xfId="4823"/>
    <cellStyle name="Normal 33 160" xfId="4824"/>
    <cellStyle name="Normal 33 161" xfId="4825"/>
    <cellStyle name="Normal 33 162" xfId="4826"/>
    <cellStyle name="Normal 33 163" xfId="4827"/>
    <cellStyle name="Normal 33 164" xfId="4828"/>
    <cellStyle name="Normal 33 165" xfId="4829"/>
    <cellStyle name="Normal 33 166" xfId="4830"/>
    <cellStyle name="Normal 33 167" xfId="4831"/>
    <cellStyle name="Normal 33 168" xfId="4832"/>
    <cellStyle name="Normal 33 169" xfId="4833"/>
    <cellStyle name="Normal 33 17" xfId="4834"/>
    <cellStyle name="Normal 33 170" xfId="4835"/>
    <cellStyle name="Normal 33 171" xfId="4836"/>
    <cellStyle name="Normal 33 172" xfId="4837"/>
    <cellStyle name="Normal 33 173" xfId="4838"/>
    <cellStyle name="Normal 33 174" xfId="4839"/>
    <cellStyle name="Normal 33 175" xfId="4840"/>
    <cellStyle name="Normal 33 176" xfId="4841"/>
    <cellStyle name="Normal 33 177" xfId="4842"/>
    <cellStyle name="Normal 33 178" xfId="4843"/>
    <cellStyle name="Normal 33 179" xfId="4844"/>
    <cellStyle name="Normal 33 18" xfId="4845"/>
    <cellStyle name="Normal 33 180" xfId="4846"/>
    <cellStyle name="Normal 33 181" xfId="4847"/>
    <cellStyle name="Normal 33 182" xfId="4848"/>
    <cellStyle name="Normal 33 183" xfId="4849"/>
    <cellStyle name="Normal 33 184" xfId="4850"/>
    <cellStyle name="Normal 33 185" xfId="4851"/>
    <cellStyle name="Normal 33 186" xfId="4852"/>
    <cellStyle name="Normal 33 187" xfId="4853"/>
    <cellStyle name="Normal 33 188" xfId="4854"/>
    <cellStyle name="Normal 33 189" xfId="4855"/>
    <cellStyle name="Normal 33 19" xfId="4856"/>
    <cellStyle name="Normal 33 190" xfId="4857"/>
    <cellStyle name="Normal 33 191" xfId="4858"/>
    <cellStyle name="Normal 33 192" xfId="4859"/>
    <cellStyle name="Normal 33 193" xfId="4860"/>
    <cellStyle name="Normal 33 194" xfId="4861"/>
    <cellStyle name="Normal 33 195" xfId="4862"/>
    <cellStyle name="Normal 33 196" xfId="4863"/>
    <cellStyle name="Normal 33 197" xfId="4864"/>
    <cellStyle name="Normal 33 198" xfId="4865"/>
    <cellStyle name="Normal 33 2" xfId="4866"/>
    <cellStyle name="Normal 33 20" xfId="4867"/>
    <cellStyle name="Normal 33 21" xfId="4868"/>
    <cellStyle name="Normal 33 22" xfId="4869"/>
    <cellStyle name="Normal 33 23" xfId="4870"/>
    <cellStyle name="Normal 33 24" xfId="4871"/>
    <cellStyle name="Normal 33 25" xfId="4872"/>
    <cellStyle name="Normal 33 26" xfId="4873"/>
    <cellStyle name="Normal 33 27" xfId="4874"/>
    <cellStyle name="Normal 33 28" xfId="4875"/>
    <cellStyle name="Normal 33 29" xfId="4876"/>
    <cellStyle name="Normal 33 3" xfId="4877"/>
    <cellStyle name="Normal 33 30" xfId="4878"/>
    <cellStyle name="Normal 33 31" xfId="4879"/>
    <cellStyle name="Normal 33 32" xfId="4880"/>
    <cellStyle name="Normal 33 33" xfId="4881"/>
    <cellStyle name="Normal 33 34" xfId="4882"/>
    <cellStyle name="Normal 33 35" xfId="4883"/>
    <cellStyle name="Normal 33 36" xfId="4884"/>
    <cellStyle name="Normal 33 37" xfId="4885"/>
    <cellStyle name="Normal 33 38" xfId="4886"/>
    <cellStyle name="Normal 33 39" xfId="4887"/>
    <cellStyle name="Normal 33 4" xfId="4888"/>
    <cellStyle name="Normal 33 40" xfId="4889"/>
    <cellStyle name="Normal 33 41" xfId="4890"/>
    <cellStyle name="Normal 33 42" xfId="4891"/>
    <cellStyle name="Normal 33 43" xfId="4892"/>
    <cellStyle name="Normal 33 44" xfId="4893"/>
    <cellStyle name="Normal 33 45" xfId="4894"/>
    <cellStyle name="Normal 33 46" xfId="4895"/>
    <cellStyle name="Normal 33 47" xfId="4896"/>
    <cellStyle name="Normal 33 48" xfId="4897"/>
    <cellStyle name="Normal 33 49" xfId="4898"/>
    <cellStyle name="Normal 33 5" xfId="4899"/>
    <cellStyle name="Normal 33 50" xfId="4900"/>
    <cellStyle name="Normal 33 51" xfId="4901"/>
    <cellStyle name="Normal 33 52" xfId="4902"/>
    <cellStyle name="Normal 33 53" xfId="4903"/>
    <cellStyle name="Normal 33 54" xfId="4904"/>
    <cellStyle name="Normal 33 55" xfId="4905"/>
    <cellStyle name="Normal 33 56" xfId="4906"/>
    <cellStyle name="Normal 33 57" xfId="4907"/>
    <cellStyle name="Normal 33 58" xfId="4908"/>
    <cellStyle name="Normal 33 59" xfId="4909"/>
    <cellStyle name="Normal 33 6" xfId="4910"/>
    <cellStyle name="Normal 33 60" xfId="4911"/>
    <cellStyle name="Normal 33 61" xfId="4912"/>
    <cellStyle name="Normal 33 62" xfId="4913"/>
    <cellStyle name="Normal 33 63" xfId="4914"/>
    <cellStyle name="Normal 33 64" xfId="4915"/>
    <cellStyle name="Normal 33 65" xfId="4916"/>
    <cellStyle name="Normal 33 66" xfId="4917"/>
    <cellStyle name="Normal 33 67" xfId="4918"/>
    <cellStyle name="Normal 33 68" xfId="4919"/>
    <cellStyle name="Normal 33 69" xfId="4920"/>
    <cellStyle name="Normal 33 7" xfId="4921"/>
    <cellStyle name="Normal 33 70" xfId="4922"/>
    <cellStyle name="Normal 33 71" xfId="4923"/>
    <cellStyle name="Normal 33 72" xfId="4924"/>
    <cellStyle name="Normal 33 73" xfId="4925"/>
    <cellStyle name="Normal 33 74" xfId="4926"/>
    <cellStyle name="Normal 33 75" xfId="4927"/>
    <cellStyle name="Normal 33 76" xfId="4928"/>
    <cellStyle name="Normal 33 77" xfId="4929"/>
    <cellStyle name="Normal 33 78" xfId="4930"/>
    <cellStyle name="Normal 33 79" xfId="4931"/>
    <cellStyle name="Normal 33 8" xfId="4932"/>
    <cellStyle name="Normal 33 80" xfId="4933"/>
    <cellStyle name="Normal 33 81" xfId="4934"/>
    <cellStyle name="Normal 33 82" xfId="4935"/>
    <cellStyle name="Normal 33 83" xfId="4936"/>
    <cellStyle name="Normal 33 84" xfId="4937"/>
    <cellStyle name="Normal 33 85" xfId="4938"/>
    <cellStyle name="Normal 33 86" xfId="4939"/>
    <cellStyle name="Normal 33 87" xfId="4940"/>
    <cellStyle name="Normal 33 88" xfId="4941"/>
    <cellStyle name="Normal 33 89" xfId="4942"/>
    <cellStyle name="Normal 33 9" xfId="4943"/>
    <cellStyle name="Normal 33 90" xfId="4944"/>
    <cellStyle name="Normal 33 91" xfId="4945"/>
    <cellStyle name="Normal 33 92" xfId="4946"/>
    <cellStyle name="Normal 33 93" xfId="4947"/>
    <cellStyle name="Normal 33 94" xfId="4948"/>
    <cellStyle name="Normal 33 95" xfId="4949"/>
    <cellStyle name="Normal 33 96" xfId="4950"/>
    <cellStyle name="Normal 33 97" xfId="4951"/>
    <cellStyle name="Normal 33 98" xfId="4952"/>
    <cellStyle name="Normal 33 99" xfId="4953"/>
    <cellStyle name="Normal 34" xfId="4954"/>
    <cellStyle name="Normal 34 10" xfId="4955"/>
    <cellStyle name="Normal 34 100" xfId="4956"/>
    <cellStyle name="Normal 34 101" xfId="4957"/>
    <cellStyle name="Normal 34 102" xfId="4958"/>
    <cellStyle name="Normal 34 103" xfId="4959"/>
    <cellStyle name="Normal 34 104" xfId="4960"/>
    <cellStyle name="Normal 34 105" xfId="4961"/>
    <cellStyle name="Normal 34 106" xfId="4962"/>
    <cellStyle name="Normal 34 107" xfId="4963"/>
    <cellStyle name="Normal 34 108" xfId="4964"/>
    <cellStyle name="Normal 34 109" xfId="4965"/>
    <cellStyle name="Normal 34 11" xfId="4966"/>
    <cellStyle name="Normal 34 110" xfId="4967"/>
    <cellStyle name="Normal 34 111" xfId="4968"/>
    <cellStyle name="Normal 34 112" xfId="4969"/>
    <cellStyle name="Normal 34 113" xfId="4970"/>
    <cellStyle name="Normal 34 114" xfId="4971"/>
    <cellStyle name="Normal 34 115" xfId="4972"/>
    <cellStyle name="Normal 34 116" xfId="4973"/>
    <cellStyle name="Normal 34 117" xfId="4974"/>
    <cellStyle name="Normal 34 118" xfId="4975"/>
    <cellStyle name="Normal 34 119" xfId="4976"/>
    <cellStyle name="Normal 34 12" xfId="4977"/>
    <cellStyle name="Normal 34 120" xfId="4978"/>
    <cellStyle name="Normal 34 121" xfId="4979"/>
    <cellStyle name="Normal 34 122" xfId="4980"/>
    <cellStyle name="Normal 34 123" xfId="4981"/>
    <cellStyle name="Normal 34 124" xfId="4982"/>
    <cellStyle name="Normal 34 125" xfId="4983"/>
    <cellStyle name="Normal 34 126" xfId="4984"/>
    <cellStyle name="Normal 34 127" xfId="4985"/>
    <cellStyle name="Normal 34 128" xfId="4986"/>
    <cellStyle name="Normal 34 129" xfId="4987"/>
    <cellStyle name="Normal 34 13" xfId="4988"/>
    <cellStyle name="Normal 34 130" xfId="4989"/>
    <cellStyle name="Normal 34 131" xfId="4990"/>
    <cellStyle name="Normal 34 132" xfId="4991"/>
    <cellStyle name="Normal 34 133" xfId="4992"/>
    <cellStyle name="Normal 34 134" xfId="4993"/>
    <cellStyle name="Normal 34 135" xfId="4994"/>
    <cellStyle name="Normal 34 136" xfId="4995"/>
    <cellStyle name="Normal 34 137" xfId="4996"/>
    <cellStyle name="Normal 34 138" xfId="4997"/>
    <cellStyle name="Normal 34 139" xfId="4998"/>
    <cellStyle name="Normal 34 14" xfId="4999"/>
    <cellStyle name="Normal 34 140" xfId="5000"/>
    <cellStyle name="Normal 34 141" xfId="5001"/>
    <cellStyle name="Normal 34 142" xfId="5002"/>
    <cellStyle name="Normal 34 143" xfId="5003"/>
    <cellStyle name="Normal 34 144" xfId="5004"/>
    <cellStyle name="Normal 34 145" xfId="5005"/>
    <cellStyle name="Normal 34 146" xfId="5006"/>
    <cellStyle name="Normal 34 147" xfId="5007"/>
    <cellStyle name="Normal 34 148" xfId="5008"/>
    <cellStyle name="Normal 34 149" xfId="5009"/>
    <cellStyle name="Normal 34 15" xfId="5010"/>
    <cellStyle name="Normal 34 150" xfId="5011"/>
    <cellStyle name="Normal 34 151" xfId="5012"/>
    <cellStyle name="Normal 34 152" xfId="5013"/>
    <cellStyle name="Normal 34 153" xfId="5014"/>
    <cellStyle name="Normal 34 154" xfId="5015"/>
    <cellStyle name="Normal 34 155" xfId="5016"/>
    <cellStyle name="Normal 34 156" xfId="5017"/>
    <cellStyle name="Normal 34 157" xfId="5018"/>
    <cellStyle name="Normal 34 158" xfId="5019"/>
    <cellStyle name="Normal 34 159" xfId="5020"/>
    <cellStyle name="Normal 34 16" xfId="5021"/>
    <cellStyle name="Normal 34 160" xfId="5022"/>
    <cellStyle name="Normal 34 161" xfId="5023"/>
    <cellStyle name="Normal 34 162" xfId="5024"/>
    <cellStyle name="Normal 34 163" xfId="5025"/>
    <cellStyle name="Normal 34 164" xfId="5026"/>
    <cellStyle name="Normal 34 165" xfId="5027"/>
    <cellStyle name="Normal 34 166" xfId="5028"/>
    <cellStyle name="Normal 34 167" xfId="5029"/>
    <cellStyle name="Normal 34 168" xfId="5030"/>
    <cellStyle name="Normal 34 169" xfId="5031"/>
    <cellStyle name="Normal 34 17" xfId="5032"/>
    <cellStyle name="Normal 34 170" xfId="5033"/>
    <cellStyle name="Normal 34 171" xfId="5034"/>
    <cellStyle name="Normal 34 172" xfId="5035"/>
    <cellStyle name="Normal 34 173" xfId="5036"/>
    <cellStyle name="Normal 34 174" xfId="5037"/>
    <cellStyle name="Normal 34 175" xfId="5038"/>
    <cellStyle name="Normal 34 176" xfId="5039"/>
    <cellStyle name="Normal 34 177" xfId="5040"/>
    <cellStyle name="Normal 34 178" xfId="5041"/>
    <cellStyle name="Normal 34 179" xfId="5042"/>
    <cellStyle name="Normal 34 18" xfId="5043"/>
    <cellStyle name="Normal 34 180" xfId="5044"/>
    <cellStyle name="Normal 34 181" xfId="5045"/>
    <cellStyle name="Normal 34 182" xfId="5046"/>
    <cellStyle name="Normal 34 183" xfId="5047"/>
    <cellStyle name="Normal 34 184" xfId="5048"/>
    <cellStyle name="Normal 34 185" xfId="5049"/>
    <cellStyle name="Normal 34 186" xfId="5050"/>
    <cellStyle name="Normal 34 187" xfId="5051"/>
    <cellStyle name="Normal 34 188" xfId="5052"/>
    <cellStyle name="Normal 34 189" xfId="5053"/>
    <cellStyle name="Normal 34 19" xfId="5054"/>
    <cellStyle name="Normal 34 190" xfId="5055"/>
    <cellStyle name="Normal 34 191" xfId="5056"/>
    <cellStyle name="Normal 34 192" xfId="5057"/>
    <cellStyle name="Normal 34 193" xfId="5058"/>
    <cellStyle name="Normal 34 194" xfId="5059"/>
    <cellStyle name="Normal 34 195" xfId="5060"/>
    <cellStyle name="Normal 34 196" xfId="5061"/>
    <cellStyle name="Normal 34 197" xfId="5062"/>
    <cellStyle name="Normal 34 198" xfId="5063"/>
    <cellStyle name="Normal 34 2" xfId="5064"/>
    <cellStyle name="Normal 34 20" xfId="5065"/>
    <cellStyle name="Normal 34 21" xfId="5066"/>
    <cellStyle name="Normal 34 22" xfId="5067"/>
    <cellStyle name="Normal 34 23" xfId="5068"/>
    <cellStyle name="Normal 34 24" xfId="5069"/>
    <cellStyle name="Normal 34 25" xfId="5070"/>
    <cellStyle name="Normal 34 26" xfId="5071"/>
    <cellStyle name="Normal 34 27" xfId="5072"/>
    <cellStyle name="Normal 34 28" xfId="5073"/>
    <cellStyle name="Normal 34 29" xfId="5074"/>
    <cellStyle name="Normal 34 3" xfId="5075"/>
    <cellStyle name="Normal 34 30" xfId="5076"/>
    <cellStyle name="Normal 34 31" xfId="5077"/>
    <cellStyle name="Normal 34 32" xfId="5078"/>
    <cellStyle name="Normal 34 33" xfId="5079"/>
    <cellStyle name="Normal 34 34" xfId="5080"/>
    <cellStyle name="Normal 34 35" xfId="5081"/>
    <cellStyle name="Normal 34 36" xfId="5082"/>
    <cellStyle name="Normal 34 37" xfId="5083"/>
    <cellStyle name="Normal 34 38" xfId="5084"/>
    <cellStyle name="Normal 34 39" xfId="5085"/>
    <cellStyle name="Normal 34 4" xfId="5086"/>
    <cellStyle name="Normal 34 40" xfId="5087"/>
    <cellStyle name="Normal 34 41" xfId="5088"/>
    <cellStyle name="Normal 34 42" xfId="5089"/>
    <cellStyle name="Normal 34 43" xfId="5090"/>
    <cellStyle name="Normal 34 44" xfId="5091"/>
    <cellStyle name="Normal 34 45" xfId="5092"/>
    <cellStyle name="Normal 34 46" xfId="5093"/>
    <cellStyle name="Normal 34 47" xfId="5094"/>
    <cellStyle name="Normal 34 48" xfId="5095"/>
    <cellStyle name="Normal 34 49" xfId="5096"/>
    <cellStyle name="Normal 34 5" xfId="5097"/>
    <cellStyle name="Normal 34 50" xfId="5098"/>
    <cellStyle name="Normal 34 51" xfId="5099"/>
    <cellStyle name="Normal 34 52" xfId="5100"/>
    <cellStyle name="Normal 34 53" xfId="5101"/>
    <cellStyle name="Normal 34 54" xfId="5102"/>
    <cellStyle name="Normal 34 55" xfId="5103"/>
    <cellStyle name="Normal 34 56" xfId="5104"/>
    <cellStyle name="Normal 34 57" xfId="5105"/>
    <cellStyle name="Normal 34 58" xfId="5106"/>
    <cellStyle name="Normal 34 59" xfId="5107"/>
    <cellStyle name="Normal 34 6" xfId="5108"/>
    <cellStyle name="Normal 34 60" xfId="5109"/>
    <cellStyle name="Normal 34 61" xfId="5110"/>
    <cellStyle name="Normal 34 62" xfId="5111"/>
    <cellStyle name="Normal 34 63" xfId="5112"/>
    <cellStyle name="Normal 34 64" xfId="5113"/>
    <cellStyle name="Normal 34 65" xfId="5114"/>
    <cellStyle name="Normal 34 66" xfId="5115"/>
    <cellStyle name="Normal 34 67" xfId="5116"/>
    <cellStyle name="Normal 34 68" xfId="5117"/>
    <cellStyle name="Normal 34 69" xfId="5118"/>
    <cellStyle name="Normal 34 7" xfId="5119"/>
    <cellStyle name="Normal 34 70" xfId="5120"/>
    <cellStyle name="Normal 34 71" xfId="5121"/>
    <cellStyle name="Normal 34 72" xfId="5122"/>
    <cellStyle name="Normal 34 73" xfId="5123"/>
    <cellStyle name="Normal 34 74" xfId="5124"/>
    <cellStyle name="Normal 34 75" xfId="5125"/>
    <cellStyle name="Normal 34 76" xfId="5126"/>
    <cellStyle name="Normal 34 77" xfId="5127"/>
    <cellStyle name="Normal 34 78" xfId="5128"/>
    <cellStyle name="Normal 34 79" xfId="5129"/>
    <cellStyle name="Normal 34 8" xfId="5130"/>
    <cellStyle name="Normal 34 80" xfId="5131"/>
    <cellStyle name="Normal 34 81" xfId="5132"/>
    <cellStyle name="Normal 34 82" xfId="5133"/>
    <cellStyle name="Normal 34 83" xfId="5134"/>
    <cellStyle name="Normal 34 84" xfId="5135"/>
    <cellStyle name="Normal 34 85" xfId="5136"/>
    <cellStyle name="Normal 34 86" xfId="5137"/>
    <cellStyle name="Normal 34 87" xfId="5138"/>
    <cellStyle name="Normal 34 88" xfId="5139"/>
    <cellStyle name="Normal 34 89" xfId="5140"/>
    <cellStyle name="Normal 34 9" xfId="5141"/>
    <cellStyle name="Normal 34 90" xfId="5142"/>
    <cellStyle name="Normal 34 91" xfId="5143"/>
    <cellStyle name="Normal 34 92" xfId="5144"/>
    <cellStyle name="Normal 34 93" xfId="5145"/>
    <cellStyle name="Normal 34 94" xfId="5146"/>
    <cellStyle name="Normal 34 95" xfId="5147"/>
    <cellStyle name="Normal 34 96" xfId="5148"/>
    <cellStyle name="Normal 34 97" xfId="5149"/>
    <cellStyle name="Normal 34 98" xfId="5150"/>
    <cellStyle name="Normal 34 99" xfId="5151"/>
    <cellStyle name="Normal 35" xfId="5152"/>
    <cellStyle name="Normal 35 10" xfId="5153"/>
    <cellStyle name="Normal 35 100" xfId="5154"/>
    <cellStyle name="Normal 35 101" xfId="5155"/>
    <cellStyle name="Normal 35 102" xfId="5156"/>
    <cellStyle name="Normal 35 103" xfId="5157"/>
    <cellStyle name="Normal 35 104" xfId="5158"/>
    <cellStyle name="Normal 35 105" xfId="5159"/>
    <cellStyle name="Normal 35 106" xfId="5160"/>
    <cellStyle name="Normal 35 107" xfId="5161"/>
    <cellStyle name="Normal 35 108" xfId="5162"/>
    <cellStyle name="Normal 35 109" xfId="5163"/>
    <cellStyle name="Normal 35 11" xfId="5164"/>
    <cellStyle name="Normal 35 110" xfId="5165"/>
    <cellStyle name="Normal 35 111" xfId="5166"/>
    <cellStyle name="Normal 35 112" xfId="5167"/>
    <cellStyle name="Normal 35 113" xfId="5168"/>
    <cellStyle name="Normal 35 114" xfId="5169"/>
    <cellStyle name="Normal 35 115" xfId="5170"/>
    <cellStyle name="Normal 35 116" xfId="5171"/>
    <cellStyle name="Normal 35 117" xfId="5172"/>
    <cellStyle name="Normal 35 118" xfId="5173"/>
    <cellStyle name="Normal 35 119" xfId="5174"/>
    <cellStyle name="Normal 35 12" xfId="5175"/>
    <cellStyle name="Normal 35 120" xfId="5176"/>
    <cellStyle name="Normal 35 121" xfId="5177"/>
    <cellStyle name="Normal 35 122" xfId="5178"/>
    <cellStyle name="Normal 35 123" xfId="5179"/>
    <cellStyle name="Normal 35 124" xfId="5180"/>
    <cellStyle name="Normal 35 125" xfId="5181"/>
    <cellStyle name="Normal 35 126" xfId="5182"/>
    <cellStyle name="Normal 35 127" xfId="5183"/>
    <cellStyle name="Normal 35 128" xfId="5184"/>
    <cellStyle name="Normal 35 129" xfId="5185"/>
    <cellStyle name="Normal 35 13" xfId="5186"/>
    <cellStyle name="Normal 35 130" xfId="5187"/>
    <cellStyle name="Normal 35 131" xfId="5188"/>
    <cellStyle name="Normal 35 132" xfId="5189"/>
    <cellStyle name="Normal 35 133" xfId="5190"/>
    <cellStyle name="Normal 35 134" xfId="5191"/>
    <cellStyle name="Normal 35 135" xfId="5192"/>
    <cellStyle name="Normal 35 136" xfId="5193"/>
    <cellStyle name="Normal 35 137" xfId="5194"/>
    <cellStyle name="Normal 35 138" xfId="5195"/>
    <cellStyle name="Normal 35 139" xfId="5196"/>
    <cellStyle name="Normal 35 14" xfId="5197"/>
    <cellStyle name="Normal 35 140" xfId="5198"/>
    <cellStyle name="Normal 35 141" xfId="5199"/>
    <cellStyle name="Normal 35 142" xfId="5200"/>
    <cellStyle name="Normal 35 143" xfId="5201"/>
    <cellStyle name="Normal 35 144" xfId="5202"/>
    <cellStyle name="Normal 35 145" xfId="5203"/>
    <cellStyle name="Normal 35 146" xfId="5204"/>
    <cellStyle name="Normal 35 147" xfId="5205"/>
    <cellStyle name="Normal 35 148" xfId="5206"/>
    <cellStyle name="Normal 35 149" xfId="5207"/>
    <cellStyle name="Normal 35 15" xfId="5208"/>
    <cellStyle name="Normal 35 150" xfId="5209"/>
    <cellStyle name="Normal 35 151" xfId="5210"/>
    <cellStyle name="Normal 35 152" xfId="5211"/>
    <cellStyle name="Normal 35 153" xfId="5212"/>
    <cellStyle name="Normal 35 154" xfId="5213"/>
    <cellStyle name="Normal 35 155" xfId="5214"/>
    <cellStyle name="Normal 35 156" xfId="5215"/>
    <cellStyle name="Normal 35 157" xfId="5216"/>
    <cellStyle name="Normal 35 158" xfId="5217"/>
    <cellStyle name="Normal 35 159" xfId="5218"/>
    <cellStyle name="Normal 35 16" xfId="5219"/>
    <cellStyle name="Normal 35 160" xfId="5220"/>
    <cellStyle name="Normal 35 161" xfId="5221"/>
    <cellStyle name="Normal 35 162" xfId="5222"/>
    <cellStyle name="Normal 35 163" xfId="5223"/>
    <cellStyle name="Normal 35 164" xfId="5224"/>
    <cellStyle name="Normal 35 165" xfId="5225"/>
    <cellStyle name="Normal 35 166" xfId="5226"/>
    <cellStyle name="Normal 35 167" xfId="5227"/>
    <cellStyle name="Normal 35 168" xfId="5228"/>
    <cellStyle name="Normal 35 169" xfId="5229"/>
    <cellStyle name="Normal 35 17" xfId="5230"/>
    <cellStyle name="Normal 35 170" xfId="5231"/>
    <cellStyle name="Normal 35 171" xfId="5232"/>
    <cellStyle name="Normal 35 172" xfId="5233"/>
    <cellStyle name="Normal 35 173" xfId="5234"/>
    <cellStyle name="Normal 35 174" xfId="5235"/>
    <cellStyle name="Normal 35 175" xfId="5236"/>
    <cellStyle name="Normal 35 176" xfId="5237"/>
    <cellStyle name="Normal 35 177" xfId="5238"/>
    <cellStyle name="Normal 35 178" xfId="5239"/>
    <cellStyle name="Normal 35 179" xfId="5240"/>
    <cellStyle name="Normal 35 18" xfId="5241"/>
    <cellStyle name="Normal 35 180" xfId="5242"/>
    <cellStyle name="Normal 35 181" xfId="5243"/>
    <cellStyle name="Normal 35 182" xfId="5244"/>
    <cellStyle name="Normal 35 183" xfId="5245"/>
    <cellStyle name="Normal 35 184" xfId="5246"/>
    <cellStyle name="Normal 35 185" xfId="5247"/>
    <cellStyle name="Normal 35 186" xfId="5248"/>
    <cellStyle name="Normal 35 187" xfId="5249"/>
    <cellStyle name="Normal 35 188" xfId="5250"/>
    <cellStyle name="Normal 35 189" xfId="5251"/>
    <cellStyle name="Normal 35 19" xfId="5252"/>
    <cellStyle name="Normal 35 190" xfId="5253"/>
    <cellStyle name="Normal 35 191" xfId="5254"/>
    <cellStyle name="Normal 35 192" xfId="5255"/>
    <cellStyle name="Normal 35 193" xfId="5256"/>
    <cellStyle name="Normal 35 194" xfId="5257"/>
    <cellStyle name="Normal 35 195" xfId="5258"/>
    <cellStyle name="Normal 35 196" xfId="5259"/>
    <cellStyle name="Normal 35 197" xfId="5260"/>
    <cellStyle name="Normal 35 198" xfId="5261"/>
    <cellStyle name="Normal 35 2" xfId="5262"/>
    <cellStyle name="Normal 35 20" xfId="5263"/>
    <cellStyle name="Normal 35 21" xfId="5264"/>
    <cellStyle name="Normal 35 22" xfId="5265"/>
    <cellStyle name="Normal 35 23" xfId="5266"/>
    <cellStyle name="Normal 35 24" xfId="5267"/>
    <cellStyle name="Normal 35 25" xfId="5268"/>
    <cellStyle name="Normal 35 26" xfId="5269"/>
    <cellStyle name="Normal 35 27" xfId="5270"/>
    <cellStyle name="Normal 35 28" xfId="5271"/>
    <cellStyle name="Normal 35 29" xfId="5272"/>
    <cellStyle name="Normal 35 3" xfId="5273"/>
    <cellStyle name="Normal 35 30" xfId="5274"/>
    <cellStyle name="Normal 35 31" xfId="5275"/>
    <cellStyle name="Normal 35 32" xfId="5276"/>
    <cellStyle name="Normal 35 33" xfId="5277"/>
    <cellStyle name="Normal 35 34" xfId="5278"/>
    <cellStyle name="Normal 35 35" xfId="5279"/>
    <cellStyle name="Normal 35 36" xfId="5280"/>
    <cellStyle name="Normal 35 37" xfId="5281"/>
    <cellStyle name="Normal 35 38" xfId="5282"/>
    <cellStyle name="Normal 35 39" xfId="5283"/>
    <cellStyle name="Normal 35 4" xfId="5284"/>
    <cellStyle name="Normal 35 40" xfId="5285"/>
    <cellStyle name="Normal 35 41" xfId="5286"/>
    <cellStyle name="Normal 35 42" xfId="5287"/>
    <cellStyle name="Normal 35 43" xfId="5288"/>
    <cellStyle name="Normal 35 44" xfId="5289"/>
    <cellStyle name="Normal 35 45" xfId="5290"/>
    <cellStyle name="Normal 35 46" xfId="5291"/>
    <cellStyle name="Normal 35 47" xfId="5292"/>
    <cellStyle name="Normal 35 48" xfId="5293"/>
    <cellStyle name="Normal 35 49" xfId="5294"/>
    <cellStyle name="Normal 35 5" xfId="5295"/>
    <cellStyle name="Normal 35 50" xfId="5296"/>
    <cellStyle name="Normal 35 51" xfId="5297"/>
    <cellStyle name="Normal 35 52" xfId="5298"/>
    <cellStyle name="Normal 35 53" xfId="5299"/>
    <cellStyle name="Normal 35 54" xfId="5300"/>
    <cellStyle name="Normal 35 55" xfId="5301"/>
    <cellStyle name="Normal 35 56" xfId="5302"/>
    <cellStyle name="Normal 35 57" xfId="5303"/>
    <cellStyle name="Normal 35 58" xfId="5304"/>
    <cellStyle name="Normal 35 59" xfId="5305"/>
    <cellStyle name="Normal 35 6" xfId="5306"/>
    <cellStyle name="Normal 35 60" xfId="5307"/>
    <cellStyle name="Normal 35 61" xfId="5308"/>
    <cellStyle name="Normal 35 62" xfId="5309"/>
    <cellStyle name="Normal 35 63" xfId="5310"/>
    <cellStyle name="Normal 35 64" xfId="5311"/>
    <cellStyle name="Normal 35 65" xfId="5312"/>
    <cellStyle name="Normal 35 66" xfId="5313"/>
    <cellStyle name="Normal 35 67" xfId="5314"/>
    <cellStyle name="Normal 35 68" xfId="5315"/>
    <cellStyle name="Normal 35 69" xfId="5316"/>
    <cellStyle name="Normal 35 7" xfId="5317"/>
    <cellStyle name="Normal 35 70" xfId="5318"/>
    <cellStyle name="Normal 35 71" xfId="5319"/>
    <cellStyle name="Normal 35 72" xfId="5320"/>
    <cellStyle name="Normal 35 73" xfId="5321"/>
    <cellStyle name="Normal 35 74" xfId="5322"/>
    <cellStyle name="Normal 35 75" xfId="5323"/>
    <cellStyle name="Normal 35 76" xfId="5324"/>
    <cellStyle name="Normal 35 77" xfId="5325"/>
    <cellStyle name="Normal 35 78" xfId="5326"/>
    <cellStyle name="Normal 35 79" xfId="5327"/>
    <cellStyle name="Normal 35 8" xfId="5328"/>
    <cellStyle name="Normal 35 80" xfId="5329"/>
    <cellStyle name="Normal 35 81" xfId="5330"/>
    <cellStyle name="Normal 35 82" xfId="5331"/>
    <cellStyle name="Normal 35 83" xfId="5332"/>
    <cellStyle name="Normal 35 84" xfId="5333"/>
    <cellStyle name="Normal 35 85" xfId="5334"/>
    <cellStyle name="Normal 35 86" xfId="5335"/>
    <cellStyle name="Normal 35 87" xfId="5336"/>
    <cellStyle name="Normal 35 88" xfId="5337"/>
    <cellStyle name="Normal 35 89" xfId="5338"/>
    <cellStyle name="Normal 35 9" xfId="5339"/>
    <cellStyle name="Normal 35 90" xfId="5340"/>
    <cellStyle name="Normal 35 91" xfId="5341"/>
    <cellStyle name="Normal 35 92" xfId="5342"/>
    <cellStyle name="Normal 35 93" xfId="5343"/>
    <cellStyle name="Normal 35 94" xfId="5344"/>
    <cellStyle name="Normal 35 95" xfId="5345"/>
    <cellStyle name="Normal 35 96" xfId="5346"/>
    <cellStyle name="Normal 35 97" xfId="5347"/>
    <cellStyle name="Normal 35 98" xfId="5348"/>
    <cellStyle name="Normal 35 99" xfId="5349"/>
    <cellStyle name="Normal 36" xfId="5350"/>
    <cellStyle name="Normal 36 10" xfId="5351"/>
    <cellStyle name="Normal 36 100" xfId="5352"/>
    <cellStyle name="Normal 36 101" xfId="5353"/>
    <cellStyle name="Normal 36 102" xfId="5354"/>
    <cellStyle name="Normal 36 103" xfId="5355"/>
    <cellStyle name="Normal 36 104" xfId="5356"/>
    <cellStyle name="Normal 36 105" xfId="5357"/>
    <cellStyle name="Normal 36 106" xfId="5358"/>
    <cellStyle name="Normal 36 107" xfId="5359"/>
    <cellStyle name="Normal 36 108" xfId="5360"/>
    <cellStyle name="Normal 36 109" xfId="5361"/>
    <cellStyle name="Normal 36 11" xfId="5362"/>
    <cellStyle name="Normal 36 110" xfId="5363"/>
    <cellStyle name="Normal 36 111" xfId="5364"/>
    <cellStyle name="Normal 36 112" xfId="5365"/>
    <cellStyle name="Normal 36 113" xfId="5366"/>
    <cellStyle name="Normal 36 114" xfId="5367"/>
    <cellStyle name="Normal 36 115" xfId="5368"/>
    <cellStyle name="Normal 36 116" xfId="5369"/>
    <cellStyle name="Normal 36 117" xfId="5370"/>
    <cellStyle name="Normal 36 118" xfId="5371"/>
    <cellStyle name="Normal 36 119" xfId="5372"/>
    <cellStyle name="Normal 36 12" xfId="5373"/>
    <cellStyle name="Normal 36 120" xfId="5374"/>
    <cellStyle name="Normal 36 121" xfId="5375"/>
    <cellStyle name="Normal 36 122" xfId="5376"/>
    <cellStyle name="Normal 36 123" xfId="5377"/>
    <cellStyle name="Normal 36 124" xfId="5378"/>
    <cellStyle name="Normal 36 125" xfId="5379"/>
    <cellStyle name="Normal 36 126" xfId="5380"/>
    <cellStyle name="Normal 36 127" xfId="5381"/>
    <cellStyle name="Normal 36 128" xfId="5382"/>
    <cellStyle name="Normal 36 129" xfId="5383"/>
    <cellStyle name="Normal 36 13" xfId="5384"/>
    <cellStyle name="Normal 36 130" xfId="5385"/>
    <cellStyle name="Normal 36 131" xfId="5386"/>
    <cellStyle name="Normal 36 132" xfId="5387"/>
    <cellStyle name="Normal 36 133" xfId="5388"/>
    <cellStyle name="Normal 36 134" xfId="5389"/>
    <cellStyle name="Normal 36 135" xfId="5390"/>
    <cellStyle name="Normal 36 136" xfId="5391"/>
    <cellStyle name="Normal 36 137" xfId="5392"/>
    <cellStyle name="Normal 36 138" xfId="5393"/>
    <cellStyle name="Normal 36 139" xfId="5394"/>
    <cellStyle name="Normal 36 14" xfId="5395"/>
    <cellStyle name="Normal 36 140" xfId="5396"/>
    <cellStyle name="Normal 36 141" xfId="5397"/>
    <cellStyle name="Normal 36 142" xfId="5398"/>
    <cellStyle name="Normal 36 143" xfId="5399"/>
    <cellStyle name="Normal 36 144" xfId="5400"/>
    <cellStyle name="Normal 36 145" xfId="5401"/>
    <cellStyle name="Normal 36 146" xfId="5402"/>
    <cellStyle name="Normal 36 147" xfId="5403"/>
    <cellStyle name="Normal 36 148" xfId="5404"/>
    <cellStyle name="Normal 36 149" xfId="5405"/>
    <cellStyle name="Normal 36 15" xfId="5406"/>
    <cellStyle name="Normal 36 150" xfId="5407"/>
    <cellStyle name="Normal 36 151" xfId="5408"/>
    <cellStyle name="Normal 36 152" xfId="5409"/>
    <cellStyle name="Normal 36 153" xfId="5410"/>
    <cellStyle name="Normal 36 154" xfId="5411"/>
    <cellStyle name="Normal 36 155" xfId="5412"/>
    <cellStyle name="Normal 36 156" xfId="5413"/>
    <cellStyle name="Normal 36 157" xfId="5414"/>
    <cellStyle name="Normal 36 158" xfId="5415"/>
    <cellStyle name="Normal 36 159" xfId="5416"/>
    <cellStyle name="Normal 36 16" xfId="5417"/>
    <cellStyle name="Normal 36 160" xfId="5418"/>
    <cellStyle name="Normal 36 161" xfId="5419"/>
    <cellStyle name="Normal 36 162" xfId="5420"/>
    <cellStyle name="Normal 36 163" xfId="5421"/>
    <cellStyle name="Normal 36 164" xfId="5422"/>
    <cellStyle name="Normal 36 165" xfId="5423"/>
    <cellStyle name="Normal 36 166" xfId="5424"/>
    <cellStyle name="Normal 36 167" xfId="5425"/>
    <cellStyle name="Normal 36 168" xfId="5426"/>
    <cellStyle name="Normal 36 169" xfId="5427"/>
    <cellStyle name="Normal 36 17" xfId="5428"/>
    <cellStyle name="Normal 36 170" xfId="5429"/>
    <cellStyle name="Normal 36 171" xfId="5430"/>
    <cellStyle name="Normal 36 172" xfId="5431"/>
    <cellStyle name="Normal 36 173" xfId="5432"/>
    <cellStyle name="Normal 36 174" xfId="5433"/>
    <cellStyle name="Normal 36 175" xfId="5434"/>
    <cellStyle name="Normal 36 176" xfId="5435"/>
    <cellStyle name="Normal 36 177" xfId="5436"/>
    <cellStyle name="Normal 36 178" xfId="5437"/>
    <cellStyle name="Normal 36 179" xfId="5438"/>
    <cellStyle name="Normal 36 18" xfId="5439"/>
    <cellStyle name="Normal 36 180" xfId="5440"/>
    <cellStyle name="Normal 36 181" xfId="5441"/>
    <cellStyle name="Normal 36 182" xfId="5442"/>
    <cellStyle name="Normal 36 183" xfId="5443"/>
    <cellStyle name="Normal 36 184" xfId="5444"/>
    <cellStyle name="Normal 36 185" xfId="5445"/>
    <cellStyle name="Normal 36 186" xfId="5446"/>
    <cellStyle name="Normal 36 187" xfId="5447"/>
    <cellStyle name="Normal 36 188" xfId="5448"/>
    <cellStyle name="Normal 36 189" xfId="5449"/>
    <cellStyle name="Normal 36 19" xfId="5450"/>
    <cellStyle name="Normal 36 190" xfId="5451"/>
    <cellStyle name="Normal 36 191" xfId="5452"/>
    <cellStyle name="Normal 36 192" xfId="5453"/>
    <cellStyle name="Normal 36 193" xfId="5454"/>
    <cellStyle name="Normal 36 194" xfId="5455"/>
    <cellStyle name="Normal 36 195" xfId="5456"/>
    <cellStyle name="Normal 36 196" xfId="5457"/>
    <cellStyle name="Normal 36 197" xfId="5458"/>
    <cellStyle name="Normal 36 198" xfId="5459"/>
    <cellStyle name="Normal 36 2" xfId="5460"/>
    <cellStyle name="Normal 36 20" xfId="5461"/>
    <cellStyle name="Normal 36 21" xfId="5462"/>
    <cellStyle name="Normal 36 22" xfId="5463"/>
    <cellStyle name="Normal 36 23" xfId="5464"/>
    <cellStyle name="Normal 36 24" xfId="5465"/>
    <cellStyle name="Normal 36 25" xfId="5466"/>
    <cellStyle name="Normal 36 26" xfId="5467"/>
    <cellStyle name="Normal 36 27" xfId="5468"/>
    <cellStyle name="Normal 36 28" xfId="5469"/>
    <cellStyle name="Normal 36 29" xfId="5470"/>
    <cellStyle name="Normal 36 3" xfId="5471"/>
    <cellStyle name="Normal 36 30" xfId="5472"/>
    <cellStyle name="Normal 36 31" xfId="5473"/>
    <cellStyle name="Normal 36 32" xfId="5474"/>
    <cellStyle name="Normal 36 33" xfId="5475"/>
    <cellStyle name="Normal 36 34" xfId="5476"/>
    <cellStyle name="Normal 36 35" xfId="5477"/>
    <cellStyle name="Normal 36 36" xfId="5478"/>
    <cellStyle name="Normal 36 37" xfId="5479"/>
    <cellStyle name="Normal 36 38" xfId="5480"/>
    <cellStyle name="Normal 36 39" xfId="5481"/>
    <cellStyle name="Normal 36 4" xfId="5482"/>
    <cellStyle name="Normal 36 40" xfId="5483"/>
    <cellStyle name="Normal 36 41" xfId="5484"/>
    <cellStyle name="Normal 36 42" xfId="5485"/>
    <cellStyle name="Normal 36 43" xfId="5486"/>
    <cellStyle name="Normal 36 44" xfId="5487"/>
    <cellStyle name="Normal 36 45" xfId="5488"/>
    <cellStyle name="Normal 36 46" xfId="5489"/>
    <cellStyle name="Normal 36 47" xfId="5490"/>
    <cellStyle name="Normal 36 48" xfId="5491"/>
    <cellStyle name="Normal 36 49" xfId="5492"/>
    <cellStyle name="Normal 36 5" xfId="5493"/>
    <cellStyle name="Normal 36 50" xfId="5494"/>
    <cellStyle name="Normal 36 51" xfId="5495"/>
    <cellStyle name="Normal 36 52" xfId="5496"/>
    <cellStyle name="Normal 36 53" xfId="5497"/>
    <cellStyle name="Normal 36 54" xfId="5498"/>
    <cellStyle name="Normal 36 55" xfId="5499"/>
    <cellStyle name="Normal 36 56" xfId="5500"/>
    <cellStyle name="Normal 36 57" xfId="5501"/>
    <cellStyle name="Normal 36 58" xfId="5502"/>
    <cellStyle name="Normal 36 59" xfId="5503"/>
    <cellStyle name="Normal 36 6" xfId="5504"/>
    <cellStyle name="Normal 36 60" xfId="5505"/>
    <cellStyle name="Normal 36 61" xfId="5506"/>
    <cellStyle name="Normal 36 62" xfId="5507"/>
    <cellStyle name="Normal 36 63" xfId="5508"/>
    <cellStyle name="Normal 36 64" xfId="5509"/>
    <cellStyle name="Normal 36 65" xfId="5510"/>
    <cellStyle name="Normal 36 66" xfId="5511"/>
    <cellStyle name="Normal 36 67" xfId="5512"/>
    <cellStyle name="Normal 36 68" xfId="5513"/>
    <cellStyle name="Normal 36 69" xfId="5514"/>
    <cellStyle name="Normal 36 7" xfId="5515"/>
    <cellStyle name="Normal 36 70" xfId="5516"/>
    <cellStyle name="Normal 36 71" xfId="5517"/>
    <cellStyle name="Normal 36 72" xfId="5518"/>
    <cellStyle name="Normal 36 73" xfId="5519"/>
    <cellStyle name="Normal 36 74" xfId="5520"/>
    <cellStyle name="Normal 36 75" xfId="5521"/>
    <cellStyle name="Normal 36 76" xfId="5522"/>
    <cellStyle name="Normal 36 77" xfId="5523"/>
    <cellStyle name="Normal 36 78" xfId="5524"/>
    <cellStyle name="Normal 36 79" xfId="5525"/>
    <cellStyle name="Normal 36 8" xfId="5526"/>
    <cellStyle name="Normal 36 80" xfId="5527"/>
    <cellStyle name="Normal 36 81" xfId="5528"/>
    <cellStyle name="Normal 36 82" xfId="5529"/>
    <cellStyle name="Normal 36 83" xfId="5530"/>
    <cellStyle name="Normal 36 84" xfId="5531"/>
    <cellStyle name="Normal 36 85" xfId="5532"/>
    <cellStyle name="Normal 36 86" xfId="5533"/>
    <cellStyle name="Normal 36 87" xfId="5534"/>
    <cellStyle name="Normal 36 88" xfId="5535"/>
    <cellStyle name="Normal 36 89" xfId="5536"/>
    <cellStyle name="Normal 36 9" xfId="5537"/>
    <cellStyle name="Normal 36 90" xfId="5538"/>
    <cellStyle name="Normal 36 91" xfId="5539"/>
    <cellStyle name="Normal 36 92" xfId="5540"/>
    <cellStyle name="Normal 36 93" xfId="5541"/>
    <cellStyle name="Normal 36 94" xfId="5542"/>
    <cellStyle name="Normal 36 95" xfId="5543"/>
    <cellStyle name="Normal 36 96" xfId="5544"/>
    <cellStyle name="Normal 36 97" xfId="5545"/>
    <cellStyle name="Normal 36 98" xfId="5546"/>
    <cellStyle name="Normal 36 99" xfId="5547"/>
    <cellStyle name="Normal 37" xfId="5548"/>
    <cellStyle name="Normal 37 10" xfId="5549"/>
    <cellStyle name="Normal 37 100" xfId="5550"/>
    <cellStyle name="Normal 37 101" xfId="5551"/>
    <cellStyle name="Normal 37 102" xfId="5552"/>
    <cellStyle name="Normal 37 103" xfId="5553"/>
    <cellStyle name="Normal 37 104" xfId="5554"/>
    <cellStyle name="Normal 37 105" xfId="5555"/>
    <cellStyle name="Normal 37 106" xfId="5556"/>
    <cellStyle name="Normal 37 107" xfId="5557"/>
    <cellStyle name="Normal 37 108" xfId="5558"/>
    <cellStyle name="Normal 37 109" xfId="5559"/>
    <cellStyle name="Normal 37 11" xfId="5560"/>
    <cellStyle name="Normal 37 110" xfId="5561"/>
    <cellStyle name="Normal 37 111" xfId="5562"/>
    <cellStyle name="Normal 37 112" xfId="5563"/>
    <cellStyle name="Normal 37 113" xfId="5564"/>
    <cellStyle name="Normal 37 114" xfId="5565"/>
    <cellStyle name="Normal 37 115" xfId="5566"/>
    <cellStyle name="Normal 37 116" xfId="5567"/>
    <cellStyle name="Normal 37 117" xfId="5568"/>
    <cellStyle name="Normal 37 118" xfId="5569"/>
    <cellStyle name="Normal 37 119" xfId="5570"/>
    <cellStyle name="Normal 37 12" xfId="5571"/>
    <cellStyle name="Normal 37 120" xfId="5572"/>
    <cellStyle name="Normal 37 121" xfId="5573"/>
    <cellStyle name="Normal 37 122" xfId="5574"/>
    <cellStyle name="Normal 37 123" xfId="5575"/>
    <cellStyle name="Normal 37 124" xfId="5576"/>
    <cellStyle name="Normal 37 125" xfId="5577"/>
    <cellStyle name="Normal 37 126" xfId="5578"/>
    <cellStyle name="Normal 37 127" xfId="5579"/>
    <cellStyle name="Normal 37 128" xfId="5580"/>
    <cellStyle name="Normal 37 129" xfId="5581"/>
    <cellStyle name="Normal 37 13" xfId="5582"/>
    <cellStyle name="Normal 37 130" xfId="5583"/>
    <cellStyle name="Normal 37 131" xfId="5584"/>
    <cellStyle name="Normal 37 132" xfId="5585"/>
    <cellStyle name="Normal 37 133" xfId="5586"/>
    <cellStyle name="Normal 37 134" xfId="5587"/>
    <cellStyle name="Normal 37 135" xfId="5588"/>
    <cellStyle name="Normal 37 136" xfId="5589"/>
    <cellStyle name="Normal 37 137" xfId="5590"/>
    <cellStyle name="Normal 37 138" xfId="5591"/>
    <cellStyle name="Normal 37 139" xfId="5592"/>
    <cellStyle name="Normal 37 14" xfId="5593"/>
    <cellStyle name="Normal 37 140" xfId="5594"/>
    <cellStyle name="Normal 37 141" xfId="5595"/>
    <cellStyle name="Normal 37 142" xfId="5596"/>
    <cellStyle name="Normal 37 143" xfId="5597"/>
    <cellStyle name="Normal 37 144" xfId="5598"/>
    <cellStyle name="Normal 37 145" xfId="5599"/>
    <cellStyle name="Normal 37 146" xfId="5600"/>
    <cellStyle name="Normal 37 147" xfId="5601"/>
    <cellStyle name="Normal 37 148" xfId="5602"/>
    <cellStyle name="Normal 37 149" xfId="5603"/>
    <cellStyle name="Normal 37 15" xfId="5604"/>
    <cellStyle name="Normal 37 150" xfId="5605"/>
    <cellStyle name="Normal 37 151" xfId="5606"/>
    <cellStyle name="Normal 37 152" xfId="5607"/>
    <cellStyle name="Normal 37 153" xfId="5608"/>
    <cellStyle name="Normal 37 154" xfId="5609"/>
    <cellStyle name="Normal 37 155" xfId="5610"/>
    <cellStyle name="Normal 37 156" xfId="5611"/>
    <cellStyle name="Normal 37 157" xfId="5612"/>
    <cellStyle name="Normal 37 158" xfId="5613"/>
    <cellStyle name="Normal 37 159" xfId="5614"/>
    <cellStyle name="Normal 37 16" xfId="5615"/>
    <cellStyle name="Normal 37 160" xfId="5616"/>
    <cellStyle name="Normal 37 161" xfId="5617"/>
    <cellStyle name="Normal 37 162" xfId="5618"/>
    <cellStyle name="Normal 37 163" xfId="5619"/>
    <cellStyle name="Normal 37 164" xfId="5620"/>
    <cellStyle name="Normal 37 165" xfId="5621"/>
    <cellStyle name="Normal 37 166" xfId="5622"/>
    <cellStyle name="Normal 37 167" xfId="5623"/>
    <cellStyle name="Normal 37 168" xfId="5624"/>
    <cellStyle name="Normal 37 169" xfId="5625"/>
    <cellStyle name="Normal 37 17" xfId="5626"/>
    <cellStyle name="Normal 37 170" xfId="5627"/>
    <cellStyle name="Normal 37 171" xfId="5628"/>
    <cellStyle name="Normal 37 172" xfId="5629"/>
    <cellStyle name="Normal 37 173" xfId="5630"/>
    <cellStyle name="Normal 37 174" xfId="5631"/>
    <cellStyle name="Normal 37 175" xfId="5632"/>
    <cellStyle name="Normal 37 176" xfId="5633"/>
    <cellStyle name="Normal 37 177" xfId="5634"/>
    <cellStyle name="Normal 37 178" xfId="5635"/>
    <cellStyle name="Normal 37 179" xfId="5636"/>
    <cellStyle name="Normal 37 18" xfId="5637"/>
    <cellStyle name="Normal 37 180" xfId="5638"/>
    <cellStyle name="Normal 37 181" xfId="5639"/>
    <cellStyle name="Normal 37 182" xfId="5640"/>
    <cellStyle name="Normal 37 183" xfId="5641"/>
    <cellStyle name="Normal 37 184" xfId="5642"/>
    <cellStyle name="Normal 37 185" xfId="5643"/>
    <cellStyle name="Normal 37 186" xfId="5644"/>
    <cellStyle name="Normal 37 187" xfId="5645"/>
    <cellStyle name="Normal 37 188" xfId="5646"/>
    <cellStyle name="Normal 37 189" xfId="5647"/>
    <cellStyle name="Normal 37 19" xfId="5648"/>
    <cellStyle name="Normal 37 190" xfId="5649"/>
    <cellStyle name="Normal 37 191" xfId="5650"/>
    <cellStyle name="Normal 37 192" xfId="5651"/>
    <cellStyle name="Normal 37 193" xfId="5652"/>
    <cellStyle name="Normal 37 194" xfId="5653"/>
    <cellStyle name="Normal 37 195" xfId="5654"/>
    <cellStyle name="Normal 37 196" xfId="5655"/>
    <cellStyle name="Normal 37 197" xfId="5656"/>
    <cellStyle name="Normal 37 198" xfId="5657"/>
    <cellStyle name="Normal 37 2" xfId="5658"/>
    <cellStyle name="Normal 37 20" xfId="5659"/>
    <cellStyle name="Normal 37 21" xfId="5660"/>
    <cellStyle name="Normal 37 22" xfId="5661"/>
    <cellStyle name="Normal 37 23" xfId="5662"/>
    <cellStyle name="Normal 37 24" xfId="5663"/>
    <cellStyle name="Normal 37 25" xfId="5664"/>
    <cellStyle name="Normal 37 26" xfId="5665"/>
    <cellStyle name="Normal 37 27" xfId="5666"/>
    <cellStyle name="Normal 37 28" xfId="5667"/>
    <cellStyle name="Normal 37 29" xfId="5668"/>
    <cellStyle name="Normal 37 3" xfId="5669"/>
    <cellStyle name="Normal 37 30" xfId="5670"/>
    <cellStyle name="Normal 37 31" xfId="5671"/>
    <cellStyle name="Normal 37 32" xfId="5672"/>
    <cellStyle name="Normal 37 33" xfId="5673"/>
    <cellStyle name="Normal 37 34" xfId="5674"/>
    <cellStyle name="Normal 37 35" xfId="5675"/>
    <cellStyle name="Normal 37 36" xfId="5676"/>
    <cellStyle name="Normal 37 37" xfId="5677"/>
    <cellStyle name="Normal 37 38" xfId="5678"/>
    <cellStyle name="Normal 37 39" xfId="5679"/>
    <cellStyle name="Normal 37 4" xfId="5680"/>
    <cellStyle name="Normal 37 40" xfId="5681"/>
    <cellStyle name="Normal 37 41" xfId="5682"/>
    <cellStyle name="Normal 37 42" xfId="5683"/>
    <cellStyle name="Normal 37 43" xfId="5684"/>
    <cellStyle name="Normal 37 44" xfId="5685"/>
    <cellStyle name="Normal 37 45" xfId="5686"/>
    <cellStyle name="Normal 37 46" xfId="5687"/>
    <cellStyle name="Normal 37 47" xfId="5688"/>
    <cellStyle name="Normal 37 48" xfId="5689"/>
    <cellStyle name="Normal 37 49" xfId="5690"/>
    <cellStyle name="Normal 37 5" xfId="5691"/>
    <cellStyle name="Normal 37 50" xfId="5692"/>
    <cellStyle name="Normal 37 51" xfId="5693"/>
    <cellStyle name="Normal 37 52" xfId="5694"/>
    <cellStyle name="Normal 37 53" xfId="5695"/>
    <cellStyle name="Normal 37 54" xfId="5696"/>
    <cellStyle name="Normal 37 55" xfId="5697"/>
    <cellStyle name="Normal 37 56" xfId="5698"/>
    <cellStyle name="Normal 37 57" xfId="5699"/>
    <cellStyle name="Normal 37 58" xfId="5700"/>
    <cellStyle name="Normal 37 59" xfId="5701"/>
    <cellStyle name="Normal 37 6" xfId="5702"/>
    <cellStyle name="Normal 37 60" xfId="5703"/>
    <cellStyle name="Normal 37 61" xfId="5704"/>
    <cellStyle name="Normal 37 62" xfId="5705"/>
    <cellStyle name="Normal 37 63" xfId="5706"/>
    <cellStyle name="Normal 37 64" xfId="5707"/>
    <cellStyle name="Normal 37 65" xfId="5708"/>
    <cellStyle name="Normal 37 66" xfId="5709"/>
    <cellStyle name="Normal 37 67" xfId="5710"/>
    <cellStyle name="Normal 37 68" xfId="5711"/>
    <cellStyle name="Normal 37 69" xfId="5712"/>
    <cellStyle name="Normal 37 7" xfId="5713"/>
    <cellStyle name="Normal 37 70" xfId="5714"/>
    <cellStyle name="Normal 37 71" xfId="5715"/>
    <cellStyle name="Normal 37 72" xfId="5716"/>
    <cellStyle name="Normal 37 73" xfId="5717"/>
    <cellStyle name="Normal 37 74" xfId="5718"/>
    <cellStyle name="Normal 37 75" xfId="5719"/>
    <cellStyle name="Normal 37 76" xfId="5720"/>
    <cellStyle name="Normal 37 77" xfId="5721"/>
    <cellStyle name="Normal 37 78" xfId="5722"/>
    <cellStyle name="Normal 37 79" xfId="5723"/>
    <cellStyle name="Normal 37 8" xfId="5724"/>
    <cellStyle name="Normal 37 80" xfId="5725"/>
    <cellStyle name="Normal 37 81" xfId="5726"/>
    <cellStyle name="Normal 37 82" xfId="5727"/>
    <cellStyle name="Normal 37 83" xfId="5728"/>
    <cellStyle name="Normal 37 84" xfId="5729"/>
    <cellStyle name="Normal 37 85" xfId="5730"/>
    <cellStyle name="Normal 37 86" xfId="5731"/>
    <cellStyle name="Normal 37 87" xfId="5732"/>
    <cellStyle name="Normal 37 88" xfId="5733"/>
    <cellStyle name="Normal 37 89" xfId="5734"/>
    <cellStyle name="Normal 37 9" xfId="5735"/>
    <cellStyle name="Normal 37 90" xfId="5736"/>
    <cellStyle name="Normal 37 91" xfId="5737"/>
    <cellStyle name="Normal 37 92" xfId="5738"/>
    <cellStyle name="Normal 37 93" xfId="5739"/>
    <cellStyle name="Normal 37 94" xfId="5740"/>
    <cellStyle name="Normal 37 95" xfId="5741"/>
    <cellStyle name="Normal 37 96" xfId="5742"/>
    <cellStyle name="Normal 37 97" xfId="5743"/>
    <cellStyle name="Normal 37 98" xfId="5744"/>
    <cellStyle name="Normal 37 99" xfId="5745"/>
    <cellStyle name="Normal 38" xfId="5746"/>
    <cellStyle name="Normal 38 10" xfId="5747"/>
    <cellStyle name="Normal 38 100" xfId="5748"/>
    <cellStyle name="Normal 38 101" xfId="5749"/>
    <cellStyle name="Normal 38 102" xfId="5750"/>
    <cellStyle name="Normal 38 103" xfId="5751"/>
    <cellStyle name="Normal 38 104" xfId="5752"/>
    <cellStyle name="Normal 38 105" xfId="5753"/>
    <cellStyle name="Normal 38 106" xfId="5754"/>
    <cellStyle name="Normal 38 107" xfId="5755"/>
    <cellStyle name="Normal 38 108" xfId="5756"/>
    <cellStyle name="Normal 38 109" xfId="5757"/>
    <cellStyle name="Normal 38 11" xfId="5758"/>
    <cellStyle name="Normal 38 110" xfId="5759"/>
    <cellStyle name="Normal 38 111" xfId="5760"/>
    <cellStyle name="Normal 38 112" xfId="5761"/>
    <cellStyle name="Normal 38 113" xfId="5762"/>
    <cellStyle name="Normal 38 114" xfId="5763"/>
    <cellStyle name="Normal 38 115" xfId="5764"/>
    <cellStyle name="Normal 38 116" xfId="5765"/>
    <cellStyle name="Normal 38 117" xfId="5766"/>
    <cellStyle name="Normal 38 118" xfId="5767"/>
    <cellStyle name="Normal 38 119" xfId="5768"/>
    <cellStyle name="Normal 38 12" xfId="5769"/>
    <cellStyle name="Normal 38 120" xfId="5770"/>
    <cellStyle name="Normal 38 121" xfId="5771"/>
    <cellStyle name="Normal 38 122" xfId="5772"/>
    <cellStyle name="Normal 38 123" xfId="5773"/>
    <cellStyle name="Normal 38 124" xfId="5774"/>
    <cellStyle name="Normal 38 125" xfId="5775"/>
    <cellStyle name="Normal 38 126" xfId="5776"/>
    <cellStyle name="Normal 38 127" xfId="5777"/>
    <cellStyle name="Normal 38 128" xfId="5778"/>
    <cellStyle name="Normal 38 129" xfId="5779"/>
    <cellStyle name="Normal 38 13" xfId="5780"/>
    <cellStyle name="Normal 38 130" xfId="5781"/>
    <cellStyle name="Normal 38 131" xfId="5782"/>
    <cellStyle name="Normal 38 132" xfId="5783"/>
    <cellStyle name="Normal 38 133" xfId="5784"/>
    <cellStyle name="Normal 38 134" xfId="5785"/>
    <cellStyle name="Normal 38 135" xfId="5786"/>
    <cellStyle name="Normal 38 136" xfId="5787"/>
    <cellStyle name="Normal 38 137" xfId="5788"/>
    <cellStyle name="Normal 38 138" xfId="5789"/>
    <cellStyle name="Normal 38 139" xfId="5790"/>
    <cellStyle name="Normal 38 14" xfId="5791"/>
    <cellStyle name="Normal 38 140" xfId="5792"/>
    <cellStyle name="Normal 38 141" xfId="5793"/>
    <cellStyle name="Normal 38 142" xfId="5794"/>
    <cellStyle name="Normal 38 143" xfId="5795"/>
    <cellStyle name="Normal 38 144" xfId="5796"/>
    <cellStyle name="Normal 38 145" xfId="5797"/>
    <cellStyle name="Normal 38 146" xfId="5798"/>
    <cellStyle name="Normal 38 147" xfId="5799"/>
    <cellStyle name="Normal 38 148" xfId="5800"/>
    <cellStyle name="Normal 38 149" xfId="5801"/>
    <cellStyle name="Normal 38 15" xfId="5802"/>
    <cellStyle name="Normal 38 150" xfId="5803"/>
    <cellStyle name="Normal 38 151" xfId="5804"/>
    <cellStyle name="Normal 38 152" xfId="5805"/>
    <cellStyle name="Normal 38 153" xfId="5806"/>
    <cellStyle name="Normal 38 154" xfId="5807"/>
    <cellStyle name="Normal 38 155" xfId="5808"/>
    <cellStyle name="Normal 38 156" xfId="5809"/>
    <cellStyle name="Normal 38 157" xfId="5810"/>
    <cellStyle name="Normal 38 158" xfId="5811"/>
    <cellStyle name="Normal 38 159" xfId="5812"/>
    <cellStyle name="Normal 38 16" xfId="5813"/>
    <cellStyle name="Normal 38 160" xfId="5814"/>
    <cellStyle name="Normal 38 161" xfId="5815"/>
    <cellStyle name="Normal 38 162" xfId="5816"/>
    <cellStyle name="Normal 38 163" xfId="5817"/>
    <cellStyle name="Normal 38 164" xfId="5818"/>
    <cellStyle name="Normal 38 165" xfId="5819"/>
    <cellStyle name="Normal 38 166" xfId="5820"/>
    <cellStyle name="Normal 38 167" xfId="5821"/>
    <cellStyle name="Normal 38 168" xfId="5822"/>
    <cellStyle name="Normal 38 169" xfId="5823"/>
    <cellStyle name="Normal 38 17" xfId="5824"/>
    <cellStyle name="Normal 38 170" xfId="5825"/>
    <cellStyle name="Normal 38 171" xfId="5826"/>
    <cellStyle name="Normal 38 172" xfId="5827"/>
    <cellStyle name="Normal 38 173" xfId="5828"/>
    <cellStyle name="Normal 38 174" xfId="5829"/>
    <cellStyle name="Normal 38 175" xfId="5830"/>
    <cellStyle name="Normal 38 176" xfId="5831"/>
    <cellStyle name="Normal 38 177" xfId="5832"/>
    <cellStyle name="Normal 38 178" xfId="5833"/>
    <cellStyle name="Normal 38 179" xfId="5834"/>
    <cellStyle name="Normal 38 18" xfId="5835"/>
    <cellStyle name="Normal 38 180" xfId="5836"/>
    <cellStyle name="Normal 38 181" xfId="5837"/>
    <cellStyle name="Normal 38 182" xfId="5838"/>
    <cellStyle name="Normal 38 183" xfId="5839"/>
    <cellStyle name="Normal 38 184" xfId="5840"/>
    <cellStyle name="Normal 38 185" xfId="5841"/>
    <cellStyle name="Normal 38 186" xfId="5842"/>
    <cellStyle name="Normal 38 187" xfId="5843"/>
    <cellStyle name="Normal 38 188" xfId="5844"/>
    <cellStyle name="Normal 38 189" xfId="5845"/>
    <cellStyle name="Normal 38 19" xfId="5846"/>
    <cellStyle name="Normal 38 190" xfId="5847"/>
    <cellStyle name="Normal 38 191" xfId="5848"/>
    <cellStyle name="Normal 38 192" xfId="5849"/>
    <cellStyle name="Normal 38 193" xfId="5850"/>
    <cellStyle name="Normal 38 194" xfId="5851"/>
    <cellStyle name="Normal 38 195" xfId="5852"/>
    <cellStyle name="Normal 38 196" xfId="5853"/>
    <cellStyle name="Normal 38 197" xfId="5854"/>
    <cellStyle name="Normal 38 198" xfId="5855"/>
    <cellStyle name="Normal 38 2" xfId="5856"/>
    <cellStyle name="Normal 38 20" xfId="5857"/>
    <cellStyle name="Normal 38 21" xfId="5858"/>
    <cellStyle name="Normal 38 22" xfId="5859"/>
    <cellStyle name="Normal 38 23" xfId="5860"/>
    <cellStyle name="Normal 38 24" xfId="5861"/>
    <cellStyle name="Normal 38 25" xfId="5862"/>
    <cellStyle name="Normal 38 26" xfId="5863"/>
    <cellStyle name="Normal 38 27" xfId="5864"/>
    <cellStyle name="Normal 38 28" xfId="5865"/>
    <cellStyle name="Normal 38 29" xfId="5866"/>
    <cellStyle name="Normal 38 3" xfId="5867"/>
    <cellStyle name="Normal 38 30" xfId="5868"/>
    <cellStyle name="Normal 38 31" xfId="5869"/>
    <cellStyle name="Normal 38 32" xfId="5870"/>
    <cellStyle name="Normal 38 33" xfId="5871"/>
    <cellStyle name="Normal 38 34" xfId="5872"/>
    <cellStyle name="Normal 38 35" xfId="5873"/>
    <cellStyle name="Normal 38 36" xfId="5874"/>
    <cellStyle name="Normal 38 37" xfId="5875"/>
    <cellStyle name="Normal 38 38" xfId="5876"/>
    <cellStyle name="Normal 38 39" xfId="5877"/>
    <cellStyle name="Normal 38 4" xfId="5878"/>
    <cellStyle name="Normal 38 40" xfId="5879"/>
    <cellStyle name="Normal 38 41" xfId="5880"/>
    <cellStyle name="Normal 38 42" xfId="5881"/>
    <cellStyle name="Normal 38 43" xfId="5882"/>
    <cellStyle name="Normal 38 44" xfId="5883"/>
    <cellStyle name="Normal 38 45" xfId="5884"/>
    <cellStyle name="Normal 38 46" xfId="5885"/>
    <cellStyle name="Normal 38 47" xfId="5886"/>
    <cellStyle name="Normal 38 48" xfId="5887"/>
    <cellStyle name="Normal 38 49" xfId="5888"/>
    <cellStyle name="Normal 38 5" xfId="5889"/>
    <cellStyle name="Normal 38 50" xfId="5890"/>
    <cellStyle name="Normal 38 51" xfId="5891"/>
    <cellStyle name="Normal 38 52" xfId="5892"/>
    <cellStyle name="Normal 38 53" xfId="5893"/>
    <cellStyle name="Normal 38 54" xfId="5894"/>
    <cellStyle name="Normal 38 55" xfId="5895"/>
    <cellStyle name="Normal 38 56" xfId="5896"/>
    <cellStyle name="Normal 38 57" xfId="5897"/>
    <cellStyle name="Normal 38 58" xfId="5898"/>
    <cellStyle name="Normal 38 59" xfId="5899"/>
    <cellStyle name="Normal 38 6" xfId="5900"/>
    <cellStyle name="Normal 38 60" xfId="5901"/>
    <cellStyle name="Normal 38 61" xfId="5902"/>
    <cellStyle name="Normal 38 62" xfId="5903"/>
    <cellStyle name="Normal 38 63" xfId="5904"/>
    <cellStyle name="Normal 38 64" xfId="5905"/>
    <cellStyle name="Normal 38 65" xfId="5906"/>
    <cellStyle name="Normal 38 66" xfId="5907"/>
    <cellStyle name="Normal 38 67" xfId="5908"/>
    <cellStyle name="Normal 38 68" xfId="5909"/>
    <cellStyle name="Normal 38 69" xfId="5910"/>
    <cellStyle name="Normal 38 7" xfId="5911"/>
    <cellStyle name="Normal 38 70" xfId="5912"/>
    <cellStyle name="Normal 38 71" xfId="5913"/>
    <cellStyle name="Normal 38 72" xfId="5914"/>
    <cellStyle name="Normal 38 73" xfId="5915"/>
    <cellStyle name="Normal 38 74" xfId="5916"/>
    <cellStyle name="Normal 38 75" xfId="5917"/>
    <cellStyle name="Normal 38 76" xfId="5918"/>
    <cellStyle name="Normal 38 77" xfId="5919"/>
    <cellStyle name="Normal 38 78" xfId="5920"/>
    <cellStyle name="Normal 38 79" xfId="5921"/>
    <cellStyle name="Normal 38 8" xfId="5922"/>
    <cellStyle name="Normal 38 80" xfId="5923"/>
    <cellStyle name="Normal 38 81" xfId="5924"/>
    <cellStyle name="Normal 38 82" xfId="5925"/>
    <cellStyle name="Normal 38 83" xfId="5926"/>
    <cellStyle name="Normal 38 84" xfId="5927"/>
    <cellStyle name="Normal 38 85" xfId="5928"/>
    <cellStyle name="Normal 38 86" xfId="5929"/>
    <cellStyle name="Normal 38 87" xfId="5930"/>
    <cellStyle name="Normal 38 88" xfId="5931"/>
    <cellStyle name="Normal 38 89" xfId="5932"/>
    <cellStyle name="Normal 38 9" xfId="5933"/>
    <cellStyle name="Normal 38 90" xfId="5934"/>
    <cellStyle name="Normal 38 91" xfId="5935"/>
    <cellStyle name="Normal 38 92" xfId="5936"/>
    <cellStyle name="Normal 38 93" xfId="5937"/>
    <cellStyle name="Normal 38 94" xfId="5938"/>
    <cellStyle name="Normal 38 95" xfId="5939"/>
    <cellStyle name="Normal 38 96" xfId="5940"/>
    <cellStyle name="Normal 38 97" xfId="5941"/>
    <cellStyle name="Normal 38 98" xfId="5942"/>
    <cellStyle name="Normal 38 99" xfId="5943"/>
    <cellStyle name="Normal 39" xfId="5944"/>
    <cellStyle name="Normal 39 10" xfId="5945"/>
    <cellStyle name="Normal 39 100" xfId="5946"/>
    <cellStyle name="Normal 39 101" xfId="5947"/>
    <cellStyle name="Normal 39 102" xfId="5948"/>
    <cellStyle name="Normal 39 103" xfId="5949"/>
    <cellStyle name="Normal 39 104" xfId="5950"/>
    <cellStyle name="Normal 39 105" xfId="5951"/>
    <cellStyle name="Normal 39 106" xfId="5952"/>
    <cellStyle name="Normal 39 107" xfId="5953"/>
    <cellStyle name="Normal 39 108" xfId="5954"/>
    <cellStyle name="Normal 39 109" xfId="5955"/>
    <cellStyle name="Normal 39 11" xfId="5956"/>
    <cellStyle name="Normal 39 110" xfId="5957"/>
    <cellStyle name="Normal 39 111" xfId="5958"/>
    <cellStyle name="Normal 39 112" xfId="5959"/>
    <cellStyle name="Normal 39 113" xfId="5960"/>
    <cellStyle name="Normal 39 114" xfId="5961"/>
    <cellStyle name="Normal 39 115" xfId="5962"/>
    <cellStyle name="Normal 39 116" xfId="5963"/>
    <cellStyle name="Normal 39 117" xfId="5964"/>
    <cellStyle name="Normal 39 118" xfId="5965"/>
    <cellStyle name="Normal 39 119" xfId="5966"/>
    <cellStyle name="Normal 39 12" xfId="5967"/>
    <cellStyle name="Normal 39 120" xfId="5968"/>
    <cellStyle name="Normal 39 121" xfId="5969"/>
    <cellStyle name="Normal 39 122" xfId="5970"/>
    <cellStyle name="Normal 39 123" xfId="5971"/>
    <cellStyle name="Normal 39 124" xfId="5972"/>
    <cellStyle name="Normal 39 125" xfId="5973"/>
    <cellStyle name="Normal 39 126" xfId="5974"/>
    <cellStyle name="Normal 39 127" xfId="5975"/>
    <cellStyle name="Normal 39 128" xfId="5976"/>
    <cellStyle name="Normal 39 129" xfId="5977"/>
    <cellStyle name="Normal 39 13" xfId="5978"/>
    <cellStyle name="Normal 39 130" xfId="5979"/>
    <cellStyle name="Normal 39 131" xfId="5980"/>
    <cellStyle name="Normal 39 132" xfId="5981"/>
    <cellStyle name="Normal 39 133" xfId="5982"/>
    <cellStyle name="Normal 39 134" xfId="5983"/>
    <cellStyle name="Normal 39 135" xfId="5984"/>
    <cellStyle name="Normal 39 136" xfId="5985"/>
    <cellStyle name="Normal 39 137" xfId="5986"/>
    <cellStyle name="Normal 39 138" xfId="5987"/>
    <cellStyle name="Normal 39 139" xfId="5988"/>
    <cellStyle name="Normal 39 14" xfId="5989"/>
    <cellStyle name="Normal 39 140" xfId="5990"/>
    <cellStyle name="Normal 39 141" xfId="5991"/>
    <cellStyle name="Normal 39 142" xfId="5992"/>
    <cellStyle name="Normal 39 143" xfId="5993"/>
    <cellStyle name="Normal 39 144" xfId="5994"/>
    <cellStyle name="Normal 39 145" xfId="5995"/>
    <cellStyle name="Normal 39 146" xfId="5996"/>
    <cellStyle name="Normal 39 147" xfId="5997"/>
    <cellStyle name="Normal 39 148" xfId="5998"/>
    <cellStyle name="Normal 39 149" xfId="5999"/>
    <cellStyle name="Normal 39 15" xfId="6000"/>
    <cellStyle name="Normal 39 150" xfId="6001"/>
    <cellStyle name="Normal 39 151" xfId="6002"/>
    <cellStyle name="Normal 39 152" xfId="6003"/>
    <cellStyle name="Normal 39 153" xfId="6004"/>
    <cellStyle name="Normal 39 154" xfId="6005"/>
    <cellStyle name="Normal 39 155" xfId="6006"/>
    <cellStyle name="Normal 39 156" xfId="6007"/>
    <cellStyle name="Normal 39 157" xfId="6008"/>
    <cellStyle name="Normal 39 158" xfId="6009"/>
    <cellStyle name="Normal 39 159" xfId="6010"/>
    <cellStyle name="Normal 39 16" xfId="6011"/>
    <cellStyle name="Normal 39 160" xfId="6012"/>
    <cellStyle name="Normal 39 161" xfId="6013"/>
    <cellStyle name="Normal 39 162" xfId="6014"/>
    <cellStyle name="Normal 39 163" xfId="6015"/>
    <cellStyle name="Normal 39 164" xfId="6016"/>
    <cellStyle name="Normal 39 165" xfId="6017"/>
    <cellStyle name="Normal 39 166" xfId="6018"/>
    <cellStyle name="Normal 39 167" xfId="6019"/>
    <cellStyle name="Normal 39 168" xfId="6020"/>
    <cellStyle name="Normal 39 169" xfId="6021"/>
    <cellStyle name="Normal 39 17" xfId="6022"/>
    <cellStyle name="Normal 39 170" xfId="6023"/>
    <cellStyle name="Normal 39 171" xfId="6024"/>
    <cellStyle name="Normal 39 172" xfId="6025"/>
    <cellStyle name="Normal 39 173" xfId="6026"/>
    <cellStyle name="Normal 39 174" xfId="6027"/>
    <cellStyle name="Normal 39 175" xfId="6028"/>
    <cellStyle name="Normal 39 176" xfId="6029"/>
    <cellStyle name="Normal 39 177" xfId="6030"/>
    <cellStyle name="Normal 39 178" xfId="6031"/>
    <cellStyle name="Normal 39 179" xfId="6032"/>
    <cellStyle name="Normal 39 18" xfId="6033"/>
    <cellStyle name="Normal 39 180" xfId="6034"/>
    <cellStyle name="Normal 39 181" xfId="6035"/>
    <cellStyle name="Normal 39 182" xfId="6036"/>
    <cellStyle name="Normal 39 183" xfId="6037"/>
    <cellStyle name="Normal 39 184" xfId="6038"/>
    <cellStyle name="Normal 39 185" xfId="6039"/>
    <cellStyle name="Normal 39 186" xfId="6040"/>
    <cellStyle name="Normal 39 187" xfId="6041"/>
    <cellStyle name="Normal 39 188" xfId="6042"/>
    <cellStyle name="Normal 39 189" xfId="6043"/>
    <cellStyle name="Normal 39 19" xfId="6044"/>
    <cellStyle name="Normal 39 190" xfId="6045"/>
    <cellStyle name="Normal 39 191" xfId="6046"/>
    <cellStyle name="Normal 39 192" xfId="6047"/>
    <cellStyle name="Normal 39 193" xfId="6048"/>
    <cellStyle name="Normal 39 194" xfId="6049"/>
    <cellStyle name="Normal 39 195" xfId="6050"/>
    <cellStyle name="Normal 39 196" xfId="6051"/>
    <cellStyle name="Normal 39 197" xfId="6052"/>
    <cellStyle name="Normal 39 198" xfId="6053"/>
    <cellStyle name="Normal 39 2" xfId="6054"/>
    <cellStyle name="Normal 39 20" xfId="6055"/>
    <cellStyle name="Normal 39 21" xfId="6056"/>
    <cellStyle name="Normal 39 22" xfId="6057"/>
    <cellStyle name="Normal 39 23" xfId="6058"/>
    <cellStyle name="Normal 39 24" xfId="6059"/>
    <cellStyle name="Normal 39 25" xfId="6060"/>
    <cellStyle name="Normal 39 26" xfId="6061"/>
    <cellStyle name="Normal 39 27" xfId="6062"/>
    <cellStyle name="Normal 39 28" xfId="6063"/>
    <cellStyle name="Normal 39 29" xfId="6064"/>
    <cellStyle name="Normal 39 3" xfId="6065"/>
    <cellStyle name="Normal 39 30" xfId="6066"/>
    <cellStyle name="Normal 39 31" xfId="6067"/>
    <cellStyle name="Normal 39 32" xfId="6068"/>
    <cellStyle name="Normal 39 33" xfId="6069"/>
    <cellStyle name="Normal 39 34" xfId="6070"/>
    <cellStyle name="Normal 39 35" xfId="6071"/>
    <cellStyle name="Normal 39 36" xfId="6072"/>
    <cellStyle name="Normal 39 37" xfId="6073"/>
    <cellStyle name="Normal 39 38" xfId="6074"/>
    <cellStyle name="Normal 39 39" xfId="6075"/>
    <cellStyle name="Normal 39 4" xfId="6076"/>
    <cellStyle name="Normal 39 40" xfId="6077"/>
    <cellStyle name="Normal 39 41" xfId="6078"/>
    <cellStyle name="Normal 39 42" xfId="6079"/>
    <cellStyle name="Normal 39 43" xfId="6080"/>
    <cellStyle name="Normal 39 44" xfId="6081"/>
    <cellStyle name="Normal 39 45" xfId="6082"/>
    <cellStyle name="Normal 39 46" xfId="6083"/>
    <cellStyle name="Normal 39 47" xfId="6084"/>
    <cellStyle name="Normal 39 48" xfId="6085"/>
    <cellStyle name="Normal 39 49" xfId="6086"/>
    <cellStyle name="Normal 39 5" xfId="6087"/>
    <cellStyle name="Normal 39 50" xfId="6088"/>
    <cellStyle name="Normal 39 51" xfId="6089"/>
    <cellStyle name="Normal 39 52" xfId="6090"/>
    <cellStyle name="Normal 39 53" xfId="6091"/>
    <cellStyle name="Normal 39 54" xfId="6092"/>
    <cellStyle name="Normal 39 55" xfId="6093"/>
    <cellStyle name="Normal 39 56" xfId="6094"/>
    <cellStyle name="Normal 39 57" xfId="6095"/>
    <cellStyle name="Normal 39 58" xfId="6096"/>
    <cellStyle name="Normal 39 59" xfId="6097"/>
    <cellStyle name="Normal 39 6" xfId="6098"/>
    <cellStyle name="Normal 39 60" xfId="6099"/>
    <cellStyle name="Normal 39 61" xfId="6100"/>
    <cellStyle name="Normal 39 62" xfId="6101"/>
    <cellStyle name="Normal 39 63" xfId="6102"/>
    <cellStyle name="Normal 39 64" xfId="6103"/>
    <cellStyle name="Normal 39 65" xfId="6104"/>
    <cellStyle name="Normal 39 66" xfId="6105"/>
    <cellStyle name="Normal 39 67" xfId="6106"/>
    <cellStyle name="Normal 39 68" xfId="6107"/>
    <cellStyle name="Normal 39 69" xfId="6108"/>
    <cellStyle name="Normal 39 7" xfId="6109"/>
    <cellStyle name="Normal 39 70" xfId="6110"/>
    <cellStyle name="Normal 39 71" xfId="6111"/>
    <cellStyle name="Normal 39 72" xfId="6112"/>
    <cellStyle name="Normal 39 73" xfId="6113"/>
    <cellStyle name="Normal 39 74" xfId="6114"/>
    <cellStyle name="Normal 39 75" xfId="6115"/>
    <cellStyle name="Normal 39 76" xfId="6116"/>
    <cellStyle name="Normal 39 77" xfId="6117"/>
    <cellStyle name="Normal 39 78" xfId="6118"/>
    <cellStyle name="Normal 39 79" xfId="6119"/>
    <cellStyle name="Normal 39 8" xfId="6120"/>
    <cellStyle name="Normal 39 80" xfId="6121"/>
    <cellStyle name="Normal 39 81" xfId="6122"/>
    <cellStyle name="Normal 39 82" xfId="6123"/>
    <cellStyle name="Normal 39 83" xfId="6124"/>
    <cellStyle name="Normal 39 84" xfId="6125"/>
    <cellStyle name="Normal 39 85" xfId="6126"/>
    <cellStyle name="Normal 39 86" xfId="6127"/>
    <cellStyle name="Normal 39 87" xfId="6128"/>
    <cellStyle name="Normal 39 88" xfId="6129"/>
    <cellStyle name="Normal 39 89" xfId="6130"/>
    <cellStyle name="Normal 39 9" xfId="6131"/>
    <cellStyle name="Normal 39 90" xfId="6132"/>
    <cellStyle name="Normal 39 91" xfId="6133"/>
    <cellStyle name="Normal 39 92" xfId="6134"/>
    <cellStyle name="Normal 39 93" xfId="6135"/>
    <cellStyle name="Normal 39 94" xfId="6136"/>
    <cellStyle name="Normal 39 95" xfId="6137"/>
    <cellStyle name="Normal 39 96" xfId="6138"/>
    <cellStyle name="Normal 39 97" xfId="6139"/>
    <cellStyle name="Normal 39 98" xfId="6140"/>
    <cellStyle name="Normal 39 99" xfId="6141"/>
    <cellStyle name="Normal 4" xfId="6142"/>
    <cellStyle name="Normal 4 10" xfId="6143"/>
    <cellStyle name="Normal 4 100" xfId="6144"/>
    <cellStyle name="Normal 4 101" xfId="6145"/>
    <cellStyle name="Normal 4 102" xfId="6146"/>
    <cellStyle name="Normal 4 103" xfId="6147"/>
    <cellStyle name="Normal 4 104" xfId="6148"/>
    <cellStyle name="Normal 4 105" xfId="6149"/>
    <cellStyle name="Normal 4 106" xfId="6150"/>
    <cellStyle name="Normal 4 107" xfId="6151"/>
    <cellStyle name="Normal 4 108" xfId="6152"/>
    <cellStyle name="Normal 4 109" xfId="6153"/>
    <cellStyle name="Normal 4 11" xfId="6154"/>
    <cellStyle name="Normal 4 110" xfId="6155"/>
    <cellStyle name="Normal 4 111" xfId="6156"/>
    <cellStyle name="Normal 4 112" xfId="6157"/>
    <cellStyle name="Normal 4 113" xfId="6158"/>
    <cellStyle name="Normal 4 114" xfId="6159"/>
    <cellStyle name="Normal 4 115" xfId="6160"/>
    <cellStyle name="Normal 4 116" xfId="6161"/>
    <cellStyle name="Normal 4 117" xfId="6162"/>
    <cellStyle name="Normal 4 118" xfId="6163"/>
    <cellStyle name="Normal 4 119" xfId="6164"/>
    <cellStyle name="Normal 4 12" xfId="6165"/>
    <cellStyle name="Normal 4 120" xfId="6166"/>
    <cellStyle name="Normal 4 121" xfId="6167"/>
    <cellStyle name="Normal 4 122" xfId="6168"/>
    <cellStyle name="Normal 4 123" xfId="6169"/>
    <cellStyle name="Normal 4 124" xfId="6170"/>
    <cellStyle name="Normal 4 125" xfId="6171"/>
    <cellStyle name="Normal 4 126" xfId="6172"/>
    <cellStyle name="Normal 4 127" xfId="6173"/>
    <cellStyle name="Normal 4 128" xfId="6174"/>
    <cellStyle name="Normal 4 129" xfId="6175"/>
    <cellStyle name="Normal 4 13" xfId="6176"/>
    <cellStyle name="Normal 4 130" xfId="6177"/>
    <cellStyle name="Normal 4 131" xfId="6178"/>
    <cellStyle name="Normal 4 132" xfId="6179"/>
    <cellStyle name="Normal 4 133" xfId="6180"/>
    <cellStyle name="Normal 4 134" xfId="6181"/>
    <cellStyle name="Normal 4 135" xfId="6182"/>
    <cellStyle name="Normal 4 136" xfId="6183"/>
    <cellStyle name="Normal 4 137" xfId="6184"/>
    <cellStyle name="Normal 4 138" xfId="6185"/>
    <cellStyle name="Normal 4 139" xfId="6186"/>
    <cellStyle name="Normal 4 14" xfId="6187"/>
    <cellStyle name="Normal 4 140" xfId="6188"/>
    <cellStyle name="Normal 4 141" xfId="6189"/>
    <cellStyle name="Normal 4 142" xfId="6190"/>
    <cellStyle name="Normal 4 143" xfId="6191"/>
    <cellStyle name="Normal 4 144" xfId="6192"/>
    <cellStyle name="Normal 4 145" xfId="6193"/>
    <cellStyle name="Normal 4 146" xfId="6194"/>
    <cellStyle name="Normal 4 147" xfId="6195"/>
    <cellStyle name="Normal 4 148" xfId="6196"/>
    <cellStyle name="Normal 4 149" xfId="6197"/>
    <cellStyle name="Normal 4 15" xfId="6198"/>
    <cellStyle name="Normal 4 150" xfId="6199"/>
    <cellStyle name="Normal 4 151" xfId="6200"/>
    <cellStyle name="Normal 4 152" xfId="6201"/>
    <cellStyle name="Normal 4 153" xfId="6202"/>
    <cellStyle name="Normal 4 154" xfId="6203"/>
    <cellStyle name="Normal 4 155" xfId="6204"/>
    <cellStyle name="Normal 4 156" xfId="6205"/>
    <cellStyle name="Normal 4 157" xfId="6206"/>
    <cellStyle name="Normal 4 158" xfId="6207"/>
    <cellStyle name="Normal 4 159" xfId="6208"/>
    <cellStyle name="Normal 4 16" xfId="6209"/>
    <cellStyle name="Normal 4 160" xfId="6210"/>
    <cellStyle name="Normal 4 161" xfId="6211"/>
    <cellStyle name="Normal 4 162" xfId="6212"/>
    <cellStyle name="Normal 4 163" xfId="6213"/>
    <cellStyle name="Normal 4 164" xfId="6214"/>
    <cellStyle name="Normal 4 165" xfId="6215"/>
    <cellStyle name="Normal 4 166" xfId="6216"/>
    <cellStyle name="Normal 4 167" xfId="6217"/>
    <cellStyle name="Normal 4 168" xfId="6218"/>
    <cellStyle name="Normal 4 169" xfId="6219"/>
    <cellStyle name="Normal 4 17" xfId="6220"/>
    <cellStyle name="Normal 4 170" xfId="6221"/>
    <cellStyle name="Normal 4 171" xfId="6222"/>
    <cellStyle name="Normal 4 172" xfId="6223"/>
    <cellStyle name="Normal 4 173" xfId="6224"/>
    <cellStyle name="Normal 4 174" xfId="6225"/>
    <cellStyle name="Normal 4 175" xfId="6226"/>
    <cellStyle name="Normal 4 176" xfId="6227"/>
    <cellStyle name="Normal 4 177" xfId="6228"/>
    <cellStyle name="Normal 4 178" xfId="6229"/>
    <cellStyle name="Normal 4 179" xfId="6230"/>
    <cellStyle name="Normal 4 18" xfId="6231"/>
    <cellStyle name="Normal 4 180" xfId="6232"/>
    <cellStyle name="Normal 4 181" xfId="6233"/>
    <cellStyle name="Normal 4 182" xfId="6234"/>
    <cellStyle name="Normal 4 183" xfId="6235"/>
    <cellStyle name="Normal 4 184" xfId="6236"/>
    <cellStyle name="Normal 4 185" xfId="6237"/>
    <cellStyle name="Normal 4 186" xfId="6238"/>
    <cellStyle name="Normal 4 187" xfId="6239"/>
    <cellStyle name="Normal 4 188" xfId="6240"/>
    <cellStyle name="Normal 4 189" xfId="6241"/>
    <cellStyle name="Normal 4 19" xfId="6242"/>
    <cellStyle name="Normal 4 190" xfId="6243"/>
    <cellStyle name="Normal 4 191" xfId="6244"/>
    <cellStyle name="Normal 4 192" xfId="6245"/>
    <cellStyle name="Normal 4 193" xfId="6246"/>
    <cellStyle name="Normal 4 194" xfId="6247"/>
    <cellStyle name="Normal 4 195" xfId="6248"/>
    <cellStyle name="Normal 4 196" xfId="6249"/>
    <cellStyle name="Normal 4 197" xfId="6250"/>
    <cellStyle name="Normal 4 198" xfId="6251"/>
    <cellStyle name="Normal 4 2" xfId="6252"/>
    <cellStyle name="Normal 4 20" xfId="6253"/>
    <cellStyle name="Normal 4 21" xfId="6254"/>
    <cellStyle name="Normal 4 22" xfId="6255"/>
    <cellStyle name="Normal 4 23" xfId="6256"/>
    <cellStyle name="Normal 4 24" xfId="6257"/>
    <cellStyle name="Normal 4 25" xfId="6258"/>
    <cellStyle name="Normal 4 26" xfId="6259"/>
    <cellStyle name="Normal 4 27" xfId="6260"/>
    <cellStyle name="Normal 4 28" xfId="6261"/>
    <cellStyle name="Normal 4 29" xfId="6262"/>
    <cellStyle name="Normal 4 3" xfId="6263"/>
    <cellStyle name="Normal 4 30" xfId="6264"/>
    <cellStyle name="Normal 4 31" xfId="6265"/>
    <cellStyle name="Normal 4 32" xfId="6266"/>
    <cellStyle name="Normal 4 33" xfId="6267"/>
    <cellStyle name="Normal 4 34" xfId="6268"/>
    <cellStyle name="Normal 4 35" xfId="6269"/>
    <cellStyle name="Normal 4 36" xfId="6270"/>
    <cellStyle name="Normal 4 37" xfId="6271"/>
    <cellStyle name="Normal 4 38" xfId="6272"/>
    <cellStyle name="Normal 4 39" xfId="6273"/>
    <cellStyle name="Normal 4 4" xfId="6274"/>
    <cellStyle name="Normal 4 40" xfId="6275"/>
    <cellStyle name="Normal 4 41" xfId="6276"/>
    <cellStyle name="Normal 4 42" xfId="6277"/>
    <cellStyle name="Normal 4 43" xfId="6278"/>
    <cellStyle name="Normal 4 44" xfId="6279"/>
    <cellStyle name="Normal 4 45" xfId="6280"/>
    <cellStyle name="Normal 4 46" xfId="6281"/>
    <cellStyle name="Normal 4 47" xfId="6282"/>
    <cellStyle name="Normal 4 48" xfId="6283"/>
    <cellStyle name="Normal 4 49" xfId="6284"/>
    <cellStyle name="Normal 4 5" xfId="6285"/>
    <cellStyle name="Normal 4 50" xfId="6286"/>
    <cellStyle name="Normal 4 51" xfId="6287"/>
    <cellStyle name="Normal 4 52" xfId="6288"/>
    <cellStyle name="Normal 4 53" xfId="6289"/>
    <cellStyle name="Normal 4 54" xfId="6290"/>
    <cellStyle name="Normal 4 55" xfId="6291"/>
    <cellStyle name="Normal 4 56" xfId="6292"/>
    <cellStyle name="Normal 4 57" xfId="6293"/>
    <cellStyle name="Normal 4 58" xfId="6294"/>
    <cellStyle name="Normal 4 59" xfId="6295"/>
    <cellStyle name="Normal 4 6" xfId="6296"/>
    <cellStyle name="Normal 4 60" xfId="6297"/>
    <cellStyle name="Normal 4 61" xfId="6298"/>
    <cellStyle name="Normal 4 62" xfId="6299"/>
    <cellStyle name="Normal 4 63" xfId="6300"/>
    <cellStyle name="Normal 4 64" xfId="6301"/>
    <cellStyle name="Normal 4 65" xfId="6302"/>
    <cellStyle name="Normal 4 66" xfId="6303"/>
    <cellStyle name="Normal 4 67" xfId="6304"/>
    <cellStyle name="Normal 4 68" xfId="6305"/>
    <cellStyle name="Normal 4 69" xfId="6306"/>
    <cellStyle name="Normal 4 7" xfId="6307"/>
    <cellStyle name="Normal 4 70" xfId="6308"/>
    <cellStyle name="Normal 4 71" xfId="6309"/>
    <cellStyle name="Normal 4 72" xfId="6310"/>
    <cellStyle name="Normal 4 73" xfId="6311"/>
    <cellStyle name="Normal 4 74" xfId="6312"/>
    <cellStyle name="Normal 4 75" xfId="6313"/>
    <cellStyle name="Normal 4 76" xfId="6314"/>
    <cellStyle name="Normal 4 77" xfId="6315"/>
    <cellStyle name="Normal 4 78" xfId="6316"/>
    <cellStyle name="Normal 4 79" xfId="6317"/>
    <cellStyle name="Normal 4 8" xfId="6318"/>
    <cellStyle name="Normal 4 80" xfId="6319"/>
    <cellStyle name="Normal 4 81" xfId="6320"/>
    <cellStyle name="Normal 4 82" xfId="6321"/>
    <cellStyle name="Normal 4 83" xfId="6322"/>
    <cellStyle name="Normal 4 84" xfId="6323"/>
    <cellStyle name="Normal 4 85" xfId="6324"/>
    <cellStyle name="Normal 4 86" xfId="6325"/>
    <cellStyle name="Normal 4 87" xfId="6326"/>
    <cellStyle name="Normal 4 88" xfId="6327"/>
    <cellStyle name="Normal 4 89" xfId="6328"/>
    <cellStyle name="Normal 4 9" xfId="6329"/>
    <cellStyle name="Normal 4 90" xfId="6330"/>
    <cellStyle name="Normal 4 91" xfId="6331"/>
    <cellStyle name="Normal 4 92" xfId="6332"/>
    <cellStyle name="Normal 4 93" xfId="6333"/>
    <cellStyle name="Normal 4 94" xfId="6334"/>
    <cellStyle name="Normal 4 95" xfId="6335"/>
    <cellStyle name="Normal 4 96" xfId="6336"/>
    <cellStyle name="Normal 4 97" xfId="6337"/>
    <cellStyle name="Normal 4 98" xfId="6338"/>
    <cellStyle name="Normal 4 99" xfId="6339"/>
    <cellStyle name="Normal 40" xfId="6340"/>
    <cellStyle name="Normal 40 10" xfId="6341"/>
    <cellStyle name="Normal 40 100" xfId="6342"/>
    <cellStyle name="Normal 40 101" xfId="6343"/>
    <cellStyle name="Normal 40 102" xfId="6344"/>
    <cellStyle name="Normal 40 103" xfId="6345"/>
    <cellStyle name="Normal 40 104" xfId="6346"/>
    <cellStyle name="Normal 40 105" xfId="6347"/>
    <cellStyle name="Normal 40 106" xfId="6348"/>
    <cellStyle name="Normal 40 107" xfId="6349"/>
    <cellStyle name="Normal 40 108" xfId="6350"/>
    <cellStyle name="Normal 40 109" xfId="6351"/>
    <cellStyle name="Normal 40 11" xfId="6352"/>
    <cellStyle name="Normal 40 110" xfId="6353"/>
    <cellStyle name="Normal 40 111" xfId="6354"/>
    <cellStyle name="Normal 40 112" xfId="6355"/>
    <cellStyle name="Normal 40 113" xfId="6356"/>
    <cellStyle name="Normal 40 114" xfId="6357"/>
    <cellStyle name="Normal 40 115" xfId="6358"/>
    <cellStyle name="Normal 40 116" xfId="6359"/>
    <cellStyle name="Normal 40 117" xfId="6360"/>
    <cellStyle name="Normal 40 118" xfId="6361"/>
    <cellStyle name="Normal 40 119" xfId="6362"/>
    <cellStyle name="Normal 40 12" xfId="6363"/>
    <cellStyle name="Normal 40 120" xfId="6364"/>
    <cellStyle name="Normal 40 121" xfId="6365"/>
    <cellStyle name="Normal 40 122" xfId="6366"/>
    <cellStyle name="Normal 40 123" xfId="6367"/>
    <cellStyle name="Normal 40 124" xfId="6368"/>
    <cellStyle name="Normal 40 125" xfId="6369"/>
    <cellStyle name="Normal 40 126" xfId="6370"/>
    <cellStyle name="Normal 40 127" xfId="6371"/>
    <cellStyle name="Normal 40 128" xfId="6372"/>
    <cellStyle name="Normal 40 129" xfId="6373"/>
    <cellStyle name="Normal 40 13" xfId="6374"/>
    <cellStyle name="Normal 40 130" xfId="6375"/>
    <cellStyle name="Normal 40 131" xfId="6376"/>
    <cellStyle name="Normal 40 132" xfId="6377"/>
    <cellStyle name="Normal 40 133" xfId="6378"/>
    <cellStyle name="Normal 40 134" xfId="6379"/>
    <cellStyle name="Normal 40 135" xfId="6380"/>
    <cellStyle name="Normal 40 136" xfId="6381"/>
    <cellStyle name="Normal 40 137" xfId="6382"/>
    <cellStyle name="Normal 40 138" xfId="6383"/>
    <cellStyle name="Normal 40 139" xfId="6384"/>
    <cellStyle name="Normal 40 14" xfId="6385"/>
    <cellStyle name="Normal 40 140" xfId="6386"/>
    <cellStyle name="Normal 40 141" xfId="6387"/>
    <cellStyle name="Normal 40 142" xfId="6388"/>
    <cellStyle name="Normal 40 143" xfId="6389"/>
    <cellStyle name="Normal 40 144" xfId="6390"/>
    <cellStyle name="Normal 40 145" xfId="6391"/>
    <cellStyle name="Normal 40 146" xfId="6392"/>
    <cellStyle name="Normal 40 147" xfId="6393"/>
    <cellStyle name="Normal 40 148" xfId="6394"/>
    <cellStyle name="Normal 40 149" xfId="6395"/>
    <cellStyle name="Normal 40 15" xfId="6396"/>
    <cellStyle name="Normal 40 150" xfId="6397"/>
    <cellStyle name="Normal 40 151" xfId="6398"/>
    <cellStyle name="Normal 40 152" xfId="6399"/>
    <cellStyle name="Normal 40 153" xfId="6400"/>
    <cellStyle name="Normal 40 154" xfId="6401"/>
    <cellStyle name="Normal 40 155" xfId="6402"/>
    <cellStyle name="Normal 40 156" xfId="6403"/>
    <cellStyle name="Normal 40 157" xfId="6404"/>
    <cellStyle name="Normal 40 158" xfId="6405"/>
    <cellStyle name="Normal 40 159" xfId="6406"/>
    <cellStyle name="Normal 40 16" xfId="6407"/>
    <cellStyle name="Normal 40 160" xfId="6408"/>
    <cellStyle name="Normal 40 161" xfId="6409"/>
    <cellStyle name="Normal 40 162" xfId="6410"/>
    <cellStyle name="Normal 40 163" xfId="6411"/>
    <cellStyle name="Normal 40 164" xfId="6412"/>
    <cellStyle name="Normal 40 165" xfId="6413"/>
    <cellStyle name="Normal 40 166" xfId="6414"/>
    <cellStyle name="Normal 40 167" xfId="6415"/>
    <cellStyle name="Normal 40 168" xfId="6416"/>
    <cellStyle name="Normal 40 169" xfId="6417"/>
    <cellStyle name="Normal 40 17" xfId="6418"/>
    <cellStyle name="Normal 40 170" xfId="6419"/>
    <cellStyle name="Normal 40 171" xfId="6420"/>
    <cellStyle name="Normal 40 172" xfId="6421"/>
    <cellStyle name="Normal 40 173" xfId="6422"/>
    <cellStyle name="Normal 40 174" xfId="6423"/>
    <cellStyle name="Normal 40 175" xfId="6424"/>
    <cellStyle name="Normal 40 176" xfId="6425"/>
    <cellStyle name="Normal 40 177" xfId="6426"/>
    <cellStyle name="Normal 40 178" xfId="6427"/>
    <cellStyle name="Normal 40 179" xfId="6428"/>
    <cellStyle name="Normal 40 18" xfId="6429"/>
    <cellStyle name="Normal 40 180" xfId="6430"/>
    <cellStyle name="Normal 40 181" xfId="6431"/>
    <cellStyle name="Normal 40 182" xfId="6432"/>
    <cellStyle name="Normal 40 183" xfId="6433"/>
    <cellStyle name="Normal 40 184" xfId="6434"/>
    <cellStyle name="Normal 40 185" xfId="6435"/>
    <cellStyle name="Normal 40 186" xfId="6436"/>
    <cellStyle name="Normal 40 187" xfId="6437"/>
    <cellStyle name="Normal 40 188" xfId="6438"/>
    <cellStyle name="Normal 40 189" xfId="6439"/>
    <cellStyle name="Normal 40 19" xfId="6440"/>
    <cellStyle name="Normal 40 190" xfId="6441"/>
    <cellStyle name="Normal 40 191" xfId="6442"/>
    <cellStyle name="Normal 40 192" xfId="6443"/>
    <cellStyle name="Normal 40 193" xfId="6444"/>
    <cellStyle name="Normal 40 194" xfId="6445"/>
    <cellStyle name="Normal 40 195" xfId="6446"/>
    <cellStyle name="Normal 40 196" xfId="6447"/>
    <cellStyle name="Normal 40 197" xfId="6448"/>
    <cellStyle name="Normal 40 198" xfId="6449"/>
    <cellStyle name="Normal 40 2" xfId="6450"/>
    <cellStyle name="Normal 40 20" xfId="6451"/>
    <cellStyle name="Normal 40 21" xfId="6452"/>
    <cellStyle name="Normal 40 22" xfId="6453"/>
    <cellStyle name="Normal 40 23" xfId="6454"/>
    <cellStyle name="Normal 40 24" xfId="6455"/>
    <cellStyle name="Normal 40 25" xfId="6456"/>
    <cellStyle name="Normal 40 26" xfId="6457"/>
    <cellStyle name="Normal 40 27" xfId="6458"/>
    <cellStyle name="Normal 40 28" xfId="6459"/>
    <cellStyle name="Normal 40 29" xfId="6460"/>
    <cellStyle name="Normal 40 3" xfId="6461"/>
    <cellStyle name="Normal 40 30" xfId="6462"/>
    <cellStyle name="Normal 40 31" xfId="6463"/>
    <cellStyle name="Normal 40 32" xfId="6464"/>
    <cellStyle name="Normal 40 33" xfId="6465"/>
    <cellStyle name="Normal 40 34" xfId="6466"/>
    <cellStyle name="Normal 40 35" xfId="6467"/>
    <cellStyle name="Normal 40 36" xfId="6468"/>
    <cellStyle name="Normal 40 37" xfId="6469"/>
    <cellStyle name="Normal 40 38" xfId="6470"/>
    <cellStyle name="Normal 40 39" xfId="6471"/>
    <cellStyle name="Normal 40 4" xfId="6472"/>
    <cellStyle name="Normal 40 40" xfId="6473"/>
    <cellStyle name="Normal 40 41" xfId="6474"/>
    <cellStyle name="Normal 40 42" xfId="6475"/>
    <cellStyle name="Normal 40 43" xfId="6476"/>
    <cellStyle name="Normal 40 44" xfId="6477"/>
    <cellStyle name="Normal 40 45" xfId="6478"/>
    <cellStyle name="Normal 40 46" xfId="6479"/>
    <cellStyle name="Normal 40 47" xfId="6480"/>
    <cellStyle name="Normal 40 48" xfId="6481"/>
    <cellStyle name="Normal 40 49" xfId="6482"/>
    <cellStyle name="Normal 40 5" xfId="6483"/>
    <cellStyle name="Normal 40 50" xfId="6484"/>
    <cellStyle name="Normal 40 51" xfId="6485"/>
    <cellStyle name="Normal 40 52" xfId="6486"/>
    <cellStyle name="Normal 40 53" xfId="6487"/>
    <cellStyle name="Normal 40 54" xfId="6488"/>
    <cellStyle name="Normal 40 55" xfId="6489"/>
    <cellStyle name="Normal 40 56" xfId="6490"/>
    <cellStyle name="Normal 40 57" xfId="6491"/>
    <cellStyle name="Normal 40 58" xfId="6492"/>
    <cellStyle name="Normal 40 59" xfId="6493"/>
    <cellStyle name="Normal 40 6" xfId="6494"/>
    <cellStyle name="Normal 40 60" xfId="6495"/>
    <cellStyle name="Normal 40 61" xfId="6496"/>
    <cellStyle name="Normal 40 62" xfId="6497"/>
    <cellStyle name="Normal 40 63" xfId="6498"/>
    <cellStyle name="Normal 40 64" xfId="6499"/>
    <cellStyle name="Normal 40 65" xfId="6500"/>
    <cellStyle name="Normal 40 66" xfId="6501"/>
    <cellStyle name="Normal 40 67" xfId="6502"/>
    <cellStyle name="Normal 40 68" xfId="6503"/>
    <cellStyle name="Normal 40 69" xfId="6504"/>
    <cellStyle name="Normal 40 7" xfId="6505"/>
    <cellStyle name="Normal 40 70" xfId="6506"/>
    <cellStyle name="Normal 40 71" xfId="6507"/>
    <cellStyle name="Normal 40 72" xfId="6508"/>
    <cellStyle name="Normal 40 73" xfId="6509"/>
    <cellStyle name="Normal 40 74" xfId="6510"/>
    <cellStyle name="Normal 40 75" xfId="6511"/>
    <cellStyle name="Normal 40 76" xfId="6512"/>
    <cellStyle name="Normal 40 77" xfId="6513"/>
    <cellStyle name="Normal 40 78" xfId="6514"/>
    <cellStyle name="Normal 40 79" xfId="6515"/>
    <cellStyle name="Normal 40 8" xfId="6516"/>
    <cellStyle name="Normal 40 80" xfId="6517"/>
    <cellStyle name="Normal 40 81" xfId="6518"/>
    <cellStyle name="Normal 40 82" xfId="6519"/>
    <cellStyle name="Normal 40 83" xfId="6520"/>
    <cellStyle name="Normal 40 84" xfId="6521"/>
    <cellStyle name="Normal 40 85" xfId="6522"/>
    <cellStyle name="Normal 40 86" xfId="6523"/>
    <cellStyle name="Normal 40 87" xfId="6524"/>
    <cellStyle name="Normal 40 88" xfId="6525"/>
    <cellStyle name="Normal 40 89" xfId="6526"/>
    <cellStyle name="Normal 40 9" xfId="6527"/>
    <cellStyle name="Normal 40 90" xfId="6528"/>
    <cellStyle name="Normal 40 91" xfId="6529"/>
    <cellStyle name="Normal 40 92" xfId="6530"/>
    <cellStyle name="Normal 40 93" xfId="6531"/>
    <cellStyle name="Normal 40 94" xfId="6532"/>
    <cellStyle name="Normal 40 95" xfId="6533"/>
    <cellStyle name="Normal 40 96" xfId="6534"/>
    <cellStyle name="Normal 40 97" xfId="6535"/>
    <cellStyle name="Normal 40 98" xfId="6536"/>
    <cellStyle name="Normal 40 99" xfId="6537"/>
    <cellStyle name="Normal 41" xfId="6538"/>
    <cellStyle name="Normal 41 10" xfId="6539"/>
    <cellStyle name="Normal 41 100" xfId="6540"/>
    <cellStyle name="Normal 41 101" xfId="6541"/>
    <cellStyle name="Normal 41 102" xfId="6542"/>
    <cellStyle name="Normal 41 103" xfId="6543"/>
    <cellStyle name="Normal 41 104" xfId="6544"/>
    <cellStyle name="Normal 41 105" xfId="6545"/>
    <cellStyle name="Normal 41 106" xfId="6546"/>
    <cellStyle name="Normal 41 107" xfId="6547"/>
    <cellStyle name="Normal 41 108" xfId="6548"/>
    <cellStyle name="Normal 41 109" xfId="6549"/>
    <cellStyle name="Normal 41 11" xfId="6550"/>
    <cellStyle name="Normal 41 110" xfId="6551"/>
    <cellStyle name="Normal 41 111" xfId="6552"/>
    <cellStyle name="Normal 41 112" xfId="6553"/>
    <cellStyle name="Normal 41 113" xfId="6554"/>
    <cellStyle name="Normal 41 114" xfId="6555"/>
    <cellStyle name="Normal 41 115" xfId="6556"/>
    <cellStyle name="Normal 41 116" xfId="6557"/>
    <cellStyle name="Normal 41 117" xfId="6558"/>
    <cellStyle name="Normal 41 118" xfId="6559"/>
    <cellStyle name="Normal 41 119" xfId="6560"/>
    <cellStyle name="Normal 41 12" xfId="6561"/>
    <cellStyle name="Normal 41 120" xfId="6562"/>
    <cellStyle name="Normal 41 121" xfId="6563"/>
    <cellStyle name="Normal 41 122" xfId="6564"/>
    <cellStyle name="Normal 41 123" xfId="6565"/>
    <cellStyle name="Normal 41 124" xfId="6566"/>
    <cellStyle name="Normal 41 125" xfId="6567"/>
    <cellStyle name="Normal 41 126" xfId="6568"/>
    <cellStyle name="Normal 41 127" xfId="6569"/>
    <cellStyle name="Normal 41 128" xfId="6570"/>
    <cellStyle name="Normal 41 129" xfId="6571"/>
    <cellStyle name="Normal 41 13" xfId="6572"/>
    <cellStyle name="Normal 41 130" xfId="6573"/>
    <cellStyle name="Normal 41 131" xfId="6574"/>
    <cellStyle name="Normal 41 132" xfId="6575"/>
    <cellStyle name="Normal 41 133" xfId="6576"/>
    <cellStyle name="Normal 41 134" xfId="6577"/>
    <cellStyle name="Normal 41 135" xfId="6578"/>
    <cellStyle name="Normal 41 136" xfId="6579"/>
    <cellStyle name="Normal 41 137" xfId="6580"/>
    <cellStyle name="Normal 41 138" xfId="6581"/>
    <cellStyle name="Normal 41 139" xfId="6582"/>
    <cellStyle name="Normal 41 14" xfId="6583"/>
    <cellStyle name="Normal 41 140" xfId="6584"/>
    <cellStyle name="Normal 41 141" xfId="6585"/>
    <cellStyle name="Normal 41 142" xfId="6586"/>
    <cellStyle name="Normal 41 143" xfId="6587"/>
    <cellStyle name="Normal 41 144" xfId="6588"/>
    <cellStyle name="Normal 41 145" xfId="6589"/>
    <cellStyle name="Normal 41 146" xfId="6590"/>
    <cellStyle name="Normal 41 147" xfId="6591"/>
    <cellStyle name="Normal 41 148" xfId="6592"/>
    <cellStyle name="Normal 41 149" xfId="6593"/>
    <cellStyle name="Normal 41 15" xfId="6594"/>
    <cellStyle name="Normal 41 150" xfId="6595"/>
    <cellStyle name="Normal 41 151" xfId="6596"/>
    <cellStyle name="Normal 41 152" xfId="6597"/>
    <cellStyle name="Normal 41 153" xfId="6598"/>
    <cellStyle name="Normal 41 154" xfId="6599"/>
    <cellStyle name="Normal 41 155" xfId="6600"/>
    <cellStyle name="Normal 41 156" xfId="6601"/>
    <cellStyle name="Normal 41 157" xfId="6602"/>
    <cellStyle name="Normal 41 158" xfId="6603"/>
    <cellStyle name="Normal 41 159" xfId="6604"/>
    <cellStyle name="Normal 41 16" xfId="6605"/>
    <cellStyle name="Normal 41 160" xfId="6606"/>
    <cellStyle name="Normal 41 161" xfId="6607"/>
    <cellStyle name="Normal 41 162" xfId="6608"/>
    <cellStyle name="Normal 41 163" xfId="6609"/>
    <cellStyle name="Normal 41 164" xfId="6610"/>
    <cellStyle name="Normal 41 165" xfId="6611"/>
    <cellStyle name="Normal 41 166" xfId="6612"/>
    <cellStyle name="Normal 41 167" xfId="6613"/>
    <cellStyle name="Normal 41 168" xfId="6614"/>
    <cellStyle name="Normal 41 169" xfId="6615"/>
    <cellStyle name="Normal 41 17" xfId="6616"/>
    <cellStyle name="Normal 41 170" xfId="6617"/>
    <cellStyle name="Normal 41 171" xfId="6618"/>
    <cellStyle name="Normal 41 172" xfId="6619"/>
    <cellStyle name="Normal 41 173" xfId="6620"/>
    <cellStyle name="Normal 41 174" xfId="6621"/>
    <cellStyle name="Normal 41 175" xfId="6622"/>
    <cellStyle name="Normal 41 176" xfId="6623"/>
    <cellStyle name="Normal 41 177" xfId="6624"/>
    <cellStyle name="Normal 41 178" xfId="6625"/>
    <cellStyle name="Normal 41 179" xfId="6626"/>
    <cellStyle name="Normal 41 18" xfId="6627"/>
    <cellStyle name="Normal 41 180" xfId="6628"/>
    <cellStyle name="Normal 41 181" xfId="6629"/>
    <cellStyle name="Normal 41 182" xfId="6630"/>
    <cellStyle name="Normal 41 183" xfId="6631"/>
    <cellStyle name="Normal 41 184" xfId="6632"/>
    <cellStyle name="Normal 41 185" xfId="6633"/>
    <cellStyle name="Normal 41 186" xfId="6634"/>
    <cellStyle name="Normal 41 187" xfId="6635"/>
    <cellStyle name="Normal 41 188" xfId="6636"/>
    <cellStyle name="Normal 41 189" xfId="6637"/>
    <cellStyle name="Normal 41 19" xfId="6638"/>
    <cellStyle name="Normal 41 190" xfId="6639"/>
    <cellStyle name="Normal 41 191" xfId="6640"/>
    <cellStyle name="Normal 41 192" xfId="6641"/>
    <cellStyle name="Normal 41 193" xfId="6642"/>
    <cellStyle name="Normal 41 194" xfId="6643"/>
    <cellStyle name="Normal 41 195" xfId="6644"/>
    <cellStyle name="Normal 41 196" xfId="6645"/>
    <cellStyle name="Normal 41 197" xfId="6646"/>
    <cellStyle name="Normal 41 198" xfId="6647"/>
    <cellStyle name="Normal 41 2" xfId="6648"/>
    <cellStyle name="Normal 41 20" xfId="6649"/>
    <cellStyle name="Normal 41 21" xfId="6650"/>
    <cellStyle name="Normal 41 22" xfId="6651"/>
    <cellStyle name="Normal 41 23" xfId="6652"/>
    <cellStyle name="Normal 41 24" xfId="6653"/>
    <cellStyle name="Normal 41 25" xfId="6654"/>
    <cellStyle name="Normal 41 26" xfId="6655"/>
    <cellStyle name="Normal 41 27" xfId="6656"/>
    <cellStyle name="Normal 41 28" xfId="6657"/>
    <cellStyle name="Normal 41 29" xfId="6658"/>
    <cellStyle name="Normal 41 3" xfId="6659"/>
    <cellStyle name="Normal 41 30" xfId="6660"/>
    <cellStyle name="Normal 41 31" xfId="6661"/>
    <cellStyle name="Normal 41 32" xfId="6662"/>
    <cellStyle name="Normal 41 33" xfId="6663"/>
    <cellStyle name="Normal 41 34" xfId="6664"/>
    <cellStyle name="Normal 41 35" xfId="6665"/>
    <cellStyle name="Normal 41 36" xfId="6666"/>
    <cellStyle name="Normal 41 37" xfId="6667"/>
    <cellStyle name="Normal 41 38" xfId="6668"/>
    <cellStyle name="Normal 41 39" xfId="6669"/>
    <cellStyle name="Normal 41 4" xfId="6670"/>
    <cellStyle name="Normal 41 40" xfId="6671"/>
    <cellStyle name="Normal 41 41" xfId="6672"/>
    <cellStyle name="Normal 41 42" xfId="6673"/>
    <cellStyle name="Normal 41 43" xfId="6674"/>
    <cellStyle name="Normal 41 44" xfId="6675"/>
    <cellStyle name="Normal 41 45" xfId="6676"/>
    <cellStyle name="Normal 41 46" xfId="6677"/>
    <cellStyle name="Normal 41 47" xfId="6678"/>
    <cellStyle name="Normal 41 48" xfId="6679"/>
    <cellStyle name="Normal 41 49" xfId="6680"/>
    <cellStyle name="Normal 41 5" xfId="6681"/>
    <cellStyle name="Normal 41 50" xfId="6682"/>
    <cellStyle name="Normal 41 51" xfId="6683"/>
    <cellStyle name="Normal 41 52" xfId="6684"/>
    <cellStyle name="Normal 41 53" xfId="6685"/>
    <cellStyle name="Normal 41 54" xfId="6686"/>
    <cellStyle name="Normal 41 55" xfId="6687"/>
    <cellStyle name="Normal 41 56" xfId="6688"/>
    <cellStyle name="Normal 41 57" xfId="6689"/>
    <cellStyle name="Normal 41 58" xfId="6690"/>
    <cellStyle name="Normal 41 59" xfId="6691"/>
    <cellStyle name="Normal 41 6" xfId="6692"/>
    <cellStyle name="Normal 41 60" xfId="6693"/>
    <cellStyle name="Normal 41 61" xfId="6694"/>
    <cellStyle name="Normal 41 62" xfId="6695"/>
    <cellStyle name="Normal 41 63" xfId="6696"/>
    <cellStyle name="Normal 41 64" xfId="6697"/>
    <cellStyle name="Normal 41 65" xfId="6698"/>
    <cellStyle name="Normal 41 66" xfId="6699"/>
    <cellStyle name="Normal 41 67" xfId="6700"/>
    <cellStyle name="Normal 41 68" xfId="6701"/>
    <cellStyle name="Normal 41 69" xfId="6702"/>
    <cellStyle name="Normal 41 7" xfId="6703"/>
    <cellStyle name="Normal 41 70" xfId="6704"/>
    <cellStyle name="Normal 41 71" xfId="6705"/>
    <cellStyle name="Normal 41 72" xfId="6706"/>
    <cellStyle name="Normal 41 73" xfId="6707"/>
    <cellStyle name="Normal 41 74" xfId="6708"/>
    <cellStyle name="Normal 41 75" xfId="6709"/>
    <cellStyle name="Normal 41 76" xfId="6710"/>
    <cellStyle name="Normal 41 77" xfId="6711"/>
    <cellStyle name="Normal 41 78" xfId="6712"/>
    <cellStyle name="Normal 41 79" xfId="6713"/>
    <cellStyle name="Normal 41 8" xfId="6714"/>
    <cellStyle name="Normal 41 80" xfId="6715"/>
    <cellStyle name="Normal 41 81" xfId="6716"/>
    <cellStyle name="Normal 41 82" xfId="6717"/>
    <cellStyle name="Normal 41 83" xfId="6718"/>
    <cellStyle name="Normal 41 84" xfId="6719"/>
    <cellStyle name="Normal 41 85" xfId="6720"/>
    <cellStyle name="Normal 41 86" xfId="6721"/>
    <cellStyle name="Normal 41 87" xfId="6722"/>
    <cellStyle name="Normal 41 88" xfId="6723"/>
    <cellStyle name="Normal 41 89" xfId="6724"/>
    <cellStyle name="Normal 41 9" xfId="6725"/>
    <cellStyle name="Normal 41 90" xfId="6726"/>
    <cellStyle name="Normal 41 91" xfId="6727"/>
    <cellStyle name="Normal 41 92" xfId="6728"/>
    <cellStyle name="Normal 41 93" xfId="6729"/>
    <cellStyle name="Normal 41 94" xfId="6730"/>
    <cellStyle name="Normal 41 95" xfId="6731"/>
    <cellStyle name="Normal 41 96" xfId="6732"/>
    <cellStyle name="Normal 41 97" xfId="6733"/>
    <cellStyle name="Normal 41 98" xfId="6734"/>
    <cellStyle name="Normal 41 99" xfId="6735"/>
    <cellStyle name="Normal 42" xfId="6736"/>
    <cellStyle name="Normal 42 10" xfId="6737"/>
    <cellStyle name="Normal 42 100" xfId="6738"/>
    <cellStyle name="Normal 42 101" xfId="6739"/>
    <cellStyle name="Normal 42 102" xfId="6740"/>
    <cellStyle name="Normal 42 103" xfId="6741"/>
    <cellStyle name="Normal 42 104" xfId="6742"/>
    <cellStyle name="Normal 42 105" xfId="6743"/>
    <cellStyle name="Normal 42 106" xfId="6744"/>
    <cellStyle name="Normal 42 107" xfId="6745"/>
    <cellStyle name="Normal 42 108" xfId="6746"/>
    <cellStyle name="Normal 42 109" xfId="6747"/>
    <cellStyle name="Normal 42 11" xfId="6748"/>
    <cellStyle name="Normal 42 110" xfId="6749"/>
    <cellStyle name="Normal 42 111" xfId="6750"/>
    <cellStyle name="Normal 42 112" xfId="6751"/>
    <cellStyle name="Normal 42 113" xfId="6752"/>
    <cellStyle name="Normal 42 114" xfId="6753"/>
    <cellStyle name="Normal 42 115" xfId="6754"/>
    <cellStyle name="Normal 42 116" xfId="6755"/>
    <cellStyle name="Normal 42 117" xfId="6756"/>
    <cellStyle name="Normal 42 118" xfId="6757"/>
    <cellStyle name="Normal 42 119" xfId="6758"/>
    <cellStyle name="Normal 42 12" xfId="6759"/>
    <cellStyle name="Normal 42 120" xfId="6760"/>
    <cellStyle name="Normal 42 121" xfId="6761"/>
    <cellStyle name="Normal 42 122" xfId="6762"/>
    <cellStyle name="Normal 42 123" xfId="6763"/>
    <cellStyle name="Normal 42 124" xfId="6764"/>
    <cellStyle name="Normal 42 125" xfId="6765"/>
    <cellStyle name="Normal 42 126" xfId="6766"/>
    <cellStyle name="Normal 42 127" xfId="6767"/>
    <cellStyle name="Normal 42 128" xfId="6768"/>
    <cellStyle name="Normal 42 129" xfId="6769"/>
    <cellStyle name="Normal 42 13" xfId="6770"/>
    <cellStyle name="Normal 42 130" xfId="6771"/>
    <cellStyle name="Normal 42 131" xfId="6772"/>
    <cellStyle name="Normal 42 132" xfId="6773"/>
    <cellStyle name="Normal 42 133" xfId="6774"/>
    <cellStyle name="Normal 42 134" xfId="6775"/>
    <cellStyle name="Normal 42 135" xfId="6776"/>
    <cellStyle name="Normal 42 136" xfId="6777"/>
    <cellStyle name="Normal 42 137" xfId="6778"/>
    <cellStyle name="Normal 42 138" xfId="6779"/>
    <cellStyle name="Normal 42 139" xfId="6780"/>
    <cellStyle name="Normal 42 14" xfId="6781"/>
    <cellStyle name="Normal 42 140" xfId="6782"/>
    <cellStyle name="Normal 42 141" xfId="6783"/>
    <cellStyle name="Normal 42 142" xfId="6784"/>
    <cellStyle name="Normal 42 143" xfId="6785"/>
    <cellStyle name="Normal 42 144" xfId="6786"/>
    <cellStyle name="Normal 42 145" xfId="6787"/>
    <cellStyle name="Normal 42 146" xfId="6788"/>
    <cellStyle name="Normal 42 147" xfId="6789"/>
    <cellStyle name="Normal 42 148" xfId="6790"/>
    <cellStyle name="Normal 42 149" xfId="6791"/>
    <cellStyle name="Normal 42 15" xfId="6792"/>
    <cellStyle name="Normal 42 150" xfId="6793"/>
    <cellStyle name="Normal 42 151" xfId="6794"/>
    <cellStyle name="Normal 42 152" xfId="6795"/>
    <cellStyle name="Normal 42 153" xfId="6796"/>
    <cellStyle name="Normal 42 154" xfId="6797"/>
    <cellStyle name="Normal 42 155" xfId="6798"/>
    <cellStyle name="Normal 42 156" xfId="6799"/>
    <cellStyle name="Normal 42 157" xfId="6800"/>
    <cellStyle name="Normal 42 158" xfId="6801"/>
    <cellStyle name="Normal 42 159" xfId="6802"/>
    <cellStyle name="Normal 42 16" xfId="6803"/>
    <cellStyle name="Normal 42 160" xfId="6804"/>
    <cellStyle name="Normal 42 161" xfId="6805"/>
    <cellStyle name="Normal 42 162" xfId="6806"/>
    <cellStyle name="Normal 42 163" xfId="6807"/>
    <cellStyle name="Normal 42 164" xfId="6808"/>
    <cellStyle name="Normal 42 165" xfId="6809"/>
    <cellStyle name="Normal 42 166" xfId="6810"/>
    <cellStyle name="Normal 42 167" xfId="6811"/>
    <cellStyle name="Normal 42 168" xfId="6812"/>
    <cellStyle name="Normal 42 169" xfId="6813"/>
    <cellStyle name="Normal 42 17" xfId="6814"/>
    <cellStyle name="Normal 42 170" xfId="6815"/>
    <cellStyle name="Normal 42 171" xfId="6816"/>
    <cellStyle name="Normal 42 172" xfId="6817"/>
    <cellStyle name="Normal 42 173" xfId="6818"/>
    <cellStyle name="Normal 42 174" xfId="6819"/>
    <cellStyle name="Normal 42 175" xfId="6820"/>
    <cellStyle name="Normal 42 176" xfId="6821"/>
    <cellStyle name="Normal 42 177" xfId="6822"/>
    <cellStyle name="Normal 42 178" xfId="6823"/>
    <cellStyle name="Normal 42 179" xfId="6824"/>
    <cellStyle name="Normal 42 18" xfId="6825"/>
    <cellStyle name="Normal 42 180" xfId="6826"/>
    <cellStyle name="Normal 42 181" xfId="6827"/>
    <cellStyle name="Normal 42 182" xfId="6828"/>
    <cellStyle name="Normal 42 183" xfId="6829"/>
    <cellStyle name="Normal 42 184" xfId="6830"/>
    <cellStyle name="Normal 42 185" xfId="6831"/>
    <cellStyle name="Normal 42 186" xfId="6832"/>
    <cellStyle name="Normal 42 187" xfId="6833"/>
    <cellStyle name="Normal 42 188" xfId="6834"/>
    <cellStyle name="Normal 42 189" xfId="6835"/>
    <cellStyle name="Normal 42 19" xfId="6836"/>
    <cellStyle name="Normal 42 190" xfId="6837"/>
    <cellStyle name="Normal 42 191" xfId="6838"/>
    <cellStyle name="Normal 42 192" xfId="6839"/>
    <cellStyle name="Normal 42 193" xfId="6840"/>
    <cellStyle name="Normal 42 194" xfId="6841"/>
    <cellStyle name="Normal 42 195" xfId="6842"/>
    <cellStyle name="Normal 42 196" xfId="6843"/>
    <cellStyle name="Normal 42 197" xfId="6844"/>
    <cellStyle name="Normal 42 198" xfId="6845"/>
    <cellStyle name="Normal 42 2" xfId="6846"/>
    <cellStyle name="Normal 42 20" xfId="6847"/>
    <cellStyle name="Normal 42 21" xfId="6848"/>
    <cellStyle name="Normal 42 22" xfId="6849"/>
    <cellStyle name="Normal 42 23" xfId="6850"/>
    <cellStyle name="Normal 42 24" xfId="6851"/>
    <cellStyle name="Normal 42 25" xfId="6852"/>
    <cellStyle name="Normal 42 26" xfId="6853"/>
    <cellStyle name="Normal 42 27" xfId="6854"/>
    <cellStyle name="Normal 42 28" xfId="6855"/>
    <cellStyle name="Normal 42 29" xfId="6856"/>
    <cellStyle name="Normal 42 3" xfId="6857"/>
    <cellStyle name="Normal 42 30" xfId="6858"/>
    <cellStyle name="Normal 42 31" xfId="6859"/>
    <cellStyle name="Normal 42 32" xfId="6860"/>
    <cellStyle name="Normal 42 33" xfId="6861"/>
    <cellStyle name="Normal 42 34" xfId="6862"/>
    <cellStyle name="Normal 42 35" xfId="6863"/>
    <cellStyle name="Normal 42 36" xfId="6864"/>
    <cellStyle name="Normal 42 37" xfId="6865"/>
    <cellStyle name="Normal 42 38" xfId="6866"/>
    <cellStyle name="Normal 42 39" xfId="6867"/>
    <cellStyle name="Normal 42 4" xfId="6868"/>
    <cellStyle name="Normal 42 40" xfId="6869"/>
    <cellStyle name="Normal 42 41" xfId="6870"/>
    <cellStyle name="Normal 42 42" xfId="6871"/>
    <cellStyle name="Normal 42 43" xfId="6872"/>
    <cellStyle name="Normal 42 44" xfId="6873"/>
    <cellStyle name="Normal 42 45" xfId="6874"/>
    <cellStyle name="Normal 42 46" xfId="6875"/>
    <cellStyle name="Normal 42 47" xfId="6876"/>
    <cellStyle name="Normal 42 48" xfId="6877"/>
    <cellStyle name="Normal 42 49" xfId="6878"/>
    <cellStyle name="Normal 42 5" xfId="6879"/>
    <cellStyle name="Normal 42 50" xfId="6880"/>
    <cellStyle name="Normal 42 51" xfId="6881"/>
    <cellStyle name="Normal 42 52" xfId="6882"/>
    <cellStyle name="Normal 42 53" xfId="6883"/>
    <cellStyle name="Normal 42 54" xfId="6884"/>
    <cellStyle name="Normal 42 55" xfId="6885"/>
    <cellStyle name="Normal 42 56" xfId="6886"/>
    <cellStyle name="Normal 42 57" xfId="6887"/>
    <cellStyle name="Normal 42 58" xfId="6888"/>
    <cellStyle name="Normal 42 59" xfId="6889"/>
    <cellStyle name="Normal 42 6" xfId="6890"/>
    <cellStyle name="Normal 42 60" xfId="6891"/>
    <cellStyle name="Normal 42 61" xfId="6892"/>
    <cellStyle name="Normal 42 62" xfId="6893"/>
    <cellStyle name="Normal 42 63" xfId="6894"/>
    <cellStyle name="Normal 42 64" xfId="6895"/>
    <cellStyle name="Normal 42 65" xfId="6896"/>
    <cellStyle name="Normal 42 66" xfId="6897"/>
    <cellStyle name="Normal 42 67" xfId="6898"/>
    <cellStyle name="Normal 42 68" xfId="6899"/>
    <cellStyle name="Normal 42 69" xfId="6900"/>
    <cellStyle name="Normal 42 7" xfId="6901"/>
    <cellStyle name="Normal 42 70" xfId="6902"/>
    <cellStyle name="Normal 42 71" xfId="6903"/>
    <cellStyle name="Normal 42 72" xfId="6904"/>
    <cellStyle name="Normal 42 73" xfId="6905"/>
    <cellStyle name="Normal 42 74" xfId="6906"/>
    <cellStyle name="Normal 42 75" xfId="6907"/>
    <cellStyle name="Normal 42 76" xfId="6908"/>
    <cellStyle name="Normal 42 77" xfId="6909"/>
    <cellStyle name="Normal 42 78" xfId="6910"/>
    <cellStyle name="Normal 42 79" xfId="6911"/>
    <cellStyle name="Normal 42 8" xfId="6912"/>
    <cellStyle name="Normal 42 80" xfId="6913"/>
    <cellStyle name="Normal 42 81" xfId="6914"/>
    <cellStyle name="Normal 42 82" xfId="6915"/>
    <cellStyle name="Normal 42 83" xfId="6916"/>
    <cellStyle name="Normal 42 84" xfId="6917"/>
    <cellStyle name="Normal 42 85" xfId="6918"/>
    <cellStyle name="Normal 42 86" xfId="6919"/>
    <cellStyle name="Normal 42 87" xfId="6920"/>
    <cellStyle name="Normal 42 88" xfId="6921"/>
    <cellStyle name="Normal 42 89" xfId="6922"/>
    <cellStyle name="Normal 42 9" xfId="6923"/>
    <cellStyle name="Normal 42 90" xfId="6924"/>
    <cellStyle name="Normal 42 91" xfId="6925"/>
    <cellStyle name="Normal 42 92" xfId="6926"/>
    <cellStyle name="Normal 42 93" xfId="6927"/>
    <cellStyle name="Normal 42 94" xfId="6928"/>
    <cellStyle name="Normal 42 95" xfId="6929"/>
    <cellStyle name="Normal 42 96" xfId="6930"/>
    <cellStyle name="Normal 42 97" xfId="6931"/>
    <cellStyle name="Normal 42 98" xfId="6932"/>
    <cellStyle name="Normal 42 99" xfId="6933"/>
    <cellStyle name="Normal 43" xfId="6934"/>
    <cellStyle name="Normal 43 10" xfId="6935"/>
    <cellStyle name="Normal 43 100" xfId="6936"/>
    <cellStyle name="Normal 43 101" xfId="6937"/>
    <cellStyle name="Normal 43 102" xfId="6938"/>
    <cellStyle name="Normal 43 103" xfId="6939"/>
    <cellStyle name="Normal 43 104" xfId="6940"/>
    <cellStyle name="Normal 43 105" xfId="6941"/>
    <cellStyle name="Normal 43 106" xfId="6942"/>
    <cellStyle name="Normal 43 107" xfId="6943"/>
    <cellStyle name="Normal 43 108" xfId="6944"/>
    <cellStyle name="Normal 43 109" xfId="6945"/>
    <cellStyle name="Normal 43 11" xfId="6946"/>
    <cellStyle name="Normal 43 110" xfId="6947"/>
    <cellStyle name="Normal 43 111" xfId="6948"/>
    <cellStyle name="Normal 43 112" xfId="6949"/>
    <cellStyle name="Normal 43 113" xfId="6950"/>
    <cellStyle name="Normal 43 114" xfId="6951"/>
    <cellStyle name="Normal 43 115" xfId="6952"/>
    <cellStyle name="Normal 43 116" xfId="6953"/>
    <cellStyle name="Normal 43 117" xfId="6954"/>
    <cellStyle name="Normal 43 118" xfId="6955"/>
    <cellStyle name="Normal 43 119" xfId="6956"/>
    <cellStyle name="Normal 43 12" xfId="6957"/>
    <cellStyle name="Normal 43 120" xfId="6958"/>
    <cellStyle name="Normal 43 121" xfId="6959"/>
    <cellStyle name="Normal 43 122" xfId="6960"/>
    <cellStyle name="Normal 43 123" xfId="6961"/>
    <cellStyle name="Normal 43 124" xfId="6962"/>
    <cellStyle name="Normal 43 125" xfId="6963"/>
    <cellStyle name="Normal 43 126" xfId="6964"/>
    <cellStyle name="Normal 43 127" xfId="6965"/>
    <cellStyle name="Normal 43 128" xfId="6966"/>
    <cellStyle name="Normal 43 129" xfId="6967"/>
    <cellStyle name="Normal 43 13" xfId="6968"/>
    <cellStyle name="Normal 43 130" xfId="6969"/>
    <cellStyle name="Normal 43 131" xfId="6970"/>
    <cellStyle name="Normal 43 132" xfId="6971"/>
    <cellStyle name="Normal 43 133" xfId="6972"/>
    <cellStyle name="Normal 43 134" xfId="6973"/>
    <cellStyle name="Normal 43 135" xfId="6974"/>
    <cellStyle name="Normal 43 136" xfId="6975"/>
    <cellStyle name="Normal 43 137" xfId="6976"/>
    <cellStyle name="Normal 43 138" xfId="6977"/>
    <cellStyle name="Normal 43 139" xfId="6978"/>
    <cellStyle name="Normal 43 14" xfId="6979"/>
    <cellStyle name="Normal 43 140" xfId="6980"/>
    <cellStyle name="Normal 43 141" xfId="6981"/>
    <cellStyle name="Normal 43 142" xfId="6982"/>
    <cellStyle name="Normal 43 143" xfId="6983"/>
    <cellStyle name="Normal 43 144" xfId="6984"/>
    <cellStyle name="Normal 43 145" xfId="6985"/>
    <cellStyle name="Normal 43 146" xfId="6986"/>
    <cellStyle name="Normal 43 147" xfId="6987"/>
    <cellStyle name="Normal 43 148" xfId="6988"/>
    <cellStyle name="Normal 43 149" xfId="6989"/>
    <cellStyle name="Normal 43 15" xfId="6990"/>
    <cellStyle name="Normal 43 150" xfId="6991"/>
    <cellStyle name="Normal 43 151" xfId="6992"/>
    <cellStyle name="Normal 43 152" xfId="6993"/>
    <cellStyle name="Normal 43 153" xfId="6994"/>
    <cellStyle name="Normal 43 154" xfId="6995"/>
    <cellStyle name="Normal 43 155" xfId="6996"/>
    <cellStyle name="Normal 43 156" xfId="6997"/>
    <cellStyle name="Normal 43 157" xfId="6998"/>
    <cellStyle name="Normal 43 158" xfId="6999"/>
    <cellStyle name="Normal 43 159" xfId="7000"/>
    <cellStyle name="Normal 43 16" xfId="7001"/>
    <cellStyle name="Normal 43 160" xfId="7002"/>
    <cellStyle name="Normal 43 161" xfId="7003"/>
    <cellStyle name="Normal 43 162" xfId="7004"/>
    <cellStyle name="Normal 43 163" xfId="7005"/>
    <cellStyle name="Normal 43 164" xfId="7006"/>
    <cellStyle name="Normal 43 165" xfId="7007"/>
    <cellStyle name="Normal 43 166" xfId="7008"/>
    <cellStyle name="Normal 43 167" xfId="7009"/>
    <cellStyle name="Normal 43 168" xfId="7010"/>
    <cellStyle name="Normal 43 169" xfId="7011"/>
    <cellStyle name="Normal 43 17" xfId="7012"/>
    <cellStyle name="Normal 43 170" xfId="7013"/>
    <cellStyle name="Normal 43 171" xfId="7014"/>
    <cellStyle name="Normal 43 172" xfId="7015"/>
    <cellStyle name="Normal 43 173" xfId="7016"/>
    <cellStyle name="Normal 43 174" xfId="7017"/>
    <cellStyle name="Normal 43 175" xfId="7018"/>
    <cellStyle name="Normal 43 176" xfId="7019"/>
    <cellStyle name="Normal 43 177" xfId="7020"/>
    <cellStyle name="Normal 43 178" xfId="7021"/>
    <cellStyle name="Normal 43 179" xfId="7022"/>
    <cellStyle name="Normal 43 18" xfId="7023"/>
    <cellStyle name="Normal 43 180" xfId="7024"/>
    <cellStyle name="Normal 43 181" xfId="7025"/>
    <cellStyle name="Normal 43 182" xfId="7026"/>
    <cellStyle name="Normal 43 183" xfId="7027"/>
    <cellStyle name="Normal 43 184" xfId="7028"/>
    <cellStyle name="Normal 43 185" xfId="7029"/>
    <cellStyle name="Normal 43 186" xfId="7030"/>
    <cellStyle name="Normal 43 187" xfId="7031"/>
    <cellStyle name="Normal 43 188" xfId="7032"/>
    <cellStyle name="Normal 43 189" xfId="7033"/>
    <cellStyle name="Normal 43 19" xfId="7034"/>
    <cellStyle name="Normal 43 190" xfId="7035"/>
    <cellStyle name="Normal 43 191" xfId="7036"/>
    <cellStyle name="Normal 43 192" xfId="7037"/>
    <cellStyle name="Normal 43 193" xfId="7038"/>
    <cellStyle name="Normal 43 194" xfId="7039"/>
    <cellStyle name="Normal 43 195" xfId="7040"/>
    <cellStyle name="Normal 43 196" xfId="7041"/>
    <cellStyle name="Normal 43 197" xfId="7042"/>
    <cellStyle name="Normal 43 198" xfId="7043"/>
    <cellStyle name="Normal 43 2" xfId="7044"/>
    <cellStyle name="Normal 43 20" xfId="7045"/>
    <cellStyle name="Normal 43 21" xfId="7046"/>
    <cellStyle name="Normal 43 22" xfId="7047"/>
    <cellStyle name="Normal 43 23" xfId="7048"/>
    <cellStyle name="Normal 43 24" xfId="7049"/>
    <cellStyle name="Normal 43 25" xfId="7050"/>
    <cellStyle name="Normal 43 26" xfId="7051"/>
    <cellStyle name="Normal 43 27" xfId="7052"/>
    <cellStyle name="Normal 43 28" xfId="7053"/>
    <cellStyle name="Normal 43 29" xfId="7054"/>
    <cellStyle name="Normal 43 3" xfId="7055"/>
    <cellStyle name="Normal 43 30" xfId="7056"/>
    <cellStyle name="Normal 43 31" xfId="7057"/>
    <cellStyle name="Normal 43 32" xfId="7058"/>
    <cellStyle name="Normal 43 33" xfId="7059"/>
    <cellStyle name="Normal 43 34" xfId="7060"/>
    <cellStyle name="Normal 43 35" xfId="7061"/>
    <cellStyle name="Normal 43 36" xfId="7062"/>
    <cellStyle name="Normal 43 37" xfId="7063"/>
    <cellStyle name="Normal 43 38" xfId="7064"/>
    <cellStyle name="Normal 43 39" xfId="7065"/>
    <cellStyle name="Normal 43 4" xfId="7066"/>
    <cellStyle name="Normal 43 40" xfId="7067"/>
    <cellStyle name="Normal 43 41" xfId="7068"/>
    <cellStyle name="Normal 43 42" xfId="7069"/>
    <cellStyle name="Normal 43 43" xfId="7070"/>
    <cellStyle name="Normal 43 44" xfId="7071"/>
    <cellStyle name="Normal 43 45" xfId="7072"/>
    <cellStyle name="Normal 43 46" xfId="7073"/>
    <cellStyle name="Normal 43 47" xfId="7074"/>
    <cellStyle name="Normal 43 48" xfId="7075"/>
    <cellStyle name="Normal 43 49" xfId="7076"/>
    <cellStyle name="Normal 43 5" xfId="7077"/>
    <cellStyle name="Normal 43 50" xfId="7078"/>
    <cellStyle name="Normal 43 51" xfId="7079"/>
    <cellStyle name="Normal 43 52" xfId="7080"/>
    <cellStyle name="Normal 43 53" xfId="7081"/>
    <cellStyle name="Normal 43 54" xfId="7082"/>
    <cellStyle name="Normal 43 55" xfId="7083"/>
    <cellStyle name="Normal 43 56" xfId="7084"/>
    <cellStyle name="Normal 43 57" xfId="7085"/>
    <cellStyle name="Normal 43 58" xfId="7086"/>
    <cellStyle name="Normal 43 59" xfId="7087"/>
    <cellStyle name="Normal 43 6" xfId="7088"/>
    <cellStyle name="Normal 43 60" xfId="7089"/>
    <cellStyle name="Normal 43 61" xfId="7090"/>
    <cellStyle name="Normal 43 62" xfId="7091"/>
    <cellStyle name="Normal 43 63" xfId="7092"/>
    <cellStyle name="Normal 43 64" xfId="7093"/>
    <cellStyle name="Normal 43 65" xfId="7094"/>
    <cellStyle name="Normal 43 66" xfId="7095"/>
    <cellStyle name="Normal 43 67" xfId="7096"/>
    <cellStyle name="Normal 43 68" xfId="7097"/>
    <cellStyle name="Normal 43 69" xfId="7098"/>
    <cellStyle name="Normal 43 7" xfId="7099"/>
    <cellStyle name="Normal 43 70" xfId="7100"/>
    <cellStyle name="Normal 43 71" xfId="7101"/>
    <cellStyle name="Normal 43 72" xfId="7102"/>
    <cellStyle name="Normal 43 73" xfId="7103"/>
    <cellStyle name="Normal 43 74" xfId="7104"/>
    <cellStyle name="Normal 43 75" xfId="7105"/>
    <cellStyle name="Normal 43 76" xfId="7106"/>
    <cellStyle name="Normal 43 77" xfId="7107"/>
    <cellStyle name="Normal 43 78" xfId="7108"/>
    <cellStyle name="Normal 43 79" xfId="7109"/>
    <cellStyle name="Normal 43 8" xfId="7110"/>
    <cellStyle name="Normal 43 80" xfId="7111"/>
    <cellStyle name="Normal 43 81" xfId="7112"/>
    <cellStyle name="Normal 43 82" xfId="7113"/>
    <cellStyle name="Normal 43 83" xfId="7114"/>
    <cellStyle name="Normal 43 84" xfId="7115"/>
    <cellStyle name="Normal 43 85" xfId="7116"/>
    <cellStyle name="Normal 43 86" xfId="7117"/>
    <cellStyle name="Normal 43 87" xfId="7118"/>
    <cellStyle name="Normal 43 88" xfId="7119"/>
    <cellStyle name="Normal 43 89" xfId="7120"/>
    <cellStyle name="Normal 43 9" xfId="7121"/>
    <cellStyle name="Normal 43 90" xfId="7122"/>
    <cellStyle name="Normal 43 91" xfId="7123"/>
    <cellStyle name="Normal 43 92" xfId="7124"/>
    <cellStyle name="Normal 43 93" xfId="7125"/>
    <cellStyle name="Normal 43 94" xfId="7126"/>
    <cellStyle name="Normal 43 95" xfId="7127"/>
    <cellStyle name="Normal 43 96" xfId="7128"/>
    <cellStyle name="Normal 43 97" xfId="7129"/>
    <cellStyle name="Normal 43 98" xfId="7130"/>
    <cellStyle name="Normal 43 99" xfId="7131"/>
    <cellStyle name="Normal 44" xfId="7132"/>
    <cellStyle name="Normal 44 10" xfId="7133"/>
    <cellStyle name="Normal 44 100" xfId="7134"/>
    <cellStyle name="Normal 44 101" xfId="7135"/>
    <cellStyle name="Normal 44 102" xfId="7136"/>
    <cellStyle name="Normal 44 103" xfId="7137"/>
    <cellStyle name="Normal 44 104" xfId="7138"/>
    <cellStyle name="Normal 44 105" xfId="7139"/>
    <cellStyle name="Normal 44 106" xfId="7140"/>
    <cellStyle name="Normal 44 107" xfId="7141"/>
    <cellStyle name="Normal 44 108" xfId="7142"/>
    <cellStyle name="Normal 44 109" xfId="7143"/>
    <cellStyle name="Normal 44 11" xfId="7144"/>
    <cellStyle name="Normal 44 110" xfId="7145"/>
    <cellStyle name="Normal 44 111" xfId="7146"/>
    <cellStyle name="Normal 44 112" xfId="7147"/>
    <cellStyle name="Normal 44 113" xfId="7148"/>
    <cellStyle name="Normal 44 114" xfId="7149"/>
    <cellStyle name="Normal 44 115" xfId="7150"/>
    <cellStyle name="Normal 44 116" xfId="7151"/>
    <cellStyle name="Normal 44 117" xfId="7152"/>
    <cellStyle name="Normal 44 118" xfId="7153"/>
    <cellStyle name="Normal 44 119" xfId="7154"/>
    <cellStyle name="Normal 44 12" xfId="7155"/>
    <cellStyle name="Normal 44 120" xfId="7156"/>
    <cellStyle name="Normal 44 121" xfId="7157"/>
    <cellStyle name="Normal 44 122" xfId="7158"/>
    <cellStyle name="Normal 44 123" xfId="7159"/>
    <cellStyle name="Normal 44 124" xfId="7160"/>
    <cellStyle name="Normal 44 125" xfId="7161"/>
    <cellStyle name="Normal 44 126" xfId="7162"/>
    <cellStyle name="Normal 44 127" xfId="7163"/>
    <cellStyle name="Normal 44 128" xfId="7164"/>
    <cellStyle name="Normal 44 129" xfId="7165"/>
    <cellStyle name="Normal 44 13" xfId="7166"/>
    <cellStyle name="Normal 44 130" xfId="7167"/>
    <cellStyle name="Normal 44 131" xfId="7168"/>
    <cellStyle name="Normal 44 132" xfId="7169"/>
    <cellStyle name="Normal 44 133" xfId="7170"/>
    <cellStyle name="Normal 44 134" xfId="7171"/>
    <cellStyle name="Normal 44 135" xfId="7172"/>
    <cellStyle name="Normal 44 136" xfId="7173"/>
    <cellStyle name="Normal 44 137" xfId="7174"/>
    <cellStyle name="Normal 44 138" xfId="7175"/>
    <cellStyle name="Normal 44 139" xfId="7176"/>
    <cellStyle name="Normal 44 14" xfId="7177"/>
    <cellStyle name="Normal 44 140" xfId="7178"/>
    <cellStyle name="Normal 44 141" xfId="7179"/>
    <cellStyle name="Normal 44 142" xfId="7180"/>
    <cellStyle name="Normal 44 143" xfId="7181"/>
    <cellStyle name="Normal 44 144" xfId="7182"/>
    <cellStyle name="Normal 44 145" xfId="7183"/>
    <cellStyle name="Normal 44 146" xfId="7184"/>
    <cellStyle name="Normal 44 147" xfId="7185"/>
    <cellStyle name="Normal 44 148" xfId="7186"/>
    <cellStyle name="Normal 44 149" xfId="7187"/>
    <cellStyle name="Normal 44 15" xfId="7188"/>
    <cellStyle name="Normal 44 150" xfId="7189"/>
    <cellStyle name="Normal 44 151" xfId="7190"/>
    <cellStyle name="Normal 44 152" xfId="7191"/>
    <cellStyle name="Normal 44 153" xfId="7192"/>
    <cellStyle name="Normal 44 154" xfId="7193"/>
    <cellStyle name="Normal 44 155" xfId="7194"/>
    <cellStyle name="Normal 44 156" xfId="7195"/>
    <cellStyle name="Normal 44 157" xfId="7196"/>
    <cellStyle name="Normal 44 158" xfId="7197"/>
    <cellStyle name="Normal 44 159" xfId="7198"/>
    <cellStyle name="Normal 44 16" xfId="7199"/>
    <cellStyle name="Normal 44 160" xfId="7200"/>
    <cellStyle name="Normal 44 161" xfId="7201"/>
    <cellStyle name="Normal 44 162" xfId="7202"/>
    <cellStyle name="Normal 44 163" xfId="7203"/>
    <cellStyle name="Normal 44 164" xfId="7204"/>
    <cellStyle name="Normal 44 165" xfId="7205"/>
    <cellStyle name="Normal 44 166" xfId="7206"/>
    <cellStyle name="Normal 44 167" xfId="7207"/>
    <cellStyle name="Normal 44 168" xfId="7208"/>
    <cellStyle name="Normal 44 169" xfId="7209"/>
    <cellStyle name="Normal 44 17" xfId="7210"/>
    <cellStyle name="Normal 44 170" xfId="7211"/>
    <cellStyle name="Normal 44 171" xfId="7212"/>
    <cellStyle name="Normal 44 172" xfId="7213"/>
    <cellStyle name="Normal 44 173" xfId="7214"/>
    <cellStyle name="Normal 44 174" xfId="7215"/>
    <cellStyle name="Normal 44 175" xfId="7216"/>
    <cellStyle name="Normal 44 176" xfId="7217"/>
    <cellStyle name="Normal 44 177" xfId="7218"/>
    <cellStyle name="Normal 44 178" xfId="7219"/>
    <cellStyle name="Normal 44 179" xfId="7220"/>
    <cellStyle name="Normal 44 18" xfId="7221"/>
    <cellStyle name="Normal 44 180" xfId="7222"/>
    <cellStyle name="Normal 44 181" xfId="7223"/>
    <cellStyle name="Normal 44 182" xfId="7224"/>
    <cellStyle name="Normal 44 183" xfId="7225"/>
    <cellStyle name="Normal 44 184" xfId="7226"/>
    <cellStyle name="Normal 44 185" xfId="7227"/>
    <cellStyle name="Normal 44 186" xfId="7228"/>
    <cellStyle name="Normal 44 187" xfId="7229"/>
    <cellStyle name="Normal 44 188" xfId="7230"/>
    <cellStyle name="Normal 44 189" xfId="7231"/>
    <cellStyle name="Normal 44 19" xfId="7232"/>
    <cellStyle name="Normal 44 190" xfId="7233"/>
    <cellStyle name="Normal 44 191" xfId="7234"/>
    <cellStyle name="Normal 44 192" xfId="7235"/>
    <cellStyle name="Normal 44 193" xfId="7236"/>
    <cellStyle name="Normal 44 194" xfId="7237"/>
    <cellStyle name="Normal 44 195" xfId="7238"/>
    <cellStyle name="Normal 44 196" xfId="7239"/>
    <cellStyle name="Normal 44 197" xfId="7240"/>
    <cellStyle name="Normal 44 198" xfId="7241"/>
    <cellStyle name="Normal 44 2" xfId="7242"/>
    <cellStyle name="Normal 44 20" xfId="7243"/>
    <cellStyle name="Normal 44 21" xfId="7244"/>
    <cellStyle name="Normal 44 22" xfId="7245"/>
    <cellStyle name="Normal 44 23" xfId="7246"/>
    <cellStyle name="Normal 44 24" xfId="7247"/>
    <cellStyle name="Normal 44 25" xfId="7248"/>
    <cellStyle name="Normal 44 26" xfId="7249"/>
    <cellStyle name="Normal 44 27" xfId="7250"/>
    <cellStyle name="Normal 44 28" xfId="7251"/>
    <cellStyle name="Normal 44 29" xfId="7252"/>
    <cellStyle name="Normal 44 3" xfId="7253"/>
    <cellStyle name="Normal 44 30" xfId="7254"/>
    <cellStyle name="Normal 44 31" xfId="7255"/>
    <cellStyle name="Normal 44 32" xfId="7256"/>
    <cellStyle name="Normal 44 33" xfId="7257"/>
    <cellStyle name="Normal 44 34" xfId="7258"/>
    <cellStyle name="Normal 44 35" xfId="7259"/>
    <cellStyle name="Normal 44 36" xfId="7260"/>
    <cellStyle name="Normal 44 37" xfId="7261"/>
    <cellStyle name="Normal 44 38" xfId="7262"/>
    <cellStyle name="Normal 44 39" xfId="7263"/>
    <cellStyle name="Normal 44 4" xfId="7264"/>
    <cellStyle name="Normal 44 40" xfId="7265"/>
    <cellStyle name="Normal 44 41" xfId="7266"/>
    <cellStyle name="Normal 44 42" xfId="7267"/>
    <cellStyle name="Normal 44 43" xfId="7268"/>
    <cellStyle name="Normal 44 44" xfId="7269"/>
    <cellStyle name="Normal 44 45" xfId="7270"/>
    <cellStyle name="Normal 44 46" xfId="7271"/>
    <cellStyle name="Normal 44 47" xfId="7272"/>
    <cellStyle name="Normal 44 48" xfId="7273"/>
    <cellStyle name="Normal 44 49" xfId="7274"/>
    <cellStyle name="Normal 44 5" xfId="7275"/>
    <cellStyle name="Normal 44 50" xfId="7276"/>
    <cellStyle name="Normal 44 51" xfId="7277"/>
    <cellStyle name="Normal 44 52" xfId="7278"/>
    <cellStyle name="Normal 44 53" xfId="7279"/>
    <cellStyle name="Normal 44 54" xfId="7280"/>
    <cellStyle name="Normal 44 55" xfId="7281"/>
    <cellStyle name="Normal 44 56" xfId="7282"/>
    <cellStyle name="Normal 44 57" xfId="7283"/>
    <cellStyle name="Normal 44 58" xfId="7284"/>
    <cellStyle name="Normal 44 59" xfId="7285"/>
    <cellStyle name="Normal 44 6" xfId="7286"/>
    <cellStyle name="Normal 44 60" xfId="7287"/>
    <cellStyle name="Normal 44 61" xfId="7288"/>
    <cellStyle name="Normal 44 62" xfId="7289"/>
    <cellStyle name="Normal 44 63" xfId="7290"/>
    <cellStyle name="Normal 44 64" xfId="7291"/>
    <cellStyle name="Normal 44 65" xfId="7292"/>
    <cellStyle name="Normal 44 66" xfId="7293"/>
    <cellStyle name="Normal 44 67" xfId="7294"/>
    <cellStyle name="Normal 44 68" xfId="7295"/>
    <cellStyle name="Normal 44 69" xfId="7296"/>
    <cellStyle name="Normal 44 7" xfId="7297"/>
    <cellStyle name="Normal 44 70" xfId="7298"/>
    <cellStyle name="Normal 44 71" xfId="7299"/>
    <cellStyle name="Normal 44 72" xfId="7300"/>
    <cellStyle name="Normal 44 73" xfId="7301"/>
    <cellStyle name="Normal 44 74" xfId="7302"/>
    <cellStyle name="Normal 44 75" xfId="7303"/>
    <cellStyle name="Normal 44 76" xfId="7304"/>
    <cellStyle name="Normal 44 77" xfId="7305"/>
    <cellStyle name="Normal 44 78" xfId="7306"/>
    <cellStyle name="Normal 44 79" xfId="7307"/>
    <cellStyle name="Normal 44 8" xfId="7308"/>
    <cellStyle name="Normal 44 80" xfId="7309"/>
    <cellStyle name="Normal 44 81" xfId="7310"/>
    <cellStyle name="Normal 44 82" xfId="7311"/>
    <cellStyle name="Normal 44 83" xfId="7312"/>
    <cellStyle name="Normal 44 84" xfId="7313"/>
    <cellStyle name="Normal 44 85" xfId="7314"/>
    <cellStyle name="Normal 44 86" xfId="7315"/>
    <cellStyle name="Normal 44 87" xfId="7316"/>
    <cellStyle name="Normal 44 88" xfId="7317"/>
    <cellStyle name="Normal 44 89" xfId="7318"/>
    <cellStyle name="Normal 44 9" xfId="7319"/>
    <cellStyle name="Normal 44 90" xfId="7320"/>
    <cellStyle name="Normal 44 91" xfId="7321"/>
    <cellStyle name="Normal 44 92" xfId="7322"/>
    <cellStyle name="Normal 44 93" xfId="7323"/>
    <cellStyle name="Normal 44 94" xfId="7324"/>
    <cellStyle name="Normal 44 95" xfId="7325"/>
    <cellStyle name="Normal 44 96" xfId="7326"/>
    <cellStyle name="Normal 44 97" xfId="7327"/>
    <cellStyle name="Normal 44 98" xfId="7328"/>
    <cellStyle name="Normal 44 99" xfId="7329"/>
    <cellStyle name="Normal 45" xfId="7330"/>
    <cellStyle name="Normal 45 10" xfId="7331"/>
    <cellStyle name="Normal 45 100" xfId="7332"/>
    <cellStyle name="Normal 45 101" xfId="7333"/>
    <cellStyle name="Normal 45 102" xfId="7334"/>
    <cellStyle name="Normal 45 103" xfId="7335"/>
    <cellStyle name="Normal 45 104" xfId="7336"/>
    <cellStyle name="Normal 45 105" xfId="7337"/>
    <cellStyle name="Normal 45 106" xfId="7338"/>
    <cellStyle name="Normal 45 107" xfId="7339"/>
    <cellStyle name="Normal 45 108" xfId="7340"/>
    <cellStyle name="Normal 45 109" xfId="7341"/>
    <cellStyle name="Normal 45 11" xfId="7342"/>
    <cellStyle name="Normal 45 110" xfId="7343"/>
    <cellStyle name="Normal 45 111" xfId="7344"/>
    <cellStyle name="Normal 45 112" xfId="7345"/>
    <cellStyle name="Normal 45 113" xfId="7346"/>
    <cellStyle name="Normal 45 114" xfId="7347"/>
    <cellStyle name="Normal 45 115" xfId="7348"/>
    <cellStyle name="Normal 45 116" xfId="7349"/>
    <cellStyle name="Normal 45 117" xfId="7350"/>
    <cellStyle name="Normal 45 118" xfId="7351"/>
    <cellStyle name="Normal 45 119" xfId="7352"/>
    <cellStyle name="Normal 45 12" xfId="7353"/>
    <cellStyle name="Normal 45 120" xfId="7354"/>
    <cellStyle name="Normal 45 121" xfId="7355"/>
    <cellStyle name="Normal 45 122" xfId="7356"/>
    <cellStyle name="Normal 45 123" xfId="7357"/>
    <cellStyle name="Normal 45 124" xfId="7358"/>
    <cellStyle name="Normal 45 125" xfId="7359"/>
    <cellStyle name="Normal 45 126" xfId="7360"/>
    <cellStyle name="Normal 45 127" xfId="7361"/>
    <cellStyle name="Normal 45 128" xfId="7362"/>
    <cellStyle name="Normal 45 129" xfId="7363"/>
    <cellStyle name="Normal 45 13" xfId="7364"/>
    <cellStyle name="Normal 45 130" xfId="7365"/>
    <cellStyle name="Normal 45 131" xfId="7366"/>
    <cellStyle name="Normal 45 132" xfId="7367"/>
    <cellStyle name="Normal 45 133" xfId="7368"/>
    <cellStyle name="Normal 45 134" xfId="7369"/>
    <cellStyle name="Normal 45 135" xfId="7370"/>
    <cellStyle name="Normal 45 136" xfId="7371"/>
    <cellStyle name="Normal 45 137" xfId="7372"/>
    <cellStyle name="Normal 45 138" xfId="7373"/>
    <cellStyle name="Normal 45 139" xfId="7374"/>
    <cellStyle name="Normal 45 14" xfId="7375"/>
    <cellStyle name="Normal 45 140" xfId="7376"/>
    <cellStyle name="Normal 45 141" xfId="7377"/>
    <cellStyle name="Normal 45 142" xfId="7378"/>
    <cellStyle name="Normal 45 143" xfId="7379"/>
    <cellStyle name="Normal 45 144" xfId="7380"/>
    <cellStyle name="Normal 45 145" xfId="7381"/>
    <cellStyle name="Normal 45 146" xfId="7382"/>
    <cellStyle name="Normal 45 147" xfId="7383"/>
    <cellStyle name="Normal 45 148" xfId="7384"/>
    <cellStyle name="Normal 45 149" xfId="7385"/>
    <cellStyle name="Normal 45 15" xfId="7386"/>
    <cellStyle name="Normal 45 150" xfId="7387"/>
    <cellStyle name="Normal 45 151" xfId="7388"/>
    <cellStyle name="Normal 45 152" xfId="7389"/>
    <cellStyle name="Normal 45 153" xfId="7390"/>
    <cellStyle name="Normal 45 154" xfId="7391"/>
    <cellStyle name="Normal 45 155" xfId="7392"/>
    <cellStyle name="Normal 45 156" xfId="7393"/>
    <cellStyle name="Normal 45 157" xfId="7394"/>
    <cellStyle name="Normal 45 158" xfId="7395"/>
    <cellStyle name="Normal 45 159" xfId="7396"/>
    <cellStyle name="Normal 45 16" xfId="7397"/>
    <cellStyle name="Normal 45 160" xfId="7398"/>
    <cellStyle name="Normal 45 161" xfId="7399"/>
    <cellStyle name="Normal 45 162" xfId="7400"/>
    <cellStyle name="Normal 45 163" xfId="7401"/>
    <cellStyle name="Normal 45 164" xfId="7402"/>
    <cellStyle name="Normal 45 165" xfId="7403"/>
    <cellStyle name="Normal 45 166" xfId="7404"/>
    <cellStyle name="Normal 45 167" xfId="7405"/>
    <cellStyle name="Normal 45 168" xfId="7406"/>
    <cellStyle name="Normal 45 169" xfId="7407"/>
    <cellStyle name="Normal 45 17" xfId="7408"/>
    <cellStyle name="Normal 45 170" xfId="7409"/>
    <cellStyle name="Normal 45 171" xfId="7410"/>
    <cellStyle name="Normal 45 172" xfId="7411"/>
    <cellStyle name="Normal 45 173" xfId="7412"/>
    <cellStyle name="Normal 45 174" xfId="7413"/>
    <cellStyle name="Normal 45 175" xfId="7414"/>
    <cellStyle name="Normal 45 176" xfId="7415"/>
    <cellStyle name="Normal 45 177" xfId="7416"/>
    <cellStyle name="Normal 45 178" xfId="7417"/>
    <cellStyle name="Normal 45 179" xfId="7418"/>
    <cellStyle name="Normal 45 18" xfId="7419"/>
    <cellStyle name="Normal 45 180" xfId="7420"/>
    <cellStyle name="Normal 45 181" xfId="7421"/>
    <cellStyle name="Normal 45 182" xfId="7422"/>
    <cellStyle name="Normal 45 183" xfId="7423"/>
    <cellStyle name="Normal 45 184" xfId="7424"/>
    <cellStyle name="Normal 45 185" xfId="7425"/>
    <cellStyle name="Normal 45 186" xfId="7426"/>
    <cellStyle name="Normal 45 187" xfId="7427"/>
    <cellStyle name="Normal 45 188" xfId="7428"/>
    <cellStyle name="Normal 45 189" xfId="7429"/>
    <cellStyle name="Normal 45 19" xfId="7430"/>
    <cellStyle name="Normal 45 190" xfId="7431"/>
    <cellStyle name="Normal 45 191" xfId="7432"/>
    <cellStyle name="Normal 45 192" xfId="7433"/>
    <cellStyle name="Normal 45 193" xfId="7434"/>
    <cellStyle name="Normal 45 194" xfId="7435"/>
    <cellStyle name="Normal 45 195" xfId="7436"/>
    <cellStyle name="Normal 45 196" xfId="7437"/>
    <cellStyle name="Normal 45 197" xfId="7438"/>
    <cellStyle name="Normal 45 198" xfId="7439"/>
    <cellStyle name="Normal 45 2" xfId="7440"/>
    <cellStyle name="Normal 45 20" xfId="7441"/>
    <cellStyle name="Normal 45 21" xfId="7442"/>
    <cellStyle name="Normal 45 22" xfId="7443"/>
    <cellStyle name="Normal 45 23" xfId="7444"/>
    <cellStyle name="Normal 45 24" xfId="7445"/>
    <cellStyle name="Normal 45 25" xfId="7446"/>
    <cellStyle name="Normal 45 26" xfId="7447"/>
    <cellStyle name="Normal 45 27" xfId="7448"/>
    <cellStyle name="Normal 45 28" xfId="7449"/>
    <cellStyle name="Normal 45 29" xfId="7450"/>
    <cellStyle name="Normal 45 3" xfId="7451"/>
    <cellStyle name="Normal 45 30" xfId="7452"/>
    <cellStyle name="Normal 45 31" xfId="7453"/>
    <cellStyle name="Normal 45 32" xfId="7454"/>
    <cellStyle name="Normal 45 33" xfId="7455"/>
    <cellStyle name="Normal 45 34" xfId="7456"/>
    <cellStyle name="Normal 45 35" xfId="7457"/>
    <cellStyle name="Normal 45 36" xfId="7458"/>
    <cellStyle name="Normal 45 37" xfId="7459"/>
    <cellStyle name="Normal 45 38" xfId="7460"/>
    <cellStyle name="Normal 45 39" xfId="7461"/>
    <cellStyle name="Normal 45 4" xfId="7462"/>
    <cellStyle name="Normal 45 40" xfId="7463"/>
    <cellStyle name="Normal 45 41" xfId="7464"/>
    <cellStyle name="Normal 45 42" xfId="7465"/>
    <cellStyle name="Normal 45 43" xfId="7466"/>
    <cellStyle name="Normal 45 44" xfId="7467"/>
    <cellStyle name="Normal 45 45" xfId="7468"/>
    <cellStyle name="Normal 45 46" xfId="7469"/>
    <cellStyle name="Normal 45 47" xfId="7470"/>
    <cellStyle name="Normal 45 48" xfId="7471"/>
    <cellStyle name="Normal 45 49" xfId="7472"/>
    <cellStyle name="Normal 45 5" xfId="7473"/>
    <cellStyle name="Normal 45 50" xfId="7474"/>
    <cellStyle name="Normal 45 51" xfId="7475"/>
    <cellStyle name="Normal 45 52" xfId="7476"/>
    <cellStyle name="Normal 45 53" xfId="7477"/>
    <cellStyle name="Normal 45 54" xfId="7478"/>
    <cellStyle name="Normal 45 55" xfId="7479"/>
    <cellStyle name="Normal 45 56" xfId="7480"/>
    <cellStyle name="Normal 45 57" xfId="7481"/>
    <cellStyle name="Normal 45 58" xfId="7482"/>
    <cellStyle name="Normal 45 59" xfId="7483"/>
    <cellStyle name="Normal 45 6" xfId="7484"/>
    <cellStyle name="Normal 45 60" xfId="7485"/>
    <cellStyle name="Normal 45 61" xfId="7486"/>
    <cellStyle name="Normal 45 62" xfId="7487"/>
    <cellStyle name="Normal 45 63" xfId="7488"/>
    <cellStyle name="Normal 45 64" xfId="7489"/>
    <cellStyle name="Normal 45 65" xfId="7490"/>
    <cellStyle name="Normal 45 66" xfId="7491"/>
    <cellStyle name="Normal 45 67" xfId="7492"/>
    <cellStyle name="Normal 45 68" xfId="7493"/>
    <cellStyle name="Normal 45 69" xfId="7494"/>
    <cellStyle name="Normal 45 7" xfId="7495"/>
    <cellStyle name="Normal 45 70" xfId="7496"/>
    <cellStyle name="Normal 45 71" xfId="7497"/>
    <cellStyle name="Normal 45 72" xfId="7498"/>
    <cellStyle name="Normal 45 73" xfId="7499"/>
    <cellStyle name="Normal 45 74" xfId="7500"/>
    <cellStyle name="Normal 45 75" xfId="7501"/>
    <cellStyle name="Normal 45 76" xfId="7502"/>
    <cellStyle name="Normal 45 77" xfId="7503"/>
    <cellStyle name="Normal 45 78" xfId="7504"/>
    <cellStyle name="Normal 45 79" xfId="7505"/>
    <cellStyle name="Normal 45 8" xfId="7506"/>
    <cellStyle name="Normal 45 80" xfId="7507"/>
    <cellStyle name="Normal 45 81" xfId="7508"/>
    <cellStyle name="Normal 45 82" xfId="7509"/>
    <cellStyle name="Normal 45 83" xfId="7510"/>
    <cellStyle name="Normal 45 84" xfId="7511"/>
    <cellStyle name="Normal 45 85" xfId="7512"/>
    <cellStyle name="Normal 45 86" xfId="7513"/>
    <cellStyle name="Normal 45 87" xfId="7514"/>
    <cellStyle name="Normal 45 88" xfId="7515"/>
    <cellStyle name="Normal 45 89" xfId="7516"/>
    <cellStyle name="Normal 45 9" xfId="7517"/>
    <cellStyle name="Normal 45 90" xfId="7518"/>
    <cellStyle name="Normal 45 91" xfId="7519"/>
    <cellStyle name="Normal 45 92" xfId="7520"/>
    <cellStyle name="Normal 45 93" xfId="7521"/>
    <cellStyle name="Normal 45 94" xfId="7522"/>
    <cellStyle name="Normal 45 95" xfId="7523"/>
    <cellStyle name="Normal 45 96" xfId="7524"/>
    <cellStyle name="Normal 45 97" xfId="7525"/>
    <cellStyle name="Normal 45 98" xfId="7526"/>
    <cellStyle name="Normal 45 99" xfId="7527"/>
    <cellStyle name="Normal 46" xfId="7528"/>
    <cellStyle name="Normal 46 10" xfId="7529"/>
    <cellStyle name="Normal 46 100" xfId="7530"/>
    <cellStyle name="Normal 46 101" xfId="7531"/>
    <cellStyle name="Normal 46 102" xfId="7532"/>
    <cellStyle name="Normal 46 103" xfId="7533"/>
    <cellStyle name="Normal 46 104" xfId="7534"/>
    <cellStyle name="Normal 46 105" xfId="7535"/>
    <cellStyle name="Normal 46 106" xfId="7536"/>
    <cellStyle name="Normal 46 107" xfId="7537"/>
    <cellStyle name="Normal 46 108" xfId="7538"/>
    <cellStyle name="Normal 46 109" xfId="7539"/>
    <cellStyle name="Normal 46 11" xfId="7540"/>
    <cellStyle name="Normal 46 110" xfId="7541"/>
    <cellStyle name="Normal 46 111" xfId="7542"/>
    <cellStyle name="Normal 46 112" xfId="7543"/>
    <cellStyle name="Normal 46 113" xfId="7544"/>
    <cellStyle name="Normal 46 114" xfId="7545"/>
    <cellStyle name="Normal 46 115" xfId="7546"/>
    <cellStyle name="Normal 46 116" xfId="7547"/>
    <cellStyle name="Normal 46 117" xfId="7548"/>
    <cellStyle name="Normal 46 118" xfId="7549"/>
    <cellStyle name="Normal 46 119" xfId="7550"/>
    <cellStyle name="Normal 46 12" xfId="7551"/>
    <cellStyle name="Normal 46 120" xfId="7552"/>
    <cellStyle name="Normal 46 121" xfId="7553"/>
    <cellStyle name="Normal 46 122" xfId="7554"/>
    <cellStyle name="Normal 46 123" xfId="7555"/>
    <cellStyle name="Normal 46 124" xfId="7556"/>
    <cellStyle name="Normal 46 125" xfId="7557"/>
    <cellStyle name="Normal 46 126" xfId="7558"/>
    <cellStyle name="Normal 46 127" xfId="7559"/>
    <cellStyle name="Normal 46 128" xfId="7560"/>
    <cellStyle name="Normal 46 129" xfId="7561"/>
    <cellStyle name="Normal 46 13" xfId="7562"/>
    <cellStyle name="Normal 46 130" xfId="7563"/>
    <cellStyle name="Normal 46 131" xfId="7564"/>
    <cellStyle name="Normal 46 132" xfId="7565"/>
    <cellStyle name="Normal 46 133" xfId="7566"/>
    <cellStyle name="Normal 46 134" xfId="7567"/>
    <cellStyle name="Normal 46 135" xfId="7568"/>
    <cellStyle name="Normal 46 136" xfId="7569"/>
    <cellStyle name="Normal 46 137" xfId="7570"/>
    <cellStyle name="Normal 46 138" xfId="7571"/>
    <cellStyle name="Normal 46 139" xfId="7572"/>
    <cellStyle name="Normal 46 14" xfId="7573"/>
    <cellStyle name="Normal 46 140" xfId="7574"/>
    <cellStyle name="Normal 46 141" xfId="7575"/>
    <cellStyle name="Normal 46 142" xfId="7576"/>
    <cellStyle name="Normal 46 143" xfId="7577"/>
    <cellStyle name="Normal 46 144" xfId="7578"/>
    <cellStyle name="Normal 46 145" xfId="7579"/>
    <cellStyle name="Normal 46 146" xfId="7580"/>
    <cellStyle name="Normal 46 147" xfId="7581"/>
    <cellStyle name="Normal 46 148" xfId="7582"/>
    <cellStyle name="Normal 46 149" xfId="7583"/>
    <cellStyle name="Normal 46 15" xfId="7584"/>
    <cellStyle name="Normal 46 150" xfId="7585"/>
    <cellStyle name="Normal 46 151" xfId="7586"/>
    <cellStyle name="Normal 46 152" xfId="7587"/>
    <cellStyle name="Normal 46 153" xfId="7588"/>
    <cellStyle name="Normal 46 154" xfId="7589"/>
    <cellStyle name="Normal 46 155" xfId="7590"/>
    <cellStyle name="Normal 46 156" xfId="7591"/>
    <cellStyle name="Normal 46 157" xfId="7592"/>
    <cellStyle name="Normal 46 158" xfId="7593"/>
    <cellStyle name="Normal 46 159" xfId="7594"/>
    <cellStyle name="Normal 46 16" xfId="7595"/>
    <cellStyle name="Normal 46 160" xfId="7596"/>
    <cellStyle name="Normal 46 161" xfId="7597"/>
    <cellStyle name="Normal 46 162" xfId="7598"/>
    <cellStyle name="Normal 46 163" xfId="7599"/>
    <cellStyle name="Normal 46 164" xfId="7600"/>
    <cellStyle name="Normal 46 165" xfId="7601"/>
    <cellStyle name="Normal 46 166" xfId="7602"/>
    <cellStyle name="Normal 46 167" xfId="7603"/>
    <cellStyle name="Normal 46 168" xfId="7604"/>
    <cellStyle name="Normal 46 169" xfId="7605"/>
    <cellStyle name="Normal 46 17" xfId="7606"/>
    <cellStyle name="Normal 46 170" xfId="7607"/>
    <cellStyle name="Normal 46 171" xfId="7608"/>
    <cellStyle name="Normal 46 172" xfId="7609"/>
    <cellStyle name="Normal 46 173" xfId="7610"/>
    <cellStyle name="Normal 46 174" xfId="7611"/>
    <cellStyle name="Normal 46 175" xfId="7612"/>
    <cellStyle name="Normal 46 176" xfId="7613"/>
    <cellStyle name="Normal 46 177" xfId="7614"/>
    <cellStyle name="Normal 46 178" xfId="7615"/>
    <cellStyle name="Normal 46 179" xfId="7616"/>
    <cellStyle name="Normal 46 18" xfId="7617"/>
    <cellStyle name="Normal 46 180" xfId="7618"/>
    <cellStyle name="Normal 46 181" xfId="7619"/>
    <cellStyle name="Normal 46 182" xfId="7620"/>
    <cellStyle name="Normal 46 183" xfId="7621"/>
    <cellStyle name="Normal 46 184" xfId="7622"/>
    <cellStyle name="Normal 46 185" xfId="7623"/>
    <cellStyle name="Normal 46 186" xfId="7624"/>
    <cellStyle name="Normal 46 187" xfId="7625"/>
    <cellStyle name="Normal 46 188" xfId="7626"/>
    <cellStyle name="Normal 46 189" xfId="7627"/>
    <cellStyle name="Normal 46 19" xfId="7628"/>
    <cellStyle name="Normal 46 190" xfId="7629"/>
    <cellStyle name="Normal 46 191" xfId="7630"/>
    <cellStyle name="Normal 46 192" xfId="7631"/>
    <cellStyle name="Normal 46 193" xfId="7632"/>
    <cellStyle name="Normal 46 194" xfId="7633"/>
    <cellStyle name="Normal 46 195" xfId="7634"/>
    <cellStyle name="Normal 46 196" xfId="7635"/>
    <cellStyle name="Normal 46 197" xfId="7636"/>
    <cellStyle name="Normal 46 198" xfId="7637"/>
    <cellStyle name="Normal 46 2" xfId="7638"/>
    <cellStyle name="Normal 46 20" xfId="7639"/>
    <cellStyle name="Normal 46 21" xfId="7640"/>
    <cellStyle name="Normal 46 22" xfId="7641"/>
    <cellStyle name="Normal 46 23" xfId="7642"/>
    <cellStyle name="Normal 46 24" xfId="7643"/>
    <cellStyle name="Normal 46 25" xfId="7644"/>
    <cellStyle name="Normal 46 26" xfId="7645"/>
    <cellStyle name="Normal 46 27" xfId="7646"/>
    <cellStyle name="Normal 46 28" xfId="7647"/>
    <cellStyle name="Normal 46 29" xfId="7648"/>
    <cellStyle name="Normal 46 3" xfId="7649"/>
    <cellStyle name="Normal 46 30" xfId="7650"/>
    <cellStyle name="Normal 46 31" xfId="7651"/>
    <cellStyle name="Normal 46 32" xfId="7652"/>
    <cellStyle name="Normal 46 33" xfId="7653"/>
    <cellStyle name="Normal 46 34" xfId="7654"/>
    <cellStyle name="Normal 46 35" xfId="7655"/>
    <cellStyle name="Normal 46 36" xfId="7656"/>
    <cellStyle name="Normal 46 37" xfId="7657"/>
    <cellStyle name="Normal 46 38" xfId="7658"/>
    <cellStyle name="Normal 46 39" xfId="7659"/>
    <cellStyle name="Normal 46 4" xfId="7660"/>
    <cellStyle name="Normal 46 40" xfId="7661"/>
    <cellStyle name="Normal 46 41" xfId="7662"/>
    <cellStyle name="Normal 46 42" xfId="7663"/>
    <cellStyle name="Normal 46 43" xfId="7664"/>
    <cellStyle name="Normal 46 44" xfId="7665"/>
    <cellStyle name="Normal 46 45" xfId="7666"/>
    <cellStyle name="Normal 46 46" xfId="7667"/>
    <cellStyle name="Normal 46 47" xfId="7668"/>
    <cellStyle name="Normal 46 48" xfId="7669"/>
    <cellStyle name="Normal 46 49" xfId="7670"/>
    <cellStyle name="Normal 46 5" xfId="7671"/>
    <cellStyle name="Normal 46 50" xfId="7672"/>
    <cellStyle name="Normal 46 51" xfId="7673"/>
    <cellStyle name="Normal 46 52" xfId="7674"/>
    <cellStyle name="Normal 46 53" xfId="7675"/>
    <cellStyle name="Normal 46 54" xfId="7676"/>
    <cellStyle name="Normal 46 55" xfId="7677"/>
    <cellStyle name="Normal 46 56" xfId="7678"/>
    <cellStyle name="Normal 46 57" xfId="7679"/>
    <cellStyle name="Normal 46 58" xfId="7680"/>
    <cellStyle name="Normal 46 59" xfId="7681"/>
    <cellStyle name="Normal 46 6" xfId="7682"/>
    <cellStyle name="Normal 46 60" xfId="7683"/>
    <cellStyle name="Normal 46 61" xfId="7684"/>
    <cellStyle name="Normal 46 62" xfId="7685"/>
    <cellStyle name="Normal 46 63" xfId="7686"/>
    <cellStyle name="Normal 46 64" xfId="7687"/>
    <cellStyle name="Normal 46 65" xfId="7688"/>
    <cellStyle name="Normal 46 66" xfId="7689"/>
    <cellStyle name="Normal 46 67" xfId="7690"/>
    <cellStyle name="Normal 46 68" xfId="7691"/>
    <cellStyle name="Normal 46 69" xfId="7692"/>
    <cellStyle name="Normal 46 7" xfId="7693"/>
    <cellStyle name="Normal 46 70" xfId="7694"/>
    <cellStyle name="Normal 46 71" xfId="7695"/>
    <cellStyle name="Normal 46 72" xfId="7696"/>
    <cellStyle name="Normal 46 73" xfId="7697"/>
    <cellStyle name="Normal 46 74" xfId="7698"/>
    <cellStyle name="Normal 46 75" xfId="7699"/>
    <cellStyle name="Normal 46 76" xfId="7700"/>
    <cellStyle name="Normal 46 77" xfId="7701"/>
    <cellStyle name="Normal 46 78" xfId="7702"/>
    <cellStyle name="Normal 46 79" xfId="7703"/>
    <cellStyle name="Normal 46 8" xfId="7704"/>
    <cellStyle name="Normal 46 80" xfId="7705"/>
    <cellStyle name="Normal 46 81" xfId="7706"/>
    <cellStyle name="Normal 46 82" xfId="7707"/>
    <cellStyle name="Normal 46 83" xfId="7708"/>
    <cellStyle name="Normal 46 84" xfId="7709"/>
    <cellStyle name="Normal 46 85" xfId="7710"/>
    <cellStyle name="Normal 46 86" xfId="7711"/>
    <cellStyle name="Normal 46 87" xfId="7712"/>
    <cellStyle name="Normal 46 88" xfId="7713"/>
    <cellStyle name="Normal 46 89" xfId="7714"/>
    <cellStyle name="Normal 46 9" xfId="7715"/>
    <cellStyle name="Normal 46 90" xfId="7716"/>
    <cellStyle name="Normal 46 91" xfId="7717"/>
    <cellStyle name="Normal 46 92" xfId="7718"/>
    <cellStyle name="Normal 46 93" xfId="7719"/>
    <cellStyle name="Normal 46 94" xfId="7720"/>
    <cellStyle name="Normal 46 95" xfId="7721"/>
    <cellStyle name="Normal 46 96" xfId="7722"/>
    <cellStyle name="Normal 46 97" xfId="7723"/>
    <cellStyle name="Normal 46 98" xfId="7724"/>
    <cellStyle name="Normal 46 99" xfId="7725"/>
    <cellStyle name="Normal 47" xfId="7726"/>
    <cellStyle name="Normal 47 10" xfId="7727"/>
    <cellStyle name="Normal 47 100" xfId="7728"/>
    <cellStyle name="Normal 47 101" xfId="7729"/>
    <cellStyle name="Normal 47 102" xfId="7730"/>
    <cellStyle name="Normal 47 103" xfId="7731"/>
    <cellStyle name="Normal 47 104" xfId="7732"/>
    <cellStyle name="Normal 47 105" xfId="7733"/>
    <cellStyle name="Normal 47 106" xfId="7734"/>
    <cellStyle name="Normal 47 107" xfId="7735"/>
    <cellStyle name="Normal 47 108" xfId="7736"/>
    <cellStyle name="Normal 47 109" xfId="7737"/>
    <cellStyle name="Normal 47 11" xfId="7738"/>
    <cellStyle name="Normal 47 110" xfId="7739"/>
    <cellStyle name="Normal 47 111" xfId="7740"/>
    <cellStyle name="Normal 47 112" xfId="7741"/>
    <cellStyle name="Normal 47 113" xfId="7742"/>
    <cellStyle name="Normal 47 114" xfId="7743"/>
    <cellStyle name="Normal 47 115" xfId="7744"/>
    <cellStyle name="Normal 47 116" xfId="7745"/>
    <cellStyle name="Normal 47 117" xfId="7746"/>
    <cellStyle name="Normal 47 118" xfId="7747"/>
    <cellStyle name="Normal 47 119" xfId="7748"/>
    <cellStyle name="Normal 47 12" xfId="7749"/>
    <cellStyle name="Normal 47 120" xfId="7750"/>
    <cellStyle name="Normal 47 121" xfId="7751"/>
    <cellStyle name="Normal 47 122" xfId="7752"/>
    <cellStyle name="Normal 47 123" xfId="7753"/>
    <cellStyle name="Normal 47 124" xfId="7754"/>
    <cellStyle name="Normal 47 125" xfId="7755"/>
    <cellStyle name="Normal 47 126" xfId="7756"/>
    <cellStyle name="Normal 47 127" xfId="7757"/>
    <cellStyle name="Normal 47 128" xfId="7758"/>
    <cellStyle name="Normal 47 129" xfId="7759"/>
    <cellStyle name="Normal 47 13" xfId="7760"/>
    <cellStyle name="Normal 47 130" xfId="7761"/>
    <cellStyle name="Normal 47 131" xfId="7762"/>
    <cellStyle name="Normal 47 132" xfId="7763"/>
    <cellStyle name="Normal 47 133" xfId="7764"/>
    <cellStyle name="Normal 47 134" xfId="7765"/>
    <cellStyle name="Normal 47 135" xfId="7766"/>
    <cellStyle name="Normal 47 136" xfId="7767"/>
    <cellStyle name="Normal 47 137" xfId="7768"/>
    <cellStyle name="Normal 47 138" xfId="7769"/>
    <cellStyle name="Normal 47 139" xfId="7770"/>
    <cellStyle name="Normal 47 14" xfId="7771"/>
    <cellStyle name="Normal 47 140" xfId="7772"/>
    <cellStyle name="Normal 47 141" xfId="7773"/>
    <cellStyle name="Normal 47 142" xfId="7774"/>
    <cellStyle name="Normal 47 143" xfId="7775"/>
    <cellStyle name="Normal 47 144" xfId="7776"/>
    <cellStyle name="Normal 47 145" xfId="7777"/>
    <cellStyle name="Normal 47 146" xfId="7778"/>
    <cellStyle name="Normal 47 147" xfId="7779"/>
    <cellStyle name="Normal 47 148" xfId="7780"/>
    <cellStyle name="Normal 47 149" xfId="7781"/>
    <cellStyle name="Normal 47 15" xfId="7782"/>
    <cellStyle name="Normal 47 150" xfId="7783"/>
    <cellStyle name="Normal 47 151" xfId="7784"/>
    <cellStyle name="Normal 47 152" xfId="7785"/>
    <cellStyle name="Normal 47 153" xfId="7786"/>
    <cellStyle name="Normal 47 154" xfId="7787"/>
    <cellStyle name="Normal 47 155" xfId="7788"/>
    <cellStyle name="Normal 47 156" xfId="7789"/>
    <cellStyle name="Normal 47 157" xfId="7790"/>
    <cellStyle name="Normal 47 158" xfId="7791"/>
    <cellStyle name="Normal 47 159" xfId="7792"/>
    <cellStyle name="Normal 47 16" xfId="7793"/>
    <cellStyle name="Normal 47 160" xfId="7794"/>
    <cellStyle name="Normal 47 161" xfId="7795"/>
    <cellStyle name="Normal 47 162" xfId="7796"/>
    <cellStyle name="Normal 47 163" xfId="7797"/>
    <cellStyle name="Normal 47 164" xfId="7798"/>
    <cellStyle name="Normal 47 165" xfId="7799"/>
    <cellStyle name="Normal 47 166" xfId="7800"/>
    <cellStyle name="Normal 47 167" xfId="7801"/>
    <cellStyle name="Normal 47 168" xfId="7802"/>
    <cellStyle name="Normal 47 169" xfId="7803"/>
    <cellStyle name="Normal 47 17" xfId="7804"/>
    <cellStyle name="Normal 47 170" xfId="7805"/>
    <cellStyle name="Normal 47 171" xfId="7806"/>
    <cellStyle name="Normal 47 172" xfId="7807"/>
    <cellStyle name="Normal 47 173" xfId="7808"/>
    <cellStyle name="Normal 47 174" xfId="7809"/>
    <cellStyle name="Normal 47 175" xfId="7810"/>
    <cellStyle name="Normal 47 176" xfId="7811"/>
    <cellStyle name="Normal 47 177" xfId="7812"/>
    <cellStyle name="Normal 47 178" xfId="7813"/>
    <cellStyle name="Normal 47 179" xfId="7814"/>
    <cellStyle name="Normal 47 18" xfId="7815"/>
    <cellStyle name="Normal 47 180" xfId="7816"/>
    <cellStyle name="Normal 47 181" xfId="7817"/>
    <cellStyle name="Normal 47 182" xfId="7818"/>
    <cellStyle name="Normal 47 183" xfId="7819"/>
    <cellStyle name="Normal 47 184" xfId="7820"/>
    <cellStyle name="Normal 47 185" xfId="7821"/>
    <cellStyle name="Normal 47 186" xfId="7822"/>
    <cellStyle name="Normal 47 187" xfId="7823"/>
    <cellStyle name="Normal 47 188" xfId="7824"/>
    <cellStyle name="Normal 47 189" xfId="7825"/>
    <cellStyle name="Normal 47 19" xfId="7826"/>
    <cellStyle name="Normal 47 190" xfId="7827"/>
    <cellStyle name="Normal 47 191" xfId="7828"/>
    <cellStyle name="Normal 47 192" xfId="7829"/>
    <cellStyle name="Normal 47 193" xfId="7830"/>
    <cellStyle name="Normal 47 194" xfId="7831"/>
    <cellStyle name="Normal 47 195" xfId="7832"/>
    <cellStyle name="Normal 47 196" xfId="7833"/>
    <cellStyle name="Normal 47 197" xfId="7834"/>
    <cellStyle name="Normal 47 198" xfId="7835"/>
    <cellStyle name="Normal 47 2" xfId="7836"/>
    <cellStyle name="Normal 47 20" xfId="7837"/>
    <cellStyle name="Normal 47 21" xfId="7838"/>
    <cellStyle name="Normal 47 22" xfId="7839"/>
    <cellStyle name="Normal 47 23" xfId="7840"/>
    <cellStyle name="Normal 47 24" xfId="7841"/>
    <cellStyle name="Normal 47 25" xfId="7842"/>
    <cellStyle name="Normal 47 26" xfId="7843"/>
    <cellStyle name="Normal 47 27" xfId="7844"/>
    <cellStyle name="Normal 47 28" xfId="7845"/>
    <cellStyle name="Normal 47 29" xfId="7846"/>
    <cellStyle name="Normal 47 3" xfId="7847"/>
    <cellStyle name="Normal 47 30" xfId="7848"/>
    <cellStyle name="Normal 47 31" xfId="7849"/>
    <cellStyle name="Normal 47 32" xfId="7850"/>
    <cellStyle name="Normal 47 33" xfId="7851"/>
    <cellStyle name="Normal 47 34" xfId="7852"/>
    <cellStyle name="Normal 47 35" xfId="7853"/>
    <cellStyle name="Normal 47 36" xfId="7854"/>
    <cellStyle name="Normal 47 37" xfId="7855"/>
    <cellStyle name="Normal 47 38" xfId="7856"/>
    <cellStyle name="Normal 47 39" xfId="7857"/>
    <cellStyle name="Normal 47 4" xfId="7858"/>
    <cellStyle name="Normal 47 40" xfId="7859"/>
    <cellStyle name="Normal 47 41" xfId="7860"/>
    <cellStyle name="Normal 47 42" xfId="7861"/>
    <cellStyle name="Normal 47 43" xfId="7862"/>
    <cellStyle name="Normal 47 44" xfId="7863"/>
    <cellStyle name="Normal 47 45" xfId="7864"/>
    <cellStyle name="Normal 47 46" xfId="7865"/>
    <cellStyle name="Normal 47 47" xfId="7866"/>
    <cellStyle name="Normal 47 48" xfId="7867"/>
    <cellStyle name="Normal 47 49" xfId="7868"/>
    <cellStyle name="Normal 47 5" xfId="7869"/>
    <cellStyle name="Normal 47 50" xfId="7870"/>
    <cellStyle name="Normal 47 51" xfId="7871"/>
    <cellStyle name="Normal 47 52" xfId="7872"/>
    <cellStyle name="Normal 47 53" xfId="7873"/>
    <cellStyle name="Normal 47 54" xfId="7874"/>
    <cellStyle name="Normal 47 55" xfId="7875"/>
    <cellStyle name="Normal 47 56" xfId="7876"/>
    <cellStyle name="Normal 47 57" xfId="7877"/>
    <cellStyle name="Normal 47 58" xfId="7878"/>
    <cellStyle name="Normal 47 59" xfId="7879"/>
    <cellStyle name="Normal 47 6" xfId="7880"/>
    <cellStyle name="Normal 47 60" xfId="7881"/>
    <cellStyle name="Normal 47 61" xfId="7882"/>
    <cellStyle name="Normal 47 62" xfId="7883"/>
    <cellStyle name="Normal 47 63" xfId="7884"/>
    <cellStyle name="Normal 47 64" xfId="7885"/>
    <cellStyle name="Normal 47 65" xfId="7886"/>
    <cellStyle name="Normal 47 66" xfId="7887"/>
    <cellStyle name="Normal 47 67" xfId="7888"/>
    <cellStyle name="Normal 47 68" xfId="7889"/>
    <cellStyle name="Normal 47 69" xfId="7890"/>
    <cellStyle name="Normal 47 7" xfId="7891"/>
    <cellStyle name="Normal 47 70" xfId="7892"/>
    <cellStyle name="Normal 47 71" xfId="7893"/>
    <cellStyle name="Normal 47 72" xfId="7894"/>
    <cellStyle name="Normal 47 73" xfId="7895"/>
    <cellStyle name="Normal 47 74" xfId="7896"/>
    <cellStyle name="Normal 47 75" xfId="7897"/>
    <cellStyle name="Normal 47 76" xfId="7898"/>
    <cellStyle name="Normal 47 77" xfId="7899"/>
    <cellStyle name="Normal 47 78" xfId="7900"/>
    <cellStyle name="Normal 47 79" xfId="7901"/>
    <cellStyle name="Normal 47 8" xfId="7902"/>
    <cellStyle name="Normal 47 80" xfId="7903"/>
    <cellStyle name="Normal 47 81" xfId="7904"/>
    <cellStyle name="Normal 47 82" xfId="7905"/>
    <cellStyle name="Normal 47 83" xfId="7906"/>
    <cellStyle name="Normal 47 84" xfId="7907"/>
    <cellStyle name="Normal 47 85" xfId="7908"/>
    <cellStyle name="Normal 47 86" xfId="7909"/>
    <cellStyle name="Normal 47 87" xfId="7910"/>
    <cellStyle name="Normal 47 88" xfId="7911"/>
    <cellStyle name="Normal 47 89" xfId="7912"/>
    <cellStyle name="Normal 47 9" xfId="7913"/>
    <cellStyle name="Normal 47 90" xfId="7914"/>
    <cellStyle name="Normal 47 91" xfId="7915"/>
    <cellStyle name="Normal 47 92" xfId="7916"/>
    <cellStyle name="Normal 47 93" xfId="7917"/>
    <cellStyle name="Normal 47 94" xfId="7918"/>
    <cellStyle name="Normal 47 95" xfId="7919"/>
    <cellStyle name="Normal 47 96" xfId="7920"/>
    <cellStyle name="Normal 47 97" xfId="7921"/>
    <cellStyle name="Normal 47 98" xfId="7922"/>
    <cellStyle name="Normal 47 99" xfId="7923"/>
    <cellStyle name="Normal 48" xfId="7924"/>
    <cellStyle name="Normal 48 10" xfId="7925"/>
    <cellStyle name="Normal 48 100" xfId="7926"/>
    <cellStyle name="Normal 48 101" xfId="7927"/>
    <cellStyle name="Normal 48 102" xfId="7928"/>
    <cellStyle name="Normal 48 103" xfId="7929"/>
    <cellStyle name="Normal 48 104" xfId="7930"/>
    <cellStyle name="Normal 48 105" xfId="7931"/>
    <cellStyle name="Normal 48 106" xfId="7932"/>
    <cellStyle name="Normal 48 107" xfId="7933"/>
    <cellStyle name="Normal 48 108" xfId="7934"/>
    <cellStyle name="Normal 48 109" xfId="7935"/>
    <cellStyle name="Normal 48 11" xfId="7936"/>
    <cellStyle name="Normal 48 110" xfId="7937"/>
    <cellStyle name="Normal 48 111" xfId="7938"/>
    <cellStyle name="Normal 48 112" xfId="7939"/>
    <cellStyle name="Normal 48 113" xfId="7940"/>
    <cellStyle name="Normal 48 114" xfId="7941"/>
    <cellStyle name="Normal 48 115" xfId="7942"/>
    <cellStyle name="Normal 48 116" xfId="7943"/>
    <cellStyle name="Normal 48 117" xfId="7944"/>
    <cellStyle name="Normal 48 118" xfId="7945"/>
    <cellStyle name="Normal 48 119" xfId="7946"/>
    <cellStyle name="Normal 48 12" xfId="7947"/>
    <cellStyle name="Normal 48 120" xfId="7948"/>
    <cellStyle name="Normal 48 121" xfId="7949"/>
    <cellStyle name="Normal 48 122" xfId="7950"/>
    <cellStyle name="Normal 48 123" xfId="7951"/>
    <cellStyle name="Normal 48 124" xfId="7952"/>
    <cellStyle name="Normal 48 125" xfId="7953"/>
    <cellStyle name="Normal 48 126" xfId="7954"/>
    <cellStyle name="Normal 48 127" xfId="7955"/>
    <cellStyle name="Normal 48 128" xfId="7956"/>
    <cellStyle name="Normal 48 129" xfId="7957"/>
    <cellStyle name="Normal 48 13" xfId="7958"/>
    <cellStyle name="Normal 48 130" xfId="7959"/>
    <cellStyle name="Normal 48 131" xfId="7960"/>
    <cellStyle name="Normal 48 132" xfId="7961"/>
    <cellStyle name="Normal 48 133" xfId="7962"/>
    <cellStyle name="Normal 48 134" xfId="7963"/>
    <cellStyle name="Normal 48 135" xfId="7964"/>
    <cellStyle name="Normal 48 136" xfId="7965"/>
    <cellStyle name="Normal 48 137" xfId="7966"/>
    <cellStyle name="Normal 48 138" xfId="7967"/>
    <cellStyle name="Normal 48 139" xfId="7968"/>
    <cellStyle name="Normal 48 14" xfId="7969"/>
    <cellStyle name="Normal 48 140" xfId="7970"/>
    <cellStyle name="Normal 48 141" xfId="7971"/>
    <cellStyle name="Normal 48 142" xfId="7972"/>
    <cellStyle name="Normal 48 143" xfId="7973"/>
    <cellStyle name="Normal 48 144" xfId="7974"/>
    <cellStyle name="Normal 48 145" xfId="7975"/>
    <cellStyle name="Normal 48 146" xfId="7976"/>
    <cellStyle name="Normal 48 147" xfId="7977"/>
    <cellStyle name="Normal 48 148" xfId="7978"/>
    <cellStyle name="Normal 48 149" xfId="7979"/>
    <cellStyle name="Normal 48 15" xfId="7980"/>
    <cellStyle name="Normal 48 150" xfId="7981"/>
    <cellStyle name="Normal 48 151" xfId="7982"/>
    <cellStyle name="Normal 48 152" xfId="7983"/>
    <cellStyle name="Normal 48 153" xfId="7984"/>
    <cellStyle name="Normal 48 154" xfId="7985"/>
    <cellStyle name="Normal 48 155" xfId="7986"/>
    <cellStyle name="Normal 48 156" xfId="7987"/>
    <cellStyle name="Normal 48 157" xfId="7988"/>
    <cellStyle name="Normal 48 158" xfId="7989"/>
    <cellStyle name="Normal 48 159" xfId="7990"/>
    <cellStyle name="Normal 48 16" xfId="7991"/>
    <cellStyle name="Normal 48 160" xfId="7992"/>
    <cellStyle name="Normal 48 161" xfId="7993"/>
    <cellStyle name="Normal 48 162" xfId="7994"/>
    <cellStyle name="Normal 48 163" xfId="7995"/>
    <cellStyle name="Normal 48 164" xfId="7996"/>
    <cellStyle name="Normal 48 165" xfId="7997"/>
    <cellStyle name="Normal 48 166" xfId="7998"/>
    <cellStyle name="Normal 48 167" xfId="7999"/>
    <cellStyle name="Normal 48 168" xfId="8000"/>
    <cellStyle name="Normal 48 169" xfId="8001"/>
    <cellStyle name="Normal 48 17" xfId="8002"/>
    <cellStyle name="Normal 48 170" xfId="8003"/>
    <cellStyle name="Normal 48 171" xfId="8004"/>
    <cellStyle name="Normal 48 172" xfId="8005"/>
    <cellStyle name="Normal 48 173" xfId="8006"/>
    <cellStyle name="Normal 48 174" xfId="8007"/>
    <cellStyle name="Normal 48 175" xfId="8008"/>
    <cellStyle name="Normal 48 176" xfId="8009"/>
    <cellStyle name="Normal 48 177" xfId="8010"/>
    <cellStyle name="Normal 48 178" xfId="8011"/>
    <cellStyle name="Normal 48 179" xfId="8012"/>
    <cellStyle name="Normal 48 18" xfId="8013"/>
    <cellStyle name="Normal 48 180" xfId="8014"/>
    <cellStyle name="Normal 48 181" xfId="8015"/>
    <cellStyle name="Normal 48 182" xfId="8016"/>
    <cellStyle name="Normal 48 183" xfId="8017"/>
    <cellStyle name="Normal 48 184" xfId="8018"/>
    <cellStyle name="Normal 48 185" xfId="8019"/>
    <cellStyle name="Normal 48 186" xfId="8020"/>
    <cellStyle name="Normal 48 187" xfId="8021"/>
    <cellStyle name="Normal 48 188" xfId="8022"/>
    <cellStyle name="Normal 48 189" xfId="8023"/>
    <cellStyle name="Normal 48 19" xfId="8024"/>
    <cellStyle name="Normal 48 190" xfId="8025"/>
    <cellStyle name="Normal 48 191" xfId="8026"/>
    <cellStyle name="Normal 48 192" xfId="8027"/>
    <cellStyle name="Normal 48 193" xfId="8028"/>
    <cellStyle name="Normal 48 194" xfId="8029"/>
    <cellStyle name="Normal 48 195" xfId="8030"/>
    <cellStyle name="Normal 48 196" xfId="8031"/>
    <cellStyle name="Normal 48 197" xfId="8032"/>
    <cellStyle name="Normal 48 198" xfId="8033"/>
    <cellStyle name="Normal 48 2" xfId="8034"/>
    <cellStyle name="Normal 48 20" xfId="8035"/>
    <cellStyle name="Normal 48 21" xfId="8036"/>
    <cellStyle name="Normal 48 22" xfId="8037"/>
    <cellStyle name="Normal 48 23" xfId="8038"/>
    <cellStyle name="Normal 48 24" xfId="8039"/>
    <cellStyle name="Normal 48 25" xfId="8040"/>
    <cellStyle name="Normal 48 26" xfId="8041"/>
    <cellStyle name="Normal 48 27" xfId="8042"/>
    <cellStyle name="Normal 48 28" xfId="8043"/>
    <cellStyle name="Normal 48 29" xfId="8044"/>
    <cellStyle name="Normal 48 3" xfId="8045"/>
    <cellStyle name="Normal 48 30" xfId="8046"/>
    <cellStyle name="Normal 48 31" xfId="8047"/>
    <cellStyle name="Normal 48 32" xfId="8048"/>
    <cellStyle name="Normal 48 33" xfId="8049"/>
    <cellStyle name="Normal 48 34" xfId="8050"/>
    <cellStyle name="Normal 48 35" xfId="8051"/>
    <cellStyle name="Normal 48 36" xfId="8052"/>
    <cellStyle name="Normal 48 37" xfId="8053"/>
    <cellStyle name="Normal 48 38" xfId="8054"/>
    <cellStyle name="Normal 48 39" xfId="8055"/>
    <cellStyle name="Normal 48 4" xfId="8056"/>
    <cellStyle name="Normal 48 40" xfId="8057"/>
    <cellStyle name="Normal 48 41" xfId="8058"/>
    <cellStyle name="Normal 48 42" xfId="8059"/>
    <cellStyle name="Normal 48 43" xfId="8060"/>
    <cellStyle name="Normal 48 44" xfId="8061"/>
    <cellStyle name="Normal 48 45" xfId="8062"/>
    <cellStyle name="Normal 48 46" xfId="8063"/>
    <cellStyle name="Normal 48 47" xfId="8064"/>
    <cellStyle name="Normal 48 48" xfId="8065"/>
    <cellStyle name="Normal 48 49" xfId="8066"/>
    <cellStyle name="Normal 48 5" xfId="8067"/>
    <cellStyle name="Normal 48 50" xfId="8068"/>
    <cellStyle name="Normal 48 51" xfId="8069"/>
    <cellStyle name="Normal 48 52" xfId="8070"/>
    <cellStyle name="Normal 48 53" xfId="8071"/>
    <cellStyle name="Normal 48 54" xfId="8072"/>
    <cellStyle name="Normal 48 55" xfId="8073"/>
    <cellStyle name="Normal 48 56" xfId="8074"/>
    <cellStyle name="Normal 48 57" xfId="8075"/>
    <cellStyle name="Normal 48 58" xfId="8076"/>
    <cellStyle name="Normal 48 59" xfId="8077"/>
    <cellStyle name="Normal 48 6" xfId="8078"/>
    <cellStyle name="Normal 48 60" xfId="8079"/>
    <cellStyle name="Normal 48 61" xfId="8080"/>
    <cellStyle name="Normal 48 62" xfId="8081"/>
    <cellStyle name="Normal 48 63" xfId="8082"/>
    <cellStyle name="Normal 48 64" xfId="8083"/>
    <cellStyle name="Normal 48 65" xfId="8084"/>
    <cellStyle name="Normal 48 66" xfId="8085"/>
    <cellStyle name="Normal 48 67" xfId="8086"/>
    <cellStyle name="Normal 48 68" xfId="8087"/>
    <cellStyle name="Normal 48 69" xfId="8088"/>
    <cellStyle name="Normal 48 7" xfId="8089"/>
    <cellStyle name="Normal 48 70" xfId="8090"/>
    <cellStyle name="Normal 48 71" xfId="8091"/>
    <cellStyle name="Normal 48 72" xfId="8092"/>
    <cellStyle name="Normal 48 73" xfId="8093"/>
    <cellStyle name="Normal 48 74" xfId="8094"/>
    <cellStyle name="Normal 48 75" xfId="8095"/>
    <cellStyle name="Normal 48 76" xfId="8096"/>
    <cellStyle name="Normal 48 77" xfId="8097"/>
    <cellStyle name="Normal 48 78" xfId="8098"/>
    <cellStyle name="Normal 48 79" xfId="8099"/>
    <cellStyle name="Normal 48 8" xfId="8100"/>
    <cellStyle name="Normal 48 80" xfId="8101"/>
    <cellStyle name="Normal 48 81" xfId="8102"/>
    <cellStyle name="Normal 48 82" xfId="8103"/>
    <cellStyle name="Normal 48 83" xfId="8104"/>
    <cellStyle name="Normal 48 84" xfId="8105"/>
    <cellStyle name="Normal 48 85" xfId="8106"/>
    <cellStyle name="Normal 48 86" xfId="8107"/>
    <cellStyle name="Normal 48 87" xfId="8108"/>
    <cellStyle name="Normal 48 88" xfId="8109"/>
    <cellStyle name="Normal 48 89" xfId="8110"/>
    <cellStyle name="Normal 48 9" xfId="8111"/>
    <cellStyle name="Normal 48 90" xfId="8112"/>
    <cellStyle name="Normal 48 91" xfId="8113"/>
    <cellStyle name="Normal 48 92" xfId="8114"/>
    <cellStyle name="Normal 48 93" xfId="8115"/>
    <cellStyle name="Normal 48 94" xfId="8116"/>
    <cellStyle name="Normal 48 95" xfId="8117"/>
    <cellStyle name="Normal 48 96" xfId="8118"/>
    <cellStyle name="Normal 48 97" xfId="8119"/>
    <cellStyle name="Normal 48 98" xfId="8120"/>
    <cellStyle name="Normal 48 99" xfId="8121"/>
    <cellStyle name="Normal 49" xfId="8122"/>
    <cellStyle name="Normal 49 10" xfId="8123"/>
    <cellStyle name="Normal 49 100" xfId="8124"/>
    <cellStyle name="Normal 49 101" xfId="8125"/>
    <cellStyle name="Normal 49 102" xfId="8126"/>
    <cellStyle name="Normal 49 103" xfId="8127"/>
    <cellStyle name="Normal 49 104" xfId="8128"/>
    <cellStyle name="Normal 49 105" xfId="8129"/>
    <cellStyle name="Normal 49 106" xfId="8130"/>
    <cellStyle name="Normal 49 107" xfId="8131"/>
    <cellStyle name="Normal 49 108" xfId="8132"/>
    <cellStyle name="Normal 49 109" xfId="8133"/>
    <cellStyle name="Normal 49 11" xfId="8134"/>
    <cellStyle name="Normal 49 110" xfId="8135"/>
    <cellStyle name="Normal 49 111" xfId="8136"/>
    <cellStyle name="Normal 49 112" xfId="8137"/>
    <cellStyle name="Normal 49 113" xfId="8138"/>
    <cellStyle name="Normal 49 114" xfId="8139"/>
    <cellStyle name="Normal 49 115" xfId="8140"/>
    <cellStyle name="Normal 49 116" xfId="8141"/>
    <cellStyle name="Normal 49 117" xfId="8142"/>
    <cellStyle name="Normal 49 118" xfId="8143"/>
    <cellStyle name="Normal 49 119" xfId="8144"/>
    <cellStyle name="Normal 49 12" xfId="8145"/>
    <cellStyle name="Normal 49 120" xfId="8146"/>
    <cellStyle name="Normal 49 121" xfId="8147"/>
    <cellStyle name="Normal 49 122" xfId="8148"/>
    <cellStyle name="Normal 49 123" xfId="8149"/>
    <cellStyle name="Normal 49 124" xfId="8150"/>
    <cellStyle name="Normal 49 125" xfId="8151"/>
    <cellStyle name="Normal 49 126" xfId="8152"/>
    <cellStyle name="Normal 49 127" xfId="8153"/>
    <cellStyle name="Normal 49 128" xfId="8154"/>
    <cellStyle name="Normal 49 129" xfId="8155"/>
    <cellStyle name="Normal 49 13" xfId="8156"/>
    <cellStyle name="Normal 49 130" xfId="8157"/>
    <cellStyle name="Normal 49 131" xfId="8158"/>
    <cellStyle name="Normal 49 132" xfId="8159"/>
    <cellStyle name="Normal 49 133" xfId="8160"/>
    <cellStyle name="Normal 49 134" xfId="8161"/>
    <cellStyle name="Normal 49 135" xfId="8162"/>
    <cellStyle name="Normal 49 136" xfId="8163"/>
    <cellStyle name="Normal 49 137" xfId="8164"/>
    <cellStyle name="Normal 49 138" xfId="8165"/>
    <cellStyle name="Normal 49 139" xfId="8166"/>
    <cellStyle name="Normal 49 14" xfId="8167"/>
    <cellStyle name="Normal 49 140" xfId="8168"/>
    <cellStyle name="Normal 49 141" xfId="8169"/>
    <cellStyle name="Normal 49 142" xfId="8170"/>
    <cellStyle name="Normal 49 143" xfId="8171"/>
    <cellStyle name="Normal 49 144" xfId="8172"/>
    <cellStyle name="Normal 49 145" xfId="8173"/>
    <cellStyle name="Normal 49 146" xfId="8174"/>
    <cellStyle name="Normal 49 147" xfId="8175"/>
    <cellStyle name="Normal 49 148" xfId="8176"/>
    <cellStyle name="Normal 49 149" xfId="8177"/>
    <cellStyle name="Normal 49 15" xfId="8178"/>
    <cellStyle name="Normal 49 150" xfId="8179"/>
    <cellStyle name="Normal 49 151" xfId="8180"/>
    <cellStyle name="Normal 49 152" xfId="8181"/>
    <cellStyle name="Normal 49 153" xfId="8182"/>
    <cellStyle name="Normal 49 154" xfId="8183"/>
    <cellStyle name="Normal 49 155" xfId="8184"/>
    <cellStyle name="Normal 49 156" xfId="8185"/>
    <cellStyle name="Normal 49 157" xfId="8186"/>
    <cellStyle name="Normal 49 158" xfId="8187"/>
    <cellStyle name="Normal 49 159" xfId="8188"/>
    <cellStyle name="Normal 49 16" xfId="8189"/>
    <cellStyle name="Normal 49 160" xfId="8190"/>
    <cellStyle name="Normal 49 161" xfId="8191"/>
    <cellStyle name="Normal 49 162" xfId="8192"/>
    <cellStyle name="Normal 49 163" xfId="8193"/>
    <cellStyle name="Normal 49 164" xfId="8194"/>
    <cellStyle name="Normal 49 165" xfId="8195"/>
    <cellStyle name="Normal 49 166" xfId="8196"/>
    <cellStyle name="Normal 49 167" xfId="8197"/>
    <cellStyle name="Normal 49 168" xfId="8198"/>
    <cellStyle name="Normal 49 169" xfId="8199"/>
    <cellStyle name="Normal 49 17" xfId="8200"/>
    <cellStyle name="Normal 49 170" xfId="8201"/>
    <cellStyle name="Normal 49 171" xfId="8202"/>
    <cellStyle name="Normal 49 172" xfId="8203"/>
    <cellStyle name="Normal 49 173" xfId="8204"/>
    <cellStyle name="Normal 49 174" xfId="8205"/>
    <cellStyle name="Normal 49 175" xfId="8206"/>
    <cellStyle name="Normal 49 176" xfId="8207"/>
    <cellStyle name="Normal 49 177" xfId="8208"/>
    <cellStyle name="Normal 49 178" xfId="8209"/>
    <cellStyle name="Normal 49 179" xfId="8210"/>
    <cellStyle name="Normal 49 18" xfId="8211"/>
    <cellStyle name="Normal 49 180" xfId="8212"/>
    <cellStyle name="Normal 49 181" xfId="8213"/>
    <cellStyle name="Normal 49 182" xfId="8214"/>
    <cellStyle name="Normal 49 183" xfId="8215"/>
    <cellStyle name="Normal 49 184" xfId="8216"/>
    <cellStyle name="Normal 49 185" xfId="8217"/>
    <cellStyle name="Normal 49 186" xfId="8218"/>
    <cellStyle name="Normal 49 187" xfId="8219"/>
    <cellStyle name="Normal 49 188" xfId="8220"/>
    <cellStyle name="Normal 49 189" xfId="8221"/>
    <cellStyle name="Normal 49 19" xfId="8222"/>
    <cellStyle name="Normal 49 190" xfId="8223"/>
    <cellStyle name="Normal 49 191" xfId="8224"/>
    <cellStyle name="Normal 49 192" xfId="8225"/>
    <cellStyle name="Normal 49 193" xfId="8226"/>
    <cellStyle name="Normal 49 194" xfId="8227"/>
    <cellStyle name="Normal 49 195" xfId="8228"/>
    <cellStyle name="Normal 49 196" xfId="8229"/>
    <cellStyle name="Normal 49 197" xfId="8230"/>
    <cellStyle name="Normal 49 198" xfId="8231"/>
    <cellStyle name="Normal 49 2" xfId="8232"/>
    <cellStyle name="Normal 49 20" xfId="8233"/>
    <cellStyle name="Normal 49 21" xfId="8234"/>
    <cellStyle name="Normal 49 22" xfId="8235"/>
    <cellStyle name="Normal 49 23" xfId="8236"/>
    <cellStyle name="Normal 49 24" xfId="8237"/>
    <cellStyle name="Normal 49 25" xfId="8238"/>
    <cellStyle name="Normal 49 26" xfId="8239"/>
    <cellStyle name="Normal 49 27" xfId="8240"/>
    <cellStyle name="Normal 49 28" xfId="8241"/>
    <cellStyle name="Normal 49 29" xfId="8242"/>
    <cellStyle name="Normal 49 3" xfId="8243"/>
    <cellStyle name="Normal 49 30" xfId="8244"/>
    <cellStyle name="Normal 49 31" xfId="8245"/>
    <cellStyle name="Normal 49 32" xfId="8246"/>
    <cellStyle name="Normal 49 33" xfId="8247"/>
    <cellStyle name="Normal 49 34" xfId="8248"/>
    <cellStyle name="Normal 49 35" xfId="8249"/>
    <cellStyle name="Normal 49 36" xfId="8250"/>
    <cellStyle name="Normal 49 37" xfId="8251"/>
    <cellStyle name="Normal 49 38" xfId="8252"/>
    <cellStyle name="Normal 49 39" xfId="8253"/>
    <cellStyle name="Normal 49 4" xfId="8254"/>
    <cellStyle name="Normal 49 40" xfId="8255"/>
    <cellStyle name="Normal 49 41" xfId="8256"/>
    <cellStyle name="Normal 49 42" xfId="8257"/>
    <cellStyle name="Normal 49 43" xfId="8258"/>
    <cellStyle name="Normal 49 44" xfId="8259"/>
    <cellStyle name="Normal 49 45" xfId="8260"/>
    <cellStyle name="Normal 49 46" xfId="8261"/>
    <cellStyle name="Normal 49 47" xfId="8262"/>
    <cellStyle name="Normal 49 48" xfId="8263"/>
    <cellStyle name="Normal 49 49" xfId="8264"/>
    <cellStyle name="Normal 49 5" xfId="8265"/>
    <cellStyle name="Normal 49 50" xfId="8266"/>
    <cellStyle name="Normal 49 51" xfId="8267"/>
    <cellStyle name="Normal 49 52" xfId="8268"/>
    <cellStyle name="Normal 49 53" xfId="8269"/>
    <cellStyle name="Normal 49 54" xfId="8270"/>
    <cellStyle name="Normal 49 55" xfId="8271"/>
    <cellStyle name="Normal 49 56" xfId="8272"/>
    <cellStyle name="Normal 49 57" xfId="8273"/>
    <cellStyle name="Normal 49 58" xfId="8274"/>
    <cellStyle name="Normal 49 59" xfId="8275"/>
    <cellStyle name="Normal 49 6" xfId="8276"/>
    <cellStyle name="Normal 49 60" xfId="8277"/>
    <cellStyle name="Normal 49 61" xfId="8278"/>
    <cellStyle name="Normal 49 62" xfId="8279"/>
    <cellStyle name="Normal 49 63" xfId="8280"/>
    <cellStyle name="Normal 49 64" xfId="8281"/>
    <cellStyle name="Normal 49 65" xfId="8282"/>
    <cellStyle name="Normal 49 66" xfId="8283"/>
    <cellStyle name="Normal 49 67" xfId="8284"/>
    <cellStyle name="Normal 49 68" xfId="8285"/>
    <cellStyle name="Normal 49 69" xfId="8286"/>
    <cellStyle name="Normal 49 7" xfId="8287"/>
    <cellStyle name="Normal 49 70" xfId="8288"/>
    <cellStyle name="Normal 49 71" xfId="8289"/>
    <cellStyle name="Normal 49 72" xfId="8290"/>
    <cellStyle name="Normal 49 73" xfId="8291"/>
    <cellStyle name="Normal 49 74" xfId="8292"/>
    <cellStyle name="Normal 49 75" xfId="8293"/>
    <cellStyle name="Normal 49 76" xfId="8294"/>
    <cellStyle name="Normal 49 77" xfId="8295"/>
    <cellStyle name="Normal 49 78" xfId="8296"/>
    <cellStyle name="Normal 49 79" xfId="8297"/>
    <cellStyle name="Normal 49 8" xfId="8298"/>
    <cellStyle name="Normal 49 80" xfId="8299"/>
    <cellStyle name="Normal 49 81" xfId="8300"/>
    <cellStyle name="Normal 49 82" xfId="8301"/>
    <cellStyle name="Normal 49 83" xfId="8302"/>
    <cellStyle name="Normal 49 84" xfId="8303"/>
    <cellStyle name="Normal 49 85" xfId="8304"/>
    <cellStyle name="Normal 49 86" xfId="8305"/>
    <cellStyle name="Normal 49 87" xfId="8306"/>
    <cellStyle name="Normal 49 88" xfId="8307"/>
    <cellStyle name="Normal 49 89" xfId="8308"/>
    <cellStyle name="Normal 49 9" xfId="8309"/>
    <cellStyle name="Normal 49 90" xfId="8310"/>
    <cellStyle name="Normal 49 91" xfId="8311"/>
    <cellStyle name="Normal 49 92" xfId="8312"/>
    <cellStyle name="Normal 49 93" xfId="8313"/>
    <cellStyle name="Normal 49 94" xfId="8314"/>
    <cellStyle name="Normal 49 95" xfId="8315"/>
    <cellStyle name="Normal 49 96" xfId="8316"/>
    <cellStyle name="Normal 49 97" xfId="8317"/>
    <cellStyle name="Normal 49 98" xfId="8318"/>
    <cellStyle name="Normal 49 99" xfId="8319"/>
    <cellStyle name="Normal 5" xfId="8320"/>
    <cellStyle name="Normal 5 10" xfId="8321"/>
    <cellStyle name="Normal 5 100" xfId="8322"/>
    <cellStyle name="Normal 5 101" xfId="8323"/>
    <cellStyle name="Normal 5 102" xfId="8324"/>
    <cellStyle name="Normal 5 103" xfId="8325"/>
    <cellStyle name="Normal 5 104" xfId="8326"/>
    <cellStyle name="Normal 5 105" xfId="8327"/>
    <cellStyle name="Normal 5 106" xfId="8328"/>
    <cellStyle name="Normal 5 107" xfId="8329"/>
    <cellStyle name="Normal 5 108" xfId="8330"/>
    <cellStyle name="Normal 5 109" xfId="8331"/>
    <cellStyle name="Normal 5 11" xfId="8332"/>
    <cellStyle name="Normal 5 110" xfId="8333"/>
    <cellStyle name="Normal 5 111" xfId="8334"/>
    <cellStyle name="Normal 5 112" xfId="8335"/>
    <cellStyle name="Normal 5 113" xfId="8336"/>
    <cellStyle name="Normal 5 114" xfId="8337"/>
    <cellStyle name="Normal 5 115" xfId="8338"/>
    <cellStyle name="Normal 5 116" xfId="8339"/>
    <cellStyle name="Normal 5 117" xfId="8340"/>
    <cellStyle name="Normal 5 118" xfId="8341"/>
    <cellStyle name="Normal 5 119" xfId="8342"/>
    <cellStyle name="Normal 5 12" xfId="8343"/>
    <cellStyle name="Normal 5 120" xfId="8344"/>
    <cellStyle name="Normal 5 121" xfId="8345"/>
    <cellStyle name="Normal 5 122" xfId="8346"/>
    <cellStyle name="Normal 5 123" xfId="8347"/>
    <cellStyle name="Normal 5 124" xfId="8348"/>
    <cellStyle name="Normal 5 125" xfId="8349"/>
    <cellStyle name="Normal 5 126" xfId="8350"/>
    <cellStyle name="Normal 5 127" xfId="8351"/>
    <cellStyle name="Normal 5 128" xfId="8352"/>
    <cellStyle name="Normal 5 129" xfId="8353"/>
    <cellStyle name="Normal 5 13" xfId="8354"/>
    <cellStyle name="Normal 5 130" xfId="8355"/>
    <cellStyle name="Normal 5 131" xfId="8356"/>
    <cellStyle name="Normal 5 132" xfId="8357"/>
    <cellStyle name="Normal 5 133" xfId="8358"/>
    <cellStyle name="Normal 5 134" xfId="8359"/>
    <cellStyle name="Normal 5 135" xfId="8360"/>
    <cellStyle name="Normal 5 136" xfId="8361"/>
    <cellStyle name="Normal 5 137" xfId="8362"/>
    <cellStyle name="Normal 5 138" xfId="8363"/>
    <cellStyle name="Normal 5 139" xfId="8364"/>
    <cellStyle name="Normal 5 14" xfId="8365"/>
    <cellStyle name="Normal 5 140" xfId="8366"/>
    <cellStyle name="Normal 5 141" xfId="8367"/>
    <cellStyle name="Normal 5 142" xfId="8368"/>
    <cellStyle name="Normal 5 143" xfId="8369"/>
    <cellStyle name="Normal 5 144" xfId="8370"/>
    <cellStyle name="Normal 5 145" xfId="8371"/>
    <cellStyle name="Normal 5 146" xfId="8372"/>
    <cellStyle name="Normal 5 147" xfId="8373"/>
    <cellStyle name="Normal 5 148" xfId="8374"/>
    <cellStyle name="Normal 5 149" xfId="8375"/>
    <cellStyle name="Normal 5 15" xfId="8376"/>
    <cellStyle name="Normal 5 150" xfId="8377"/>
    <cellStyle name="Normal 5 151" xfId="8378"/>
    <cellStyle name="Normal 5 152" xfId="8379"/>
    <cellStyle name="Normal 5 153" xfId="8380"/>
    <cellStyle name="Normal 5 154" xfId="8381"/>
    <cellStyle name="Normal 5 155" xfId="8382"/>
    <cellStyle name="Normal 5 156" xfId="8383"/>
    <cellStyle name="Normal 5 157" xfId="8384"/>
    <cellStyle name="Normal 5 158" xfId="8385"/>
    <cellStyle name="Normal 5 159" xfId="8386"/>
    <cellStyle name="Normal 5 16" xfId="8387"/>
    <cellStyle name="Normal 5 160" xfId="8388"/>
    <cellStyle name="Normal 5 161" xfId="8389"/>
    <cellStyle name="Normal 5 162" xfId="8390"/>
    <cellStyle name="Normal 5 163" xfId="8391"/>
    <cellStyle name="Normal 5 164" xfId="8392"/>
    <cellStyle name="Normal 5 165" xfId="8393"/>
    <cellStyle name="Normal 5 166" xfId="8394"/>
    <cellStyle name="Normal 5 167" xfId="8395"/>
    <cellStyle name="Normal 5 168" xfId="8396"/>
    <cellStyle name="Normal 5 169" xfId="8397"/>
    <cellStyle name="Normal 5 17" xfId="8398"/>
    <cellStyle name="Normal 5 170" xfId="8399"/>
    <cellStyle name="Normal 5 171" xfId="8400"/>
    <cellStyle name="Normal 5 172" xfId="8401"/>
    <cellStyle name="Normal 5 173" xfId="8402"/>
    <cellStyle name="Normal 5 174" xfId="8403"/>
    <cellStyle name="Normal 5 175" xfId="8404"/>
    <cellStyle name="Normal 5 176" xfId="8405"/>
    <cellStyle name="Normal 5 177" xfId="8406"/>
    <cellStyle name="Normal 5 178" xfId="8407"/>
    <cellStyle name="Normal 5 179" xfId="8408"/>
    <cellStyle name="Normal 5 18" xfId="8409"/>
    <cellStyle name="Normal 5 180" xfId="8410"/>
    <cellStyle name="Normal 5 181" xfId="8411"/>
    <cellStyle name="Normal 5 182" xfId="8412"/>
    <cellStyle name="Normal 5 183" xfId="8413"/>
    <cellStyle name="Normal 5 184" xfId="8414"/>
    <cellStyle name="Normal 5 185" xfId="8415"/>
    <cellStyle name="Normal 5 186" xfId="8416"/>
    <cellStyle name="Normal 5 187" xfId="8417"/>
    <cellStyle name="Normal 5 188" xfId="8418"/>
    <cellStyle name="Normal 5 189" xfId="8419"/>
    <cellStyle name="Normal 5 19" xfId="8420"/>
    <cellStyle name="Normal 5 190" xfId="8421"/>
    <cellStyle name="Normal 5 191" xfId="8422"/>
    <cellStyle name="Normal 5 192" xfId="8423"/>
    <cellStyle name="Normal 5 193" xfId="8424"/>
    <cellStyle name="Normal 5 194" xfId="8425"/>
    <cellStyle name="Normal 5 195" xfId="8426"/>
    <cellStyle name="Normal 5 196" xfId="8427"/>
    <cellStyle name="Normal 5 197" xfId="8428"/>
    <cellStyle name="Normal 5 198" xfId="8429"/>
    <cellStyle name="Normal 5 2" xfId="8430"/>
    <cellStyle name="Normal 5 20" xfId="8431"/>
    <cellStyle name="Normal 5 21" xfId="8432"/>
    <cellStyle name="Normal 5 22" xfId="8433"/>
    <cellStyle name="Normal 5 23" xfId="8434"/>
    <cellStyle name="Normal 5 24" xfId="8435"/>
    <cellStyle name="Normal 5 25" xfId="8436"/>
    <cellStyle name="Normal 5 26" xfId="8437"/>
    <cellStyle name="Normal 5 27" xfId="8438"/>
    <cellStyle name="Normal 5 28" xfId="8439"/>
    <cellStyle name="Normal 5 29" xfId="8440"/>
    <cellStyle name="Normal 5 3" xfId="8441"/>
    <cellStyle name="Normal 5 30" xfId="8442"/>
    <cellStyle name="Normal 5 31" xfId="8443"/>
    <cellStyle name="Normal 5 32" xfId="8444"/>
    <cellStyle name="Normal 5 33" xfId="8445"/>
    <cellStyle name="Normal 5 34" xfId="8446"/>
    <cellStyle name="Normal 5 35" xfId="8447"/>
    <cellStyle name="Normal 5 36" xfId="8448"/>
    <cellStyle name="Normal 5 37" xfId="8449"/>
    <cellStyle name="Normal 5 38" xfId="8450"/>
    <cellStyle name="Normal 5 39" xfId="8451"/>
    <cellStyle name="Normal 5 4" xfId="8452"/>
    <cellStyle name="Normal 5 40" xfId="8453"/>
    <cellStyle name="Normal 5 41" xfId="8454"/>
    <cellStyle name="Normal 5 42" xfId="8455"/>
    <cellStyle name="Normal 5 43" xfId="8456"/>
    <cellStyle name="Normal 5 44" xfId="8457"/>
    <cellStyle name="Normal 5 45" xfId="8458"/>
    <cellStyle name="Normal 5 46" xfId="8459"/>
    <cellStyle name="Normal 5 47" xfId="8460"/>
    <cellStyle name="Normal 5 48" xfId="8461"/>
    <cellStyle name="Normal 5 49" xfId="8462"/>
    <cellStyle name="Normal 5 5" xfId="8463"/>
    <cellStyle name="Normal 5 50" xfId="8464"/>
    <cellStyle name="Normal 5 51" xfId="8465"/>
    <cellStyle name="Normal 5 52" xfId="8466"/>
    <cellStyle name="Normal 5 53" xfId="8467"/>
    <cellStyle name="Normal 5 54" xfId="8468"/>
    <cellStyle name="Normal 5 55" xfId="8469"/>
    <cellStyle name="Normal 5 56" xfId="8470"/>
    <cellStyle name="Normal 5 57" xfId="8471"/>
    <cellStyle name="Normal 5 58" xfId="8472"/>
    <cellStyle name="Normal 5 59" xfId="8473"/>
    <cellStyle name="Normal 5 6" xfId="8474"/>
    <cellStyle name="Normal 5 60" xfId="8475"/>
    <cellStyle name="Normal 5 61" xfId="8476"/>
    <cellStyle name="Normal 5 62" xfId="8477"/>
    <cellStyle name="Normal 5 63" xfId="8478"/>
    <cellStyle name="Normal 5 64" xfId="8479"/>
    <cellStyle name="Normal 5 65" xfId="8480"/>
    <cellStyle name="Normal 5 66" xfId="8481"/>
    <cellStyle name="Normal 5 67" xfId="8482"/>
    <cellStyle name="Normal 5 68" xfId="8483"/>
    <cellStyle name="Normal 5 69" xfId="8484"/>
    <cellStyle name="Normal 5 7" xfId="8485"/>
    <cellStyle name="Normal 5 70" xfId="8486"/>
    <cellStyle name="Normal 5 71" xfId="8487"/>
    <cellStyle name="Normal 5 72" xfId="8488"/>
    <cellStyle name="Normal 5 73" xfId="8489"/>
    <cellStyle name="Normal 5 74" xfId="8490"/>
    <cellStyle name="Normal 5 75" xfId="8491"/>
    <cellStyle name="Normal 5 76" xfId="8492"/>
    <cellStyle name="Normal 5 77" xfId="8493"/>
    <cellStyle name="Normal 5 78" xfId="8494"/>
    <cellStyle name="Normal 5 79" xfId="8495"/>
    <cellStyle name="Normal 5 8" xfId="8496"/>
    <cellStyle name="Normal 5 80" xfId="8497"/>
    <cellStyle name="Normal 5 81" xfId="8498"/>
    <cellStyle name="Normal 5 82" xfId="8499"/>
    <cellStyle name="Normal 5 83" xfId="8500"/>
    <cellStyle name="Normal 5 84" xfId="8501"/>
    <cellStyle name="Normal 5 85" xfId="8502"/>
    <cellStyle name="Normal 5 86" xfId="8503"/>
    <cellStyle name="Normal 5 87" xfId="8504"/>
    <cellStyle name="Normal 5 88" xfId="8505"/>
    <cellStyle name="Normal 5 89" xfId="8506"/>
    <cellStyle name="Normal 5 9" xfId="8507"/>
    <cellStyle name="Normal 5 90" xfId="8508"/>
    <cellStyle name="Normal 5 91" xfId="8509"/>
    <cellStyle name="Normal 5 92" xfId="8510"/>
    <cellStyle name="Normal 5 93" xfId="8511"/>
    <cellStyle name="Normal 5 94" xfId="8512"/>
    <cellStyle name="Normal 5 95" xfId="8513"/>
    <cellStyle name="Normal 5 96" xfId="8514"/>
    <cellStyle name="Normal 5 97" xfId="8515"/>
    <cellStyle name="Normal 5 98" xfId="8516"/>
    <cellStyle name="Normal 5 99" xfId="8517"/>
    <cellStyle name="Normal 50" xfId="8518"/>
    <cellStyle name="Normal 50 10" xfId="8519"/>
    <cellStyle name="Normal 50 100" xfId="8520"/>
    <cellStyle name="Normal 50 101" xfId="8521"/>
    <cellStyle name="Normal 50 102" xfId="8522"/>
    <cellStyle name="Normal 50 103" xfId="8523"/>
    <cellStyle name="Normal 50 104" xfId="8524"/>
    <cellStyle name="Normal 50 105" xfId="8525"/>
    <cellStyle name="Normal 50 106" xfId="8526"/>
    <cellStyle name="Normal 50 107" xfId="8527"/>
    <cellStyle name="Normal 50 108" xfId="8528"/>
    <cellStyle name="Normal 50 109" xfId="8529"/>
    <cellStyle name="Normal 50 11" xfId="8530"/>
    <cellStyle name="Normal 50 110" xfId="8531"/>
    <cellStyle name="Normal 50 111" xfId="8532"/>
    <cellStyle name="Normal 50 112" xfId="8533"/>
    <cellStyle name="Normal 50 113" xfId="8534"/>
    <cellStyle name="Normal 50 114" xfId="8535"/>
    <cellStyle name="Normal 50 115" xfId="8536"/>
    <cellStyle name="Normal 50 116" xfId="8537"/>
    <cellStyle name="Normal 50 117" xfId="8538"/>
    <cellStyle name="Normal 50 118" xfId="8539"/>
    <cellStyle name="Normal 50 119" xfId="8540"/>
    <cellStyle name="Normal 50 12" xfId="8541"/>
    <cellStyle name="Normal 50 120" xfId="8542"/>
    <cellStyle name="Normal 50 121" xfId="8543"/>
    <cellStyle name="Normal 50 122" xfId="8544"/>
    <cellStyle name="Normal 50 123" xfId="8545"/>
    <cellStyle name="Normal 50 124" xfId="8546"/>
    <cellStyle name="Normal 50 125" xfId="8547"/>
    <cellStyle name="Normal 50 126" xfId="8548"/>
    <cellStyle name="Normal 50 127" xfId="8549"/>
    <cellStyle name="Normal 50 128" xfId="8550"/>
    <cellStyle name="Normal 50 129" xfId="8551"/>
    <cellStyle name="Normal 50 13" xfId="8552"/>
    <cellStyle name="Normal 50 130" xfId="8553"/>
    <cellStyle name="Normal 50 131" xfId="8554"/>
    <cellStyle name="Normal 50 132" xfId="8555"/>
    <cellStyle name="Normal 50 133" xfId="8556"/>
    <cellStyle name="Normal 50 134" xfId="8557"/>
    <cellStyle name="Normal 50 135" xfId="8558"/>
    <cellStyle name="Normal 50 136" xfId="8559"/>
    <cellStyle name="Normal 50 137" xfId="8560"/>
    <cellStyle name="Normal 50 138" xfId="8561"/>
    <cellStyle name="Normal 50 139" xfId="8562"/>
    <cellStyle name="Normal 50 14" xfId="8563"/>
    <cellStyle name="Normal 50 140" xfId="8564"/>
    <cellStyle name="Normal 50 141" xfId="8565"/>
    <cellStyle name="Normal 50 142" xfId="8566"/>
    <cellStyle name="Normal 50 143" xfId="8567"/>
    <cellStyle name="Normal 50 144" xfId="8568"/>
    <cellStyle name="Normal 50 145" xfId="8569"/>
    <cellStyle name="Normal 50 146" xfId="8570"/>
    <cellStyle name="Normal 50 147" xfId="8571"/>
    <cellStyle name="Normal 50 148" xfId="8572"/>
    <cellStyle name="Normal 50 149" xfId="8573"/>
    <cellStyle name="Normal 50 15" xfId="8574"/>
    <cellStyle name="Normal 50 150" xfId="8575"/>
    <cellStyle name="Normal 50 151" xfId="8576"/>
    <cellStyle name="Normal 50 152" xfId="8577"/>
    <cellStyle name="Normal 50 153" xfId="8578"/>
    <cellStyle name="Normal 50 154" xfId="8579"/>
    <cellStyle name="Normal 50 155" xfId="8580"/>
    <cellStyle name="Normal 50 156" xfId="8581"/>
    <cellStyle name="Normal 50 157" xfId="8582"/>
    <cellStyle name="Normal 50 158" xfId="8583"/>
    <cellStyle name="Normal 50 159" xfId="8584"/>
    <cellStyle name="Normal 50 16" xfId="8585"/>
    <cellStyle name="Normal 50 160" xfId="8586"/>
    <cellStyle name="Normal 50 161" xfId="8587"/>
    <cellStyle name="Normal 50 162" xfId="8588"/>
    <cellStyle name="Normal 50 163" xfId="8589"/>
    <cellStyle name="Normal 50 164" xfId="8590"/>
    <cellStyle name="Normal 50 165" xfId="8591"/>
    <cellStyle name="Normal 50 166" xfId="8592"/>
    <cellStyle name="Normal 50 167" xfId="8593"/>
    <cellStyle name="Normal 50 168" xfId="8594"/>
    <cellStyle name="Normal 50 169" xfId="8595"/>
    <cellStyle name="Normal 50 17" xfId="8596"/>
    <cellStyle name="Normal 50 170" xfId="8597"/>
    <cellStyle name="Normal 50 171" xfId="8598"/>
    <cellStyle name="Normal 50 172" xfId="8599"/>
    <cellStyle name="Normal 50 173" xfId="8600"/>
    <cellStyle name="Normal 50 174" xfId="8601"/>
    <cellStyle name="Normal 50 175" xfId="8602"/>
    <cellStyle name="Normal 50 176" xfId="8603"/>
    <cellStyle name="Normal 50 177" xfId="8604"/>
    <cellStyle name="Normal 50 178" xfId="8605"/>
    <cellStyle name="Normal 50 179" xfId="8606"/>
    <cellStyle name="Normal 50 18" xfId="8607"/>
    <cellStyle name="Normal 50 180" xfId="8608"/>
    <cellStyle name="Normal 50 181" xfId="8609"/>
    <cellStyle name="Normal 50 182" xfId="8610"/>
    <cellStyle name="Normal 50 183" xfId="8611"/>
    <cellStyle name="Normal 50 184" xfId="8612"/>
    <cellStyle name="Normal 50 185" xfId="8613"/>
    <cellStyle name="Normal 50 186" xfId="8614"/>
    <cellStyle name="Normal 50 187" xfId="8615"/>
    <cellStyle name="Normal 50 188" xfId="8616"/>
    <cellStyle name="Normal 50 189" xfId="8617"/>
    <cellStyle name="Normal 50 19" xfId="8618"/>
    <cellStyle name="Normal 50 190" xfId="8619"/>
    <cellStyle name="Normal 50 191" xfId="8620"/>
    <cellStyle name="Normal 50 192" xfId="8621"/>
    <cellStyle name="Normal 50 193" xfId="8622"/>
    <cellStyle name="Normal 50 194" xfId="8623"/>
    <cellStyle name="Normal 50 195" xfId="8624"/>
    <cellStyle name="Normal 50 196" xfId="8625"/>
    <cellStyle name="Normal 50 197" xfId="8626"/>
    <cellStyle name="Normal 50 198" xfId="8627"/>
    <cellStyle name="Normal 50 2" xfId="8628"/>
    <cellStyle name="Normal 50 20" xfId="8629"/>
    <cellStyle name="Normal 50 21" xfId="8630"/>
    <cellStyle name="Normal 50 22" xfId="8631"/>
    <cellStyle name="Normal 50 23" xfId="8632"/>
    <cellStyle name="Normal 50 24" xfId="8633"/>
    <cellStyle name="Normal 50 25" xfId="8634"/>
    <cellStyle name="Normal 50 26" xfId="8635"/>
    <cellStyle name="Normal 50 27" xfId="8636"/>
    <cellStyle name="Normal 50 28" xfId="8637"/>
    <cellStyle name="Normal 50 29" xfId="8638"/>
    <cellStyle name="Normal 50 3" xfId="8639"/>
    <cellStyle name="Normal 50 30" xfId="8640"/>
    <cellStyle name="Normal 50 31" xfId="8641"/>
    <cellStyle name="Normal 50 32" xfId="8642"/>
    <cellStyle name="Normal 50 33" xfId="8643"/>
    <cellStyle name="Normal 50 34" xfId="8644"/>
    <cellStyle name="Normal 50 35" xfId="8645"/>
    <cellStyle name="Normal 50 36" xfId="8646"/>
    <cellStyle name="Normal 50 37" xfId="8647"/>
    <cellStyle name="Normal 50 38" xfId="8648"/>
    <cellStyle name="Normal 50 39" xfId="8649"/>
    <cellStyle name="Normal 50 4" xfId="8650"/>
    <cellStyle name="Normal 50 40" xfId="8651"/>
    <cellStyle name="Normal 50 41" xfId="8652"/>
    <cellStyle name="Normal 50 42" xfId="8653"/>
    <cellStyle name="Normal 50 43" xfId="8654"/>
    <cellStyle name="Normal 50 44" xfId="8655"/>
    <cellStyle name="Normal 50 45" xfId="8656"/>
    <cellStyle name="Normal 50 46" xfId="8657"/>
    <cellStyle name="Normal 50 47" xfId="8658"/>
    <cellStyle name="Normal 50 48" xfId="8659"/>
    <cellStyle name="Normal 50 49" xfId="8660"/>
    <cellStyle name="Normal 50 5" xfId="8661"/>
    <cellStyle name="Normal 50 50" xfId="8662"/>
    <cellStyle name="Normal 50 51" xfId="8663"/>
    <cellStyle name="Normal 50 52" xfId="8664"/>
    <cellStyle name="Normal 50 53" xfId="8665"/>
    <cellStyle name="Normal 50 54" xfId="8666"/>
    <cellStyle name="Normal 50 55" xfId="8667"/>
    <cellStyle name="Normal 50 56" xfId="8668"/>
    <cellStyle name="Normal 50 57" xfId="8669"/>
    <cellStyle name="Normal 50 58" xfId="8670"/>
    <cellStyle name="Normal 50 59" xfId="8671"/>
    <cellStyle name="Normal 50 6" xfId="8672"/>
    <cellStyle name="Normal 50 60" xfId="8673"/>
    <cellStyle name="Normal 50 61" xfId="8674"/>
    <cellStyle name="Normal 50 62" xfId="8675"/>
    <cellStyle name="Normal 50 63" xfId="8676"/>
    <cellStyle name="Normal 50 64" xfId="8677"/>
    <cellStyle name="Normal 50 65" xfId="8678"/>
    <cellStyle name="Normal 50 66" xfId="8679"/>
    <cellStyle name="Normal 50 67" xfId="8680"/>
    <cellStyle name="Normal 50 68" xfId="8681"/>
    <cellStyle name="Normal 50 69" xfId="8682"/>
    <cellStyle name="Normal 50 7" xfId="8683"/>
    <cellStyle name="Normal 50 70" xfId="8684"/>
    <cellStyle name="Normal 50 71" xfId="8685"/>
    <cellStyle name="Normal 50 72" xfId="8686"/>
    <cellStyle name="Normal 50 73" xfId="8687"/>
    <cellStyle name="Normal 50 74" xfId="8688"/>
    <cellStyle name="Normal 50 75" xfId="8689"/>
    <cellStyle name="Normal 50 76" xfId="8690"/>
    <cellStyle name="Normal 50 77" xfId="8691"/>
    <cellStyle name="Normal 50 78" xfId="8692"/>
    <cellStyle name="Normal 50 79" xfId="8693"/>
    <cellStyle name="Normal 50 8" xfId="8694"/>
    <cellStyle name="Normal 50 80" xfId="8695"/>
    <cellStyle name="Normal 50 81" xfId="8696"/>
    <cellStyle name="Normal 50 82" xfId="8697"/>
    <cellStyle name="Normal 50 83" xfId="8698"/>
    <cellStyle name="Normal 50 84" xfId="8699"/>
    <cellStyle name="Normal 50 85" xfId="8700"/>
    <cellStyle name="Normal 50 86" xfId="8701"/>
    <cellStyle name="Normal 50 87" xfId="8702"/>
    <cellStyle name="Normal 50 88" xfId="8703"/>
    <cellStyle name="Normal 50 89" xfId="8704"/>
    <cellStyle name="Normal 50 9" xfId="8705"/>
    <cellStyle name="Normal 50 90" xfId="8706"/>
    <cellStyle name="Normal 50 91" xfId="8707"/>
    <cellStyle name="Normal 50 92" xfId="8708"/>
    <cellStyle name="Normal 50 93" xfId="8709"/>
    <cellStyle name="Normal 50 94" xfId="8710"/>
    <cellStyle name="Normal 50 95" xfId="8711"/>
    <cellStyle name="Normal 50 96" xfId="8712"/>
    <cellStyle name="Normal 50 97" xfId="8713"/>
    <cellStyle name="Normal 50 98" xfId="8714"/>
    <cellStyle name="Normal 50 99" xfId="8715"/>
    <cellStyle name="Normal 51" xfId="8716"/>
    <cellStyle name="Normal 51 10" xfId="8717"/>
    <cellStyle name="Normal 51 100" xfId="8718"/>
    <cellStyle name="Normal 51 101" xfId="8719"/>
    <cellStyle name="Normal 51 102" xfId="8720"/>
    <cellStyle name="Normal 51 103" xfId="8721"/>
    <cellStyle name="Normal 51 104" xfId="8722"/>
    <cellStyle name="Normal 51 105" xfId="8723"/>
    <cellStyle name="Normal 51 106" xfId="8724"/>
    <cellStyle name="Normal 51 107" xfId="8725"/>
    <cellStyle name="Normal 51 108" xfId="8726"/>
    <cellStyle name="Normal 51 109" xfId="8727"/>
    <cellStyle name="Normal 51 11" xfId="8728"/>
    <cellStyle name="Normal 51 110" xfId="8729"/>
    <cellStyle name="Normal 51 111" xfId="8730"/>
    <cellStyle name="Normal 51 112" xfId="8731"/>
    <cellStyle name="Normal 51 113" xfId="8732"/>
    <cellStyle name="Normal 51 114" xfId="8733"/>
    <cellStyle name="Normal 51 115" xfId="8734"/>
    <cellStyle name="Normal 51 116" xfId="8735"/>
    <cellStyle name="Normal 51 117" xfId="8736"/>
    <cellStyle name="Normal 51 118" xfId="8737"/>
    <cellStyle name="Normal 51 119" xfId="8738"/>
    <cellStyle name="Normal 51 12" xfId="8739"/>
    <cellStyle name="Normal 51 120" xfId="8740"/>
    <cellStyle name="Normal 51 121" xfId="8741"/>
    <cellStyle name="Normal 51 122" xfId="8742"/>
    <cellStyle name="Normal 51 123" xfId="8743"/>
    <cellStyle name="Normal 51 124" xfId="8744"/>
    <cellStyle name="Normal 51 125" xfId="8745"/>
    <cellStyle name="Normal 51 126" xfId="8746"/>
    <cellStyle name="Normal 51 127" xfId="8747"/>
    <cellStyle name="Normal 51 128" xfId="8748"/>
    <cellStyle name="Normal 51 129" xfId="8749"/>
    <cellStyle name="Normal 51 13" xfId="8750"/>
    <cellStyle name="Normal 51 130" xfId="8751"/>
    <cellStyle name="Normal 51 131" xfId="8752"/>
    <cellStyle name="Normal 51 132" xfId="8753"/>
    <cellStyle name="Normal 51 133" xfId="8754"/>
    <cellStyle name="Normal 51 134" xfId="8755"/>
    <cellStyle name="Normal 51 135" xfId="8756"/>
    <cellStyle name="Normal 51 136" xfId="8757"/>
    <cellStyle name="Normal 51 137" xfId="8758"/>
    <cellStyle name="Normal 51 138" xfId="8759"/>
    <cellStyle name="Normal 51 139" xfId="8760"/>
    <cellStyle name="Normal 51 14" xfId="8761"/>
    <cellStyle name="Normal 51 140" xfId="8762"/>
    <cellStyle name="Normal 51 141" xfId="8763"/>
    <cellStyle name="Normal 51 142" xfId="8764"/>
    <cellStyle name="Normal 51 143" xfId="8765"/>
    <cellStyle name="Normal 51 144" xfId="8766"/>
    <cellStyle name="Normal 51 145" xfId="8767"/>
    <cellStyle name="Normal 51 146" xfId="8768"/>
    <cellStyle name="Normal 51 147" xfId="8769"/>
    <cellStyle name="Normal 51 148" xfId="8770"/>
    <cellStyle name="Normal 51 149" xfId="8771"/>
    <cellStyle name="Normal 51 15" xfId="8772"/>
    <cellStyle name="Normal 51 150" xfId="8773"/>
    <cellStyle name="Normal 51 151" xfId="8774"/>
    <cellStyle name="Normal 51 152" xfId="8775"/>
    <cellStyle name="Normal 51 153" xfId="8776"/>
    <cellStyle name="Normal 51 154" xfId="8777"/>
    <cellStyle name="Normal 51 155" xfId="8778"/>
    <cellStyle name="Normal 51 156" xfId="8779"/>
    <cellStyle name="Normal 51 157" xfId="8780"/>
    <cellStyle name="Normal 51 158" xfId="8781"/>
    <cellStyle name="Normal 51 159" xfId="8782"/>
    <cellStyle name="Normal 51 16" xfId="8783"/>
    <cellStyle name="Normal 51 160" xfId="8784"/>
    <cellStyle name="Normal 51 161" xfId="8785"/>
    <cellStyle name="Normal 51 162" xfId="8786"/>
    <cellStyle name="Normal 51 163" xfId="8787"/>
    <cellStyle name="Normal 51 164" xfId="8788"/>
    <cellStyle name="Normal 51 165" xfId="8789"/>
    <cellStyle name="Normal 51 166" xfId="8790"/>
    <cellStyle name="Normal 51 167" xfId="8791"/>
    <cellStyle name="Normal 51 168" xfId="8792"/>
    <cellStyle name="Normal 51 169" xfId="8793"/>
    <cellStyle name="Normal 51 17" xfId="8794"/>
    <cellStyle name="Normal 51 170" xfId="8795"/>
    <cellStyle name="Normal 51 171" xfId="8796"/>
    <cellStyle name="Normal 51 172" xfId="8797"/>
    <cellStyle name="Normal 51 173" xfId="8798"/>
    <cellStyle name="Normal 51 174" xfId="8799"/>
    <cellStyle name="Normal 51 175" xfId="8800"/>
    <cellStyle name="Normal 51 176" xfId="8801"/>
    <cellStyle name="Normal 51 177" xfId="8802"/>
    <cellStyle name="Normal 51 178" xfId="8803"/>
    <cellStyle name="Normal 51 179" xfId="8804"/>
    <cellStyle name="Normal 51 18" xfId="8805"/>
    <cellStyle name="Normal 51 180" xfId="8806"/>
    <cellStyle name="Normal 51 181" xfId="8807"/>
    <cellStyle name="Normal 51 182" xfId="8808"/>
    <cellStyle name="Normal 51 183" xfId="8809"/>
    <cellStyle name="Normal 51 184" xfId="8810"/>
    <cellStyle name="Normal 51 185" xfId="8811"/>
    <cellStyle name="Normal 51 186" xfId="8812"/>
    <cellStyle name="Normal 51 187" xfId="8813"/>
    <cellStyle name="Normal 51 188" xfId="8814"/>
    <cellStyle name="Normal 51 189" xfId="8815"/>
    <cellStyle name="Normal 51 19" xfId="8816"/>
    <cellStyle name="Normal 51 190" xfId="8817"/>
    <cellStyle name="Normal 51 191" xfId="8818"/>
    <cellStyle name="Normal 51 192" xfId="8819"/>
    <cellStyle name="Normal 51 193" xfId="8820"/>
    <cellStyle name="Normal 51 194" xfId="8821"/>
    <cellStyle name="Normal 51 195" xfId="8822"/>
    <cellStyle name="Normal 51 196" xfId="8823"/>
    <cellStyle name="Normal 51 197" xfId="8824"/>
    <cellStyle name="Normal 51 198" xfId="8825"/>
    <cellStyle name="Normal 51 2" xfId="8826"/>
    <cellStyle name="Normal 51 20" xfId="8827"/>
    <cellStyle name="Normal 51 21" xfId="8828"/>
    <cellStyle name="Normal 51 22" xfId="8829"/>
    <cellStyle name="Normal 51 23" xfId="8830"/>
    <cellStyle name="Normal 51 24" xfId="8831"/>
    <cellStyle name="Normal 51 25" xfId="8832"/>
    <cellStyle name="Normal 51 26" xfId="8833"/>
    <cellStyle name="Normal 51 27" xfId="8834"/>
    <cellStyle name="Normal 51 28" xfId="8835"/>
    <cellStyle name="Normal 51 29" xfId="8836"/>
    <cellStyle name="Normal 51 3" xfId="8837"/>
    <cellStyle name="Normal 51 30" xfId="8838"/>
    <cellStyle name="Normal 51 31" xfId="8839"/>
    <cellStyle name="Normal 51 32" xfId="8840"/>
    <cellStyle name="Normal 51 33" xfId="8841"/>
    <cellStyle name="Normal 51 34" xfId="8842"/>
    <cellStyle name="Normal 51 35" xfId="8843"/>
    <cellStyle name="Normal 51 36" xfId="8844"/>
    <cellStyle name="Normal 51 37" xfId="8845"/>
    <cellStyle name="Normal 51 38" xfId="8846"/>
    <cellStyle name="Normal 51 39" xfId="8847"/>
    <cellStyle name="Normal 51 4" xfId="8848"/>
    <cellStyle name="Normal 51 40" xfId="8849"/>
    <cellStyle name="Normal 51 41" xfId="8850"/>
    <cellStyle name="Normal 51 42" xfId="8851"/>
    <cellStyle name="Normal 51 43" xfId="8852"/>
    <cellStyle name="Normal 51 44" xfId="8853"/>
    <cellStyle name="Normal 51 45" xfId="8854"/>
    <cellStyle name="Normal 51 46" xfId="8855"/>
    <cellStyle name="Normal 51 47" xfId="8856"/>
    <cellStyle name="Normal 51 48" xfId="8857"/>
    <cellStyle name="Normal 51 49" xfId="8858"/>
    <cellStyle name="Normal 51 5" xfId="8859"/>
    <cellStyle name="Normal 51 50" xfId="8860"/>
    <cellStyle name="Normal 51 51" xfId="8861"/>
    <cellStyle name="Normal 51 52" xfId="8862"/>
    <cellStyle name="Normal 51 53" xfId="8863"/>
    <cellStyle name="Normal 51 54" xfId="8864"/>
    <cellStyle name="Normal 51 55" xfId="8865"/>
    <cellStyle name="Normal 51 56" xfId="8866"/>
    <cellStyle name="Normal 51 57" xfId="8867"/>
    <cellStyle name="Normal 51 58" xfId="8868"/>
    <cellStyle name="Normal 51 59" xfId="8869"/>
    <cellStyle name="Normal 51 6" xfId="8870"/>
    <cellStyle name="Normal 51 60" xfId="8871"/>
    <cellStyle name="Normal 51 61" xfId="8872"/>
    <cellStyle name="Normal 51 62" xfId="8873"/>
    <cellStyle name="Normal 51 63" xfId="8874"/>
    <cellStyle name="Normal 51 64" xfId="8875"/>
    <cellStyle name="Normal 51 65" xfId="8876"/>
    <cellStyle name="Normal 51 66" xfId="8877"/>
    <cellStyle name="Normal 51 67" xfId="8878"/>
    <cellStyle name="Normal 51 68" xfId="8879"/>
    <cellStyle name="Normal 51 69" xfId="8880"/>
    <cellStyle name="Normal 51 7" xfId="8881"/>
    <cellStyle name="Normal 51 70" xfId="8882"/>
    <cellStyle name="Normal 51 71" xfId="8883"/>
    <cellStyle name="Normal 51 72" xfId="8884"/>
    <cellStyle name="Normal 51 73" xfId="8885"/>
    <cellStyle name="Normal 51 74" xfId="8886"/>
    <cellStyle name="Normal 51 75" xfId="8887"/>
    <cellStyle name="Normal 51 76" xfId="8888"/>
    <cellStyle name="Normal 51 77" xfId="8889"/>
    <cellStyle name="Normal 51 78" xfId="8890"/>
    <cellStyle name="Normal 51 79" xfId="8891"/>
    <cellStyle name="Normal 51 8" xfId="8892"/>
    <cellStyle name="Normal 51 80" xfId="8893"/>
    <cellStyle name="Normal 51 81" xfId="8894"/>
    <cellStyle name="Normal 51 82" xfId="8895"/>
    <cellStyle name="Normal 51 83" xfId="8896"/>
    <cellStyle name="Normal 51 84" xfId="8897"/>
    <cellStyle name="Normal 51 85" xfId="8898"/>
    <cellStyle name="Normal 51 86" xfId="8899"/>
    <cellStyle name="Normal 51 87" xfId="8900"/>
    <cellStyle name="Normal 51 88" xfId="8901"/>
    <cellStyle name="Normal 51 89" xfId="8902"/>
    <cellStyle name="Normal 51 9" xfId="8903"/>
    <cellStyle name="Normal 51 90" xfId="8904"/>
    <cellStyle name="Normal 51 91" xfId="8905"/>
    <cellStyle name="Normal 51 92" xfId="8906"/>
    <cellStyle name="Normal 51 93" xfId="8907"/>
    <cellStyle name="Normal 51 94" xfId="8908"/>
    <cellStyle name="Normal 51 95" xfId="8909"/>
    <cellStyle name="Normal 51 96" xfId="8910"/>
    <cellStyle name="Normal 51 97" xfId="8911"/>
    <cellStyle name="Normal 51 98" xfId="8912"/>
    <cellStyle name="Normal 51 99" xfId="8913"/>
    <cellStyle name="Normal 52" xfId="8914"/>
    <cellStyle name="Normal 52 10" xfId="8915"/>
    <cellStyle name="Normal 52 100" xfId="8916"/>
    <cellStyle name="Normal 52 101" xfId="8917"/>
    <cellStyle name="Normal 52 102" xfId="8918"/>
    <cellStyle name="Normal 52 103" xfId="8919"/>
    <cellStyle name="Normal 52 104" xfId="8920"/>
    <cellStyle name="Normal 52 105" xfId="8921"/>
    <cellStyle name="Normal 52 106" xfId="8922"/>
    <cellStyle name="Normal 52 107" xfId="8923"/>
    <cellStyle name="Normal 52 108" xfId="8924"/>
    <cellStyle name="Normal 52 109" xfId="8925"/>
    <cellStyle name="Normal 52 11" xfId="8926"/>
    <cellStyle name="Normal 52 110" xfId="8927"/>
    <cellStyle name="Normal 52 111" xfId="8928"/>
    <cellStyle name="Normal 52 112" xfId="8929"/>
    <cellStyle name="Normal 52 113" xfId="8930"/>
    <cellStyle name="Normal 52 114" xfId="8931"/>
    <cellStyle name="Normal 52 115" xfId="8932"/>
    <cellStyle name="Normal 52 116" xfId="8933"/>
    <cellStyle name="Normal 52 117" xfId="8934"/>
    <cellStyle name="Normal 52 118" xfId="8935"/>
    <cellStyle name="Normal 52 119" xfId="8936"/>
    <cellStyle name="Normal 52 12" xfId="8937"/>
    <cellStyle name="Normal 52 120" xfId="8938"/>
    <cellStyle name="Normal 52 121" xfId="8939"/>
    <cellStyle name="Normal 52 122" xfId="8940"/>
    <cellStyle name="Normal 52 123" xfId="8941"/>
    <cellStyle name="Normal 52 124" xfId="8942"/>
    <cellStyle name="Normal 52 125" xfId="8943"/>
    <cellStyle name="Normal 52 126" xfId="8944"/>
    <cellStyle name="Normal 52 127" xfId="8945"/>
    <cellStyle name="Normal 52 128" xfId="8946"/>
    <cellStyle name="Normal 52 129" xfId="8947"/>
    <cellStyle name="Normal 52 13" xfId="8948"/>
    <cellStyle name="Normal 52 130" xfId="8949"/>
    <cellStyle name="Normal 52 131" xfId="8950"/>
    <cellStyle name="Normal 52 132" xfId="8951"/>
    <cellStyle name="Normal 52 133" xfId="8952"/>
    <cellStyle name="Normal 52 134" xfId="8953"/>
    <cellStyle name="Normal 52 135" xfId="8954"/>
    <cellStyle name="Normal 52 136" xfId="8955"/>
    <cellStyle name="Normal 52 137" xfId="8956"/>
    <cellStyle name="Normal 52 138" xfId="8957"/>
    <cellStyle name="Normal 52 139" xfId="8958"/>
    <cellStyle name="Normal 52 14" xfId="8959"/>
    <cellStyle name="Normal 52 140" xfId="8960"/>
    <cellStyle name="Normal 52 141" xfId="8961"/>
    <cellStyle name="Normal 52 142" xfId="8962"/>
    <cellStyle name="Normal 52 143" xfId="8963"/>
    <cellStyle name="Normal 52 144" xfId="8964"/>
    <cellStyle name="Normal 52 145" xfId="8965"/>
    <cellStyle name="Normal 52 146" xfId="8966"/>
    <cellStyle name="Normal 52 147" xfId="8967"/>
    <cellStyle name="Normal 52 148" xfId="8968"/>
    <cellStyle name="Normal 52 149" xfId="8969"/>
    <cellStyle name="Normal 52 15" xfId="8970"/>
    <cellStyle name="Normal 52 150" xfId="8971"/>
    <cellStyle name="Normal 52 151" xfId="8972"/>
    <cellStyle name="Normal 52 152" xfId="8973"/>
    <cellStyle name="Normal 52 153" xfId="8974"/>
    <cellStyle name="Normal 52 154" xfId="8975"/>
    <cellStyle name="Normal 52 155" xfId="8976"/>
    <cellStyle name="Normal 52 156" xfId="8977"/>
    <cellStyle name="Normal 52 157" xfId="8978"/>
    <cellStyle name="Normal 52 158" xfId="8979"/>
    <cellStyle name="Normal 52 159" xfId="8980"/>
    <cellStyle name="Normal 52 16" xfId="8981"/>
    <cellStyle name="Normal 52 160" xfId="8982"/>
    <cellStyle name="Normal 52 161" xfId="8983"/>
    <cellStyle name="Normal 52 162" xfId="8984"/>
    <cellStyle name="Normal 52 163" xfId="8985"/>
    <cellStyle name="Normal 52 164" xfId="8986"/>
    <cellStyle name="Normal 52 165" xfId="8987"/>
    <cellStyle name="Normal 52 166" xfId="8988"/>
    <cellStyle name="Normal 52 167" xfId="8989"/>
    <cellStyle name="Normal 52 168" xfId="8990"/>
    <cellStyle name="Normal 52 169" xfId="8991"/>
    <cellStyle name="Normal 52 17" xfId="8992"/>
    <cellStyle name="Normal 52 170" xfId="8993"/>
    <cellStyle name="Normal 52 171" xfId="8994"/>
    <cellStyle name="Normal 52 172" xfId="8995"/>
    <cellStyle name="Normal 52 173" xfId="8996"/>
    <cellStyle name="Normal 52 174" xfId="8997"/>
    <cellStyle name="Normal 52 175" xfId="8998"/>
    <cellStyle name="Normal 52 176" xfId="8999"/>
    <cellStyle name="Normal 52 177" xfId="9000"/>
    <cellStyle name="Normal 52 178" xfId="9001"/>
    <cellStyle name="Normal 52 179" xfId="9002"/>
    <cellStyle name="Normal 52 18" xfId="9003"/>
    <cellStyle name="Normal 52 180" xfId="9004"/>
    <cellStyle name="Normal 52 181" xfId="9005"/>
    <cellStyle name="Normal 52 182" xfId="9006"/>
    <cellStyle name="Normal 52 183" xfId="9007"/>
    <cellStyle name="Normal 52 184" xfId="9008"/>
    <cellStyle name="Normal 52 185" xfId="9009"/>
    <cellStyle name="Normal 52 186" xfId="9010"/>
    <cellStyle name="Normal 52 187" xfId="9011"/>
    <cellStyle name="Normal 52 188" xfId="9012"/>
    <cellStyle name="Normal 52 189" xfId="9013"/>
    <cellStyle name="Normal 52 19" xfId="9014"/>
    <cellStyle name="Normal 52 190" xfId="9015"/>
    <cellStyle name="Normal 52 191" xfId="9016"/>
    <cellStyle name="Normal 52 192" xfId="9017"/>
    <cellStyle name="Normal 52 193" xfId="9018"/>
    <cellStyle name="Normal 52 194" xfId="9019"/>
    <cellStyle name="Normal 52 195" xfId="9020"/>
    <cellStyle name="Normal 52 196" xfId="9021"/>
    <cellStyle name="Normal 52 197" xfId="9022"/>
    <cellStyle name="Normal 52 198" xfId="9023"/>
    <cellStyle name="Normal 52 2" xfId="9024"/>
    <cellStyle name="Normal 52 20" xfId="9025"/>
    <cellStyle name="Normal 52 21" xfId="9026"/>
    <cellStyle name="Normal 52 22" xfId="9027"/>
    <cellStyle name="Normal 52 23" xfId="9028"/>
    <cellStyle name="Normal 52 24" xfId="9029"/>
    <cellStyle name="Normal 52 25" xfId="9030"/>
    <cellStyle name="Normal 52 26" xfId="9031"/>
    <cellStyle name="Normal 52 27" xfId="9032"/>
    <cellStyle name="Normal 52 28" xfId="9033"/>
    <cellStyle name="Normal 52 29" xfId="9034"/>
    <cellStyle name="Normal 52 3" xfId="9035"/>
    <cellStyle name="Normal 52 30" xfId="9036"/>
    <cellStyle name="Normal 52 31" xfId="9037"/>
    <cellStyle name="Normal 52 32" xfId="9038"/>
    <cellStyle name="Normal 52 33" xfId="9039"/>
    <cellStyle name="Normal 52 34" xfId="9040"/>
    <cellStyle name="Normal 52 35" xfId="9041"/>
    <cellStyle name="Normal 52 36" xfId="9042"/>
    <cellStyle name="Normal 52 37" xfId="9043"/>
    <cellStyle name="Normal 52 38" xfId="9044"/>
    <cellStyle name="Normal 52 39" xfId="9045"/>
    <cellStyle name="Normal 52 4" xfId="9046"/>
    <cellStyle name="Normal 52 40" xfId="9047"/>
    <cellStyle name="Normal 52 41" xfId="9048"/>
    <cellStyle name="Normal 52 42" xfId="9049"/>
    <cellStyle name="Normal 52 43" xfId="9050"/>
    <cellStyle name="Normal 52 44" xfId="9051"/>
    <cellStyle name="Normal 52 45" xfId="9052"/>
    <cellStyle name="Normal 52 46" xfId="9053"/>
    <cellStyle name="Normal 52 47" xfId="9054"/>
    <cellStyle name="Normal 52 48" xfId="9055"/>
    <cellStyle name="Normal 52 49" xfId="9056"/>
    <cellStyle name="Normal 52 5" xfId="9057"/>
    <cellStyle name="Normal 52 50" xfId="9058"/>
    <cellStyle name="Normal 52 51" xfId="9059"/>
    <cellStyle name="Normal 52 52" xfId="9060"/>
    <cellStyle name="Normal 52 53" xfId="9061"/>
    <cellStyle name="Normal 52 54" xfId="9062"/>
    <cellStyle name="Normal 52 55" xfId="9063"/>
    <cellStyle name="Normal 52 56" xfId="9064"/>
    <cellStyle name="Normal 52 57" xfId="9065"/>
    <cellStyle name="Normal 52 58" xfId="9066"/>
    <cellStyle name="Normal 52 59" xfId="9067"/>
    <cellStyle name="Normal 52 6" xfId="9068"/>
    <cellStyle name="Normal 52 60" xfId="9069"/>
    <cellStyle name="Normal 52 61" xfId="9070"/>
    <cellStyle name="Normal 52 62" xfId="9071"/>
    <cellStyle name="Normal 52 63" xfId="9072"/>
    <cellStyle name="Normal 52 64" xfId="9073"/>
    <cellStyle name="Normal 52 65" xfId="9074"/>
    <cellStyle name="Normal 52 66" xfId="9075"/>
    <cellStyle name="Normal 52 67" xfId="9076"/>
    <cellStyle name="Normal 52 68" xfId="9077"/>
    <cellStyle name="Normal 52 69" xfId="9078"/>
    <cellStyle name="Normal 52 7" xfId="9079"/>
    <cellStyle name="Normal 52 70" xfId="9080"/>
    <cellStyle name="Normal 52 71" xfId="9081"/>
    <cellStyle name="Normal 52 72" xfId="9082"/>
    <cellStyle name="Normal 52 73" xfId="9083"/>
    <cellStyle name="Normal 52 74" xfId="9084"/>
    <cellStyle name="Normal 52 75" xfId="9085"/>
    <cellStyle name="Normal 52 76" xfId="9086"/>
    <cellStyle name="Normal 52 77" xfId="9087"/>
    <cellStyle name="Normal 52 78" xfId="9088"/>
    <cellStyle name="Normal 52 79" xfId="9089"/>
    <cellStyle name="Normal 52 8" xfId="9090"/>
    <cellStyle name="Normal 52 80" xfId="9091"/>
    <cellStyle name="Normal 52 81" xfId="9092"/>
    <cellStyle name="Normal 52 82" xfId="9093"/>
    <cellStyle name="Normal 52 83" xfId="9094"/>
    <cellStyle name="Normal 52 84" xfId="9095"/>
    <cellStyle name="Normal 52 85" xfId="9096"/>
    <cellStyle name="Normal 52 86" xfId="9097"/>
    <cellStyle name="Normal 52 87" xfId="9098"/>
    <cellStyle name="Normal 52 88" xfId="9099"/>
    <cellStyle name="Normal 52 89" xfId="9100"/>
    <cellStyle name="Normal 52 9" xfId="9101"/>
    <cellStyle name="Normal 52 90" xfId="9102"/>
    <cellStyle name="Normal 52 91" xfId="9103"/>
    <cellStyle name="Normal 52 92" xfId="9104"/>
    <cellStyle name="Normal 52 93" xfId="9105"/>
    <cellStyle name="Normal 52 94" xfId="9106"/>
    <cellStyle name="Normal 52 95" xfId="9107"/>
    <cellStyle name="Normal 52 96" xfId="9108"/>
    <cellStyle name="Normal 52 97" xfId="9109"/>
    <cellStyle name="Normal 52 98" xfId="9110"/>
    <cellStyle name="Normal 52 99" xfId="9111"/>
    <cellStyle name="Normal 53" xfId="9112"/>
    <cellStyle name="Normal 53 10" xfId="9113"/>
    <cellStyle name="Normal 53 100" xfId="9114"/>
    <cellStyle name="Normal 53 101" xfId="9115"/>
    <cellStyle name="Normal 53 102" xfId="9116"/>
    <cellStyle name="Normal 53 103" xfId="9117"/>
    <cellStyle name="Normal 53 104" xfId="9118"/>
    <cellStyle name="Normal 53 105" xfId="9119"/>
    <cellStyle name="Normal 53 106" xfId="9120"/>
    <cellStyle name="Normal 53 107" xfId="9121"/>
    <cellStyle name="Normal 53 108" xfId="9122"/>
    <cellStyle name="Normal 53 109" xfId="9123"/>
    <cellStyle name="Normal 53 11" xfId="9124"/>
    <cellStyle name="Normal 53 110" xfId="9125"/>
    <cellStyle name="Normal 53 111" xfId="9126"/>
    <cellStyle name="Normal 53 112" xfId="9127"/>
    <cellStyle name="Normal 53 113" xfId="9128"/>
    <cellStyle name="Normal 53 114" xfId="9129"/>
    <cellStyle name="Normal 53 115" xfId="9130"/>
    <cellStyle name="Normal 53 116" xfId="9131"/>
    <cellStyle name="Normal 53 117" xfId="9132"/>
    <cellStyle name="Normal 53 118" xfId="9133"/>
    <cellStyle name="Normal 53 119" xfId="9134"/>
    <cellStyle name="Normal 53 12" xfId="9135"/>
    <cellStyle name="Normal 53 120" xfId="9136"/>
    <cellStyle name="Normal 53 121" xfId="9137"/>
    <cellStyle name="Normal 53 122" xfId="9138"/>
    <cellStyle name="Normal 53 123" xfId="9139"/>
    <cellStyle name="Normal 53 124" xfId="9140"/>
    <cellStyle name="Normal 53 125" xfId="9141"/>
    <cellStyle name="Normal 53 126" xfId="9142"/>
    <cellStyle name="Normal 53 127" xfId="9143"/>
    <cellStyle name="Normal 53 128" xfId="9144"/>
    <cellStyle name="Normal 53 129" xfId="9145"/>
    <cellStyle name="Normal 53 13" xfId="9146"/>
    <cellStyle name="Normal 53 130" xfId="9147"/>
    <cellStyle name="Normal 53 131" xfId="9148"/>
    <cellStyle name="Normal 53 132" xfId="9149"/>
    <cellStyle name="Normal 53 133" xfId="9150"/>
    <cellStyle name="Normal 53 134" xfId="9151"/>
    <cellStyle name="Normal 53 135" xfId="9152"/>
    <cellStyle name="Normal 53 136" xfId="9153"/>
    <cellStyle name="Normal 53 137" xfId="9154"/>
    <cellStyle name="Normal 53 138" xfId="9155"/>
    <cellStyle name="Normal 53 139" xfId="9156"/>
    <cellStyle name="Normal 53 14" xfId="9157"/>
    <cellStyle name="Normal 53 140" xfId="9158"/>
    <cellStyle name="Normal 53 141" xfId="9159"/>
    <cellStyle name="Normal 53 142" xfId="9160"/>
    <cellStyle name="Normal 53 143" xfId="9161"/>
    <cellStyle name="Normal 53 144" xfId="9162"/>
    <cellStyle name="Normal 53 145" xfId="9163"/>
    <cellStyle name="Normal 53 146" xfId="9164"/>
    <cellStyle name="Normal 53 147" xfId="9165"/>
    <cellStyle name="Normal 53 148" xfId="9166"/>
    <cellStyle name="Normal 53 149" xfId="9167"/>
    <cellStyle name="Normal 53 15" xfId="9168"/>
    <cellStyle name="Normal 53 150" xfId="9169"/>
    <cellStyle name="Normal 53 151" xfId="9170"/>
    <cellStyle name="Normal 53 152" xfId="9171"/>
    <cellStyle name="Normal 53 153" xfId="9172"/>
    <cellStyle name="Normal 53 154" xfId="9173"/>
    <cellStyle name="Normal 53 155" xfId="9174"/>
    <cellStyle name="Normal 53 156" xfId="9175"/>
    <cellStyle name="Normal 53 157" xfId="9176"/>
    <cellStyle name="Normal 53 158" xfId="9177"/>
    <cellStyle name="Normal 53 159" xfId="9178"/>
    <cellStyle name="Normal 53 16" xfId="9179"/>
    <cellStyle name="Normal 53 160" xfId="9180"/>
    <cellStyle name="Normal 53 161" xfId="9181"/>
    <cellStyle name="Normal 53 162" xfId="9182"/>
    <cellStyle name="Normal 53 163" xfId="9183"/>
    <cellStyle name="Normal 53 164" xfId="9184"/>
    <cellStyle name="Normal 53 165" xfId="9185"/>
    <cellStyle name="Normal 53 166" xfId="9186"/>
    <cellStyle name="Normal 53 167" xfId="9187"/>
    <cellStyle name="Normal 53 168" xfId="9188"/>
    <cellStyle name="Normal 53 169" xfId="9189"/>
    <cellStyle name="Normal 53 17" xfId="9190"/>
    <cellStyle name="Normal 53 170" xfId="9191"/>
    <cellStyle name="Normal 53 171" xfId="9192"/>
    <cellStyle name="Normal 53 172" xfId="9193"/>
    <cellStyle name="Normal 53 173" xfId="9194"/>
    <cellStyle name="Normal 53 174" xfId="9195"/>
    <cellStyle name="Normal 53 175" xfId="9196"/>
    <cellStyle name="Normal 53 176" xfId="9197"/>
    <cellStyle name="Normal 53 177" xfId="9198"/>
    <cellStyle name="Normal 53 178" xfId="9199"/>
    <cellStyle name="Normal 53 179" xfId="9200"/>
    <cellStyle name="Normal 53 18" xfId="9201"/>
    <cellStyle name="Normal 53 180" xfId="9202"/>
    <cellStyle name="Normal 53 181" xfId="9203"/>
    <cellStyle name="Normal 53 182" xfId="9204"/>
    <cellStyle name="Normal 53 183" xfId="9205"/>
    <cellStyle name="Normal 53 184" xfId="9206"/>
    <cellStyle name="Normal 53 185" xfId="9207"/>
    <cellStyle name="Normal 53 186" xfId="9208"/>
    <cellStyle name="Normal 53 187" xfId="9209"/>
    <cellStyle name="Normal 53 188" xfId="9210"/>
    <cellStyle name="Normal 53 189" xfId="9211"/>
    <cellStyle name="Normal 53 19" xfId="9212"/>
    <cellStyle name="Normal 53 190" xfId="9213"/>
    <cellStyle name="Normal 53 191" xfId="9214"/>
    <cellStyle name="Normal 53 192" xfId="9215"/>
    <cellStyle name="Normal 53 193" xfId="9216"/>
    <cellStyle name="Normal 53 194" xfId="9217"/>
    <cellStyle name="Normal 53 195" xfId="9218"/>
    <cellStyle name="Normal 53 196" xfId="9219"/>
    <cellStyle name="Normal 53 197" xfId="9220"/>
    <cellStyle name="Normal 53 198" xfId="9221"/>
    <cellStyle name="Normal 53 2" xfId="9222"/>
    <cellStyle name="Normal 53 20" xfId="9223"/>
    <cellStyle name="Normal 53 21" xfId="9224"/>
    <cellStyle name="Normal 53 22" xfId="9225"/>
    <cellStyle name="Normal 53 23" xfId="9226"/>
    <cellStyle name="Normal 53 24" xfId="9227"/>
    <cellStyle name="Normal 53 25" xfId="9228"/>
    <cellStyle name="Normal 53 26" xfId="9229"/>
    <cellStyle name="Normal 53 27" xfId="9230"/>
    <cellStyle name="Normal 53 28" xfId="9231"/>
    <cellStyle name="Normal 53 29" xfId="9232"/>
    <cellStyle name="Normal 53 3" xfId="9233"/>
    <cellStyle name="Normal 53 30" xfId="9234"/>
    <cellStyle name="Normal 53 31" xfId="9235"/>
    <cellStyle name="Normal 53 32" xfId="9236"/>
    <cellStyle name="Normal 53 33" xfId="9237"/>
    <cellStyle name="Normal 53 34" xfId="9238"/>
    <cellStyle name="Normal 53 35" xfId="9239"/>
    <cellStyle name="Normal 53 36" xfId="9240"/>
    <cellStyle name="Normal 53 37" xfId="9241"/>
    <cellStyle name="Normal 53 38" xfId="9242"/>
    <cellStyle name="Normal 53 39" xfId="9243"/>
    <cellStyle name="Normal 53 4" xfId="9244"/>
    <cellStyle name="Normal 53 40" xfId="9245"/>
    <cellStyle name="Normal 53 41" xfId="9246"/>
    <cellStyle name="Normal 53 42" xfId="9247"/>
    <cellStyle name="Normal 53 43" xfId="9248"/>
    <cellStyle name="Normal 53 44" xfId="9249"/>
    <cellStyle name="Normal 53 45" xfId="9250"/>
    <cellStyle name="Normal 53 46" xfId="9251"/>
    <cellStyle name="Normal 53 47" xfId="9252"/>
    <cellStyle name="Normal 53 48" xfId="9253"/>
    <cellStyle name="Normal 53 49" xfId="9254"/>
    <cellStyle name="Normal 53 5" xfId="9255"/>
    <cellStyle name="Normal 53 50" xfId="9256"/>
    <cellStyle name="Normal 53 51" xfId="9257"/>
    <cellStyle name="Normal 53 52" xfId="9258"/>
    <cellStyle name="Normal 53 53" xfId="9259"/>
    <cellStyle name="Normal 53 54" xfId="9260"/>
    <cellStyle name="Normal 53 55" xfId="9261"/>
    <cellStyle name="Normal 53 56" xfId="9262"/>
    <cellStyle name="Normal 53 57" xfId="9263"/>
    <cellStyle name="Normal 53 58" xfId="9264"/>
    <cellStyle name="Normal 53 59" xfId="9265"/>
    <cellStyle name="Normal 53 6" xfId="9266"/>
    <cellStyle name="Normal 53 60" xfId="9267"/>
    <cellStyle name="Normal 53 61" xfId="9268"/>
    <cellStyle name="Normal 53 62" xfId="9269"/>
    <cellStyle name="Normal 53 63" xfId="9270"/>
    <cellStyle name="Normal 53 64" xfId="9271"/>
    <cellStyle name="Normal 53 65" xfId="9272"/>
    <cellStyle name="Normal 53 66" xfId="9273"/>
    <cellStyle name="Normal 53 67" xfId="9274"/>
    <cellStyle name="Normal 53 68" xfId="9275"/>
    <cellStyle name="Normal 53 69" xfId="9276"/>
    <cellStyle name="Normal 53 7" xfId="9277"/>
    <cellStyle name="Normal 53 70" xfId="9278"/>
    <cellStyle name="Normal 53 71" xfId="9279"/>
    <cellStyle name="Normal 53 72" xfId="9280"/>
    <cellStyle name="Normal 53 73" xfId="9281"/>
    <cellStyle name="Normal 53 74" xfId="9282"/>
    <cellStyle name="Normal 53 75" xfId="9283"/>
    <cellStyle name="Normal 53 76" xfId="9284"/>
    <cellStyle name="Normal 53 77" xfId="9285"/>
    <cellStyle name="Normal 53 78" xfId="9286"/>
    <cellStyle name="Normal 53 79" xfId="9287"/>
    <cellStyle name="Normal 53 8" xfId="9288"/>
    <cellStyle name="Normal 53 80" xfId="9289"/>
    <cellStyle name="Normal 53 81" xfId="9290"/>
    <cellStyle name="Normal 53 82" xfId="9291"/>
    <cellStyle name="Normal 53 83" xfId="9292"/>
    <cellStyle name="Normal 53 84" xfId="9293"/>
    <cellStyle name="Normal 53 85" xfId="9294"/>
    <cellStyle name="Normal 53 86" xfId="9295"/>
    <cellStyle name="Normal 53 87" xfId="9296"/>
    <cellStyle name="Normal 53 88" xfId="9297"/>
    <cellStyle name="Normal 53 89" xfId="9298"/>
    <cellStyle name="Normal 53 9" xfId="9299"/>
    <cellStyle name="Normal 53 90" xfId="9300"/>
    <cellStyle name="Normal 53 91" xfId="9301"/>
    <cellStyle name="Normal 53 92" xfId="9302"/>
    <cellStyle name="Normal 53 93" xfId="9303"/>
    <cellStyle name="Normal 53 94" xfId="9304"/>
    <cellStyle name="Normal 53 95" xfId="9305"/>
    <cellStyle name="Normal 53 96" xfId="9306"/>
    <cellStyle name="Normal 53 97" xfId="9307"/>
    <cellStyle name="Normal 53 98" xfId="9308"/>
    <cellStyle name="Normal 53 99" xfId="9309"/>
    <cellStyle name="Normal 54" xfId="9310"/>
    <cellStyle name="Normal 54 10" xfId="9311"/>
    <cellStyle name="Normal 54 100" xfId="9312"/>
    <cellStyle name="Normal 54 101" xfId="9313"/>
    <cellStyle name="Normal 54 102" xfId="9314"/>
    <cellStyle name="Normal 54 103" xfId="9315"/>
    <cellStyle name="Normal 54 104" xfId="9316"/>
    <cellStyle name="Normal 54 105" xfId="9317"/>
    <cellStyle name="Normal 54 106" xfId="9318"/>
    <cellStyle name="Normal 54 107" xfId="9319"/>
    <cellStyle name="Normal 54 108" xfId="9320"/>
    <cellStyle name="Normal 54 109" xfId="9321"/>
    <cellStyle name="Normal 54 11" xfId="9322"/>
    <cellStyle name="Normal 54 110" xfId="9323"/>
    <cellStyle name="Normal 54 111" xfId="9324"/>
    <cellStyle name="Normal 54 112" xfId="9325"/>
    <cellStyle name="Normal 54 113" xfId="9326"/>
    <cellStyle name="Normal 54 114" xfId="9327"/>
    <cellStyle name="Normal 54 115" xfId="9328"/>
    <cellStyle name="Normal 54 116" xfId="9329"/>
    <cellStyle name="Normal 54 117" xfId="9330"/>
    <cellStyle name="Normal 54 118" xfId="9331"/>
    <cellStyle name="Normal 54 119" xfId="9332"/>
    <cellStyle name="Normal 54 12" xfId="9333"/>
    <cellStyle name="Normal 54 120" xfId="9334"/>
    <cellStyle name="Normal 54 121" xfId="9335"/>
    <cellStyle name="Normal 54 122" xfId="9336"/>
    <cellStyle name="Normal 54 123" xfId="9337"/>
    <cellStyle name="Normal 54 124" xfId="9338"/>
    <cellStyle name="Normal 54 125" xfId="9339"/>
    <cellStyle name="Normal 54 126" xfId="9340"/>
    <cellStyle name="Normal 54 127" xfId="9341"/>
    <cellStyle name="Normal 54 128" xfId="9342"/>
    <cellStyle name="Normal 54 129" xfId="9343"/>
    <cellStyle name="Normal 54 13" xfId="9344"/>
    <cellStyle name="Normal 54 130" xfId="9345"/>
    <cellStyle name="Normal 54 131" xfId="9346"/>
    <cellStyle name="Normal 54 132" xfId="9347"/>
    <cellStyle name="Normal 54 133" xfId="9348"/>
    <cellStyle name="Normal 54 134" xfId="9349"/>
    <cellStyle name="Normal 54 135" xfId="9350"/>
    <cellStyle name="Normal 54 136" xfId="9351"/>
    <cellStyle name="Normal 54 137" xfId="9352"/>
    <cellStyle name="Normal 54 138" xfId="9353"/>
    <cellStyle name="Normal 54 139" xfId="9354"/>
    <cellStyle name="Normal 54 14" xfId="9355"/>
    <cellStyle name="Normal 54 140" xfId="9356"/>
    <cellStyle name="Normal 54 141" xfId="9357"/>
    <cellStyle name="Normal 54 142" xfId="9358"/>
    <cellStyle name="Normal 54 143" xfId="9359"/>
    <cellStyle name="Normal 54 144" xfId="9360"/>
    <cellStyle name="Normal 54 145" xfId="9361"/>
    <cellStyle name="Normal 54 146" xfId="9362"/>
    <cellStyle name="Normal 54 147" xfId="9363"/>
    <cellStyle name="Normal 54 148" xfId="9364"/>
    <cellStyle name="Normal 54 149" xfId="9365"/>
    <cellStyle name="Normal 54 15" xfId="9366"/>
    <cellStyle name="Normal 54 150" xfId="9367"/>
    <cellStyle name="Normal 54 151" xfId="9368"/>
    <cellStyle name="Normal 54 152" xfId="9369"/>
    <cellStyle name="Normal 54 153" xfId="9370"/>
    <cellStyle name="Normal 54 154" xfId="9371"/>
    <cellStyle name="Normal 54 155" xfId="9372"/>
    <cellStyle name="Normal 54 156" xfId="9373"/>
    <cellStyle name="Normal 54 157" xfId="9374"/>
    <cellStyle name="Normal 54 158" xfId="9375"/>
    <cellStyle name="Normal 54 159" xfId="9376"/>
    <cellStyle name="Normal 54 16" xfId="9377"/>
    <cellStyle name="Normal 54 160" xfId="9378"/>
    <cellStyle name="Normal 54 161" xfId="9379"/>
    <cellStyle name="Normal 54 162" xfId="9380"/>
    <cellStyle name="Normal 54 163" xfId="9381"/>
    <cellStyle name="Normal 54 164" xfId="9382"/>
    <cellStyle name="Normal 54 165" xfId="9383"/>
    <cellStyle name="Normal 54 166" xfId="9384"/>
    <cellStyle name="Normal 54 167" xfId="9385"/>
    <cellStyle name="Normal 54 168" xfId="9386"/>
    <cellStyle name="Normal 54 169" xfId="9387"/>
    <cellStyle name="Normal 54 17" xfId="9388"/>
    <cellStyle name="Normal 54 170" xfId="9389"/>
    <cellStyle name="Normal 54 171" xfId="9390"/>
    <cellStyle name="Normal 54 172" xfId="9391"/>
    <cellStyle name="Normal 54 173" xfId="9392"/>
    <cellStyle name="Normal 54 174" xfId="9393"/>
    <cellStyle name="Normal 54 175" xfId="9394"/>
    <cellStyle name="Normal 54 176" xfId="9395"/>
    <cellStyle name="Normal 54 177" xfId="9396"/>
    <cellStyle name="Normal 54 178" xfId="9397"/>
    <cellStyle name="Normal 54 179" xfId="9398"/>
    <cellStyle name="Normal 54 18" xfId="9399"/>
    <cellStyle name="Normal 54 180" xfId="9400"/>
    <cellStyle name="Normal 54 181" xfId="9401"/>
    <cellStyle name="Normal 54 182" xfId="9402"/>
    <cellStyle name="Normal 54 183" xfId="9403"/>
    <cellStyle name="Normal 54 184" xfId="9404"/>
    <cellStyle name="Normal 54 185" xfId="9405"/>
    <cellStyle name="Normal 54 186" xfId="9406"/>
    <cellStyle name="Normal 54 187" xfId="9407"/>
    <cellStyle name="Normal 54 188" xfId="9408"/>
    <cellStyle name="Normal 54 189" xfId="9409"/>
    <cellStyle name="Normal 54 19" xfId="9410"/>
    <cellStyle name="Normal 54 190" xfId="9411"/>
    <cellStyle name="Normal 54 191" xfId="9412"/>
    <cellStyle name="Normal 54 192" xfId="9413"/>
    <cellStyle name="Normal 54 193" xfId="9414"/>
    <cellStyle name="Normal 54 194" xfId="9415"/>
    <cellStyle name="Normal 54 195" xfId="9416"/>
    <cellStyle name="Normal 54 196" xfId="9417"/>
    <cellStyle name="Normal 54 197" xfId="9418"/>
    <cellStyle name="Normal 54 198" xfId="9419"/>
    <cellStyle name="Normal 54 2" xfId="9420"/>
    <cellStyle name="Normal 54 20" xfId="9421"/>
    <cellStyle name="Normal 54 21" xfId="9422"/>
    <cellStyle name="Normal 54 22" xfId="9423"/>
    <cellStyle name="Normal 54 23" xfId="9424"/>
    <cellStyle name="Normal 54 24" xfId="9425"/>
    <cellStyle name="Normal 54 25" xfId="9426"/>
    <cellStyle name="Normal 54 26" xfId="9427"/>
    <cellStyle name="Normal 54 27" xfId="9428"/>
    <cellStyle name="Normal 54 28" xfId="9429"/>
    <cellStyle name="Normal 54 29" xfId="9430"/>
    <cellStyle name="Normal 54 3" xfId="9431"/>
    <cellStyle name="Normal 54 30" xfId="9432"/>
    <cellStyle name="Normal 54 31" xfId="9433"/>
    <cellStyle name="Normal 54 32" xfId="9434"/>
    <cellStyle name="Normal 54 33" xfId="9435"/>
    <cellStyle name="Normal 54 34" xfId="9436"/>
    <cellStyle name="Normal 54 35" xfId="9437"/>
    <cellStyle name="Normal 54 36" xfId="9438"/>
    <cellStyle name="Normal 54 37" xfId="9439"/>
    <cellStyle name="Normal 54 38" xfId="9440"/>
    <cellStyle name="Normal 54 39" xfId="9441"/>
    <cellStyle name="Normal 54 4" xfId="9442"/>
    <cellStyle name="Normal 54 40" xfId="9443"/>
    <cellStyle name="Normal 54 41" xfId="9444"/>
    <cellStyle name="Normal 54 42" xfId="9445"/>
    <cellStyle name="Normal 54 43" xfId="9446"/>
    <cellStyle name="Normal 54 44" xfId="9447"/>
    <cellStyle name="Normal 54 45" xfId="9448"/>
    <cellStyle name="Normal 54 46" xfId="9449"/>
    <cellStyle name="Normal 54 47" xfId="9450"/>
    <cellStyle name="Normal 54 48" xfId="9451"/>
    <cellStyle name="Normal 54 49" xfId="9452"/>
    <cellStyle name="Normal 54 5" xfId="9453"/>
    <cellStyle name="Normal 54 50" xfId="9454"/>
    <cellStyle name="Normal 54 51" xfId="9455"/>
    <cellStyle name="Normal 54 52" xfId="9456"/>
    <cellStyle name="Normal 54 53" xfId="9457"/>
    <cellStyle name="Normal 54 54" xfId="9458"/>
    <cellStyle name="Normal 54 55" xfId="9459"/>
    <cellStyle name="Normal 54 56" xfId="9460"/>
    <cellStyle name="Normal 54 57" xfId="9461"/>
    <cellStyle name="Normal 54 58" xfId="9462"/>
    <cellStyle name="Normal 54 59" xfId="9463"/>
    <cellStyle name="Normal 54 6" xfId="9464"/>
    <cellStyle name="Normal 54 60" xfId="9465"/>
    <cellStyle name="Normal 54 61" xfId="9466"/>
    <cellStyle name="Normal 54 62" xfId="9467"/>
    <cellStyle name="Normal 54 63" xfId="9468"/>
    <cellStyle name="Normal 54 64" xfId="9469"/>
    <cellStyle name="Normal 54 65" xfId="9470"/>
    <cellStyle name="Normal 54 66" xfId="9471"/>
    <cellStyle name="Normal 54 67" xfId="9472"/>
    <cellStyle name="Normal 54 68" xfId="9473"/>
    <cellStyle name="Normal 54 69" xfId="9474"/>
    <cellStyle name="Normal 54 7" xfId="9475"/>
    <cellStyle name="Normal 54 70" xfId="9476"/>
    <cellStyle name="Normal 54 71" xfId="9477"/>
    <cellStyle name="Normal 54 72" xfId="9478"/>
    <cellStyle name="Normal 54 73" xfId="9479"/>
    <cellStyle name="Normal 54 74" xfId="9480"/>
    <cellStyle name="Normal 54 75" xfId="9481"/>
    <cellStyle name="Normal 54 76" xfId="9482"/>
    <cellStyle name="Normal 54 77" xfId="9483"/>
    <cellStyle name="Normal 54 78" xfId="9484"/>
    <cellStyle name="Normal 54 79" xfId="9485"/>
    <cellStyle name="Normal 54 8" xfId="9486"/>
    <cellStyle name="Normal 54 80" xfId="9487"/>
    <cellStyle name="Normal 54 81" xfId="9488"/>
    <cellStyle name="Normal 54 82" xfId="9489"/>
    <cellStyle name="Normal 54 83" xfId="9490"/>
    <cellStyle name="Normal 54 84" xfId="9491"/>
    <cellStyle name="Normal 54 85" xfId="9492"/>
    <cellStyle name="Normal 54 86" xfId="9493"/>
    <cellStyle name="Normal 54 87" xfId="9494"/>
    <cellStyle name="Normal 54 88" xfId="9495"/>
    <cellStyle name="Normal 54 89" xfId="9496"/>
    <cellStyle name="Normal 54 9" xfId="9497"/>
    <cellStyle name="Normal 54 90" xfId="9498"/>
    <cellStyle name="Normal 54 91" xfId="9499"/>
    <cellStyle name="Normal 54 92" xfId="9500"/>
    <cellStyle name="Normal 54 93" xfId="9501"/>
    <cellStyle name="Normal 54 94" xfId="9502"/>
    <cellStyle name="Normal 54 95" xfId="9503"/>
    <cellStyle name="Normal 54 96" xfId="9504"/>
    <cellStyle name="Normal 54 97" xfId="9505"/>
    <cellStyle name="Normal 54 98" xfId="9506"/>
    <cellStyle name="Normal 54 99" xfId="9507"/>
    <cellStyle name="Normal 55" xfId="9508"/>
    <cellStyle name="Normal 55 10" xfId="9509"/>
    <cellStyle name="Normal 55 100" xfId="9510"/>
    <cellStyle name="Normal 55 101" xfId="9511"/>
    <cellStyle name="Normal 55 102" xfId="9512"/>
    <cellStyle name="Normal 55 103" xfId="9513"/>
    <cellStyle name="Normal 55 104" xfId="9514"/>
    <cellStyle name="Normal 55 105" xfId="9515"/>
    <cellStyle name="Normal 55 106" xfId="9516"/>
    <cellStyle name="Normal 55 107" xfId="9517"/>
    <cellStyle name="Normal 55 108" xfId="9518"/>
    <cellStyle name="Normal 55 109" xfId="9519"/>
    <cellStyle name="Normal 55 11" xfId="9520"/>
    <cellStyle name="Normal 55 110" xfId="9521"/>
    <cellStyle name="Normal 55 111" xfId="9522"/>
    <cellStyle name="Normal 55 112" xfId="9523"/>
    <cellStyle name="Normal 55 113" xfId="9524"/>
    <cellStyle name="Normal 55 114" xfId="9525"/>
    <cellStyle name="Normal 55 115" xfId="9526"/>
    <cellStyle name="Normal 55 116" xfId="9527"/>
    <cellStyle name="Normal 55 117" xfId="9528"/>
    <cellStyle name="Normal 55 118" xfId="9529"/>
    <cellStyle name="Normal 55 119" xfId="9530"/>
    <cellStyle name="Normal 55 12" xfId="9531"/>
    <cellStyle name="Normal 55 120" xfId="9532"/>
    <cellStyle name="Normal 55 121" xfId="9533"/>
    <cellStyle name="Normal 55 122" xfId="9534"/>
    <cellStyle name="Normal 55 123" xfId="9535"/>
    <cellStyle name="Normal 55 124" xfId="9536"/>
    <cellStyle name="Normal 55 125" xfId="9537"/>
    <cellStyle name="Normal 55 126" xfId="9538"/>
    <cellStyle name="Normal 55 127" xfId="9539"/>
    <cellStyle name="Normal 55 128" xfId="9540"/>
    <cellStyle name="Normal 55 129" xfId="9541"/>
    <cellStyle name="Normal 55 13" xfId="9542"/>
    <cellStyle name="Normal 55 130" xfId="9543"/>
    <cellStyle name="Normal 55 131" xfId="9544"/>
    <cellStyle name="Normal 55 132" xfId="9545"/>
    <cellStyle name="Normal 55 133" xfId="9546"/>
    <cellStyle name="Normal 55 134" xfId="9547"/>
    <cellStyle name="Normal 55 135" xfId="9548"/>
    <cellStyle name="Normal 55 136" xfId="9549"/>
    <cellStyle name="Normal 55 137" xfId="9550"/>
    <cellStyle name="Normal 55 138" xfId="9551"/>
    <cellStyle name="Normal 55 139" xfId="9552"/>
    <cellStyle name="Normal 55 14" xfId="9553"/>
    <cellStyle name="Normal 55 140" xfId="9554"/>
    <cellStyle name="Normal 55 141" xfId="9555"/>
    <cellStyle name="Normal 55 142" xfId="9556"/>
    <cellStyle name="Normal 55 143" xfId="9557"/>
    <cellStyle name="Normal 55 144" xfId="9558"/>
    <cellStyle name="Normal 55 145" xfId="9559"/>
    <cellStyle name="Normal 55 146" xfId="9560"/>
    <cellStyle name="Normal 55 147" xfId="9561"/>
    <cellStyle name="Normal 55 148" xfId="9562"/>
    <cellStyle name="Normal 55 149" xfId="9563"/>
    <cellStyle name="Normal 55 15" xfId="9564"/>
    <cellStyle name="Normal 55 150" xfId="9565"/>
    <cellStyle name="Normal 55 151" xfId="9566"/>
    <cellStyle name="Normal 55 152" xfId="9567"/>
    <cellStyle name="Normal 55 153" xfId="9568"/>
    <cellStyle name="Normal 55 154" xfId="9569"/>
    <cellStyle name="Normal 55 155" xfId="9570"/>
    <cellStyle name="Normal 55 156" xfId="9571"/>
    <cellStyle name="Normal 55 157" xfId="9572"/>
    <cellStyle name="Normal 55 158" xfId="9573"/>
    <cellStyle name="Normal 55 159" xfId="9574"/>
    <cellStyle name="Normal 55 16" xfId="9575"/>
    <cellStyle name="Normal 55 160" xfId="9576"/>
    <cellStyle name="Normal 55 161" xfId="9577"/>
    <cellStyle name="Normal 55 162" xfId="9578"/>
    <cellStyle name="Normal 55 163" xfId="9579"/>
    <cellStyle name="Normal 55 164" xfId="9580"/>
    <cellStyle name="Normal 55 165" xfId="9581"/>
    <cellStyle name="Normal 55 166" xfId="9582"/>
    <cellStyle name="Normal 55 167" xfId="9583"/>
    <cellStyle name="Normal 55 168" xfId="9584"/>
    <cellStyle name="Normal 55 169" xfId="9585"/>
    <cellStyle name="Normal 55 17" xfId="9586"/>
    <cellStyle name="Normal 55 170" xfId="9587"/>
    <cellStyle name="Normal 55 171" xfId="9588"/>
    <cellStyle name="Normal 55 172" xfId="9589"/>
    <cellStyle name="Normal 55 173" xfId="9590"/>
    <cellStyle name="Normal 55 174" xfId="9591"/>
    <cellStyle name="Normal 55 175" xfId="9592"/>
    <cellStyle name="Normal 55 176" xfId="9593"/>
    <cellStyle name="Normal 55 177" xfId="9594"/>
    <cellStyle name="Normal 55 178" xfId="9595"/>
    <cellStyle name="Normal 55 179" xfId="9596"/>
    <cellStyle name="Normal 55 18" xfId="9597"/>
    <cellStyle name="Normal 55 180" xfId="9598"/>
    <cellStyle name="Normal 55 181" xfId="9599"/>
    <cellStyle name="Normal 55 182" xfId="9600"/>
    <cellStyle name="Normal 55 183" xfId="9601"/>
    <cellStyle name="Normal 55 184" xfId="9602"/>
    <cellStyle name="Normal 55 185" xfId="9603"/>
    <cellStyle name="Normal 55 186" xfId="9604"/>
    <cellStyle name="Normal 55 187" xfId="9605"/>
    <cellStyle name="Normal 55 188" xfId="9606"/>
    <cellStyle name="Normal 55 189" xfId="9607"/>
    <cellStyle name="Normal 55 19" xfId="9608"/>
    <cellStyle name="Normal 55 190" xfId="9609"/>
    <cellStyle name="Normal 55 191" xfId="9610"/>
    <cellStyle name="Normal 55 192" xfId="9611"/>
    <cellStyle name="Normal 55 193" xfId="9612"/>
    <cellStyle name="Normal 55 194" xfId="9613"/>
    <cellStyle name="Normal 55 195" xfId="9614"/>
    <cellStyle name="Normal 55 196" xfId="9615"/>
    <cellStyle name="Normal 55 197" xfId="9616"/>
    <cellStyle name="Normal 55 198" xfId="9617"/>
    <cellStyle name="Normal 55 2" xfId="9618"/>
    <cellStyle name="Normal 55 20" xfId="9619"/>
    <cellStyle name="Normal 55 21" xfId="9620"/>
    <cellStyle name="Normal 55 22" xfId="9621"/>
    <cellStyle name="Normal 55 23" xfId="9622"/>
    <cellStyle name="Normal 55 24" xfId="9623"/>
    <cellStyle name="Normal 55 25" xfId="9624"/>
    <cellStyle name="Normal 55 26" xfId="9625"/>
    <cellStyle name="Normal 55 27" xfId="9626"/>
    <cellStyle name="Normal 55 28" xfId="9627"/>
    <cellStyle name="Normal 55 29" xfId="9628"/>
    <cellStyle name="Normal 55 3" xfId="9629"/>
    <cellStyle name="Normal 55 30" xfId="9630"/>
    <cellStyle name="Normal 55 31" xfId="9631"/>
    <cellStyle name="Normal 55 32" xfId="9632"/>
    <cellStyle name="Normal 55 33" xfId="9633"/>
    <cellStyle name="Normal 55 34" xfId="9634"/>
    <cellStyle name="Normal 55 35" xfId="9635"/>
    <cellStyle name="Normal 55 36" xfId="9636"/>
    <cellStyle name="Normal 55 37" xfId="9637"/>
    <cellStyle name="Normal 55 38" xfId="9638"/>
    <cellStyle name="Normal 55 39" xfId="9639"/>
    <cellStyle name="Normal 55 4" xfId="9640"/>
    <cellStyle name="Normal 55 40" xfId="9641"/>
    <cellStyle name="Normal 55 41" xfId="9642"/>
    <cellStyle name="Normal 55 42" xfId="9643"/>
    <cellStyle name="Normal 55 43" xfId="9644"/>
    <cellStyle name="Normal 55 44" xfId="9645"/>
    <cellStyle name="Normal 55 45" xfId="9646"/>
    <cellStyle name="Normal 55 46" xfId="9647"/>
    <cellStyle name="Normal 55 47" xfId="9648"/>
    <cellStyle name="Normal 55 48" xfId="9649"/>
    <cellStyle name="Normal 55 49" xfId="9650"/>
    <cellStyle name="Normal 55 5" xfId="9651"/>
    <cellStyle name="Normal 55 50" xfId="9652"/>
    <cellStyle name="Normal 55 51" xfId="9653"/>
    <cellStyle name="Normal 55 52" xfId="9654"/>
    <cellStyle name="Normal 55 53" xfId="9655"/>
    <cellStyle name="Normal 55 54" xfId="9656"/>
    <cellStyle name="Normal 55 55" xfId="9657"/>
    <cellStyle name="Normal 55 56" xfId="9658"/>
    <cellStyle name="Normal 55 57" xfId="9659"/>
    <cellStyle name="Normal 55 58" xfId="9660"/>
    <cellStyle name="Normal 55 59" xfId="9661"/>
    <cellStyle name="Normal 55 6" xfId="9662"/>
    <cellStyle name="Normal 55 60" xfId="9663"/>
    <cellStyle name="Normal 55 61" xfId="9664"/>
    <cellStyle name="Normal 55 62" xfId="9665"/>
    <cellStyle name="Normal 55 63" xfId="9666"/>
    <cellStyle name="Normal 55 64" xfId="9667"/>
    <cellStyle name="Normal 55 65" xfId="9668"/>
    <cellStyle name="Normal 55 66" xfId="9669"/>
    <cellStyle name="Normal 55 67" xfId="9670"/>
    <cellStyle name="Normal 55 68" xfId="9671"/>
    <cellStyle name="Normal 55 69" xfId="9672"/>
    <cellStyle name="Normal 55 7" xfId="9673"/>
    <cellStyle name="Normal 55 70" xfId="9674"/>
    <cellStyle name="Normal 55 71" xfId="9675"/>
    <cellStyle name="Normal 55 72" xfId="9676"/>
    <cellStyle name="Normal 55 73" xfId="9677"/>
    <cellStyle name="Normal 55 74" xfId="9678"/>
    <cellStyle name="Normal 55 75" xfId="9679"/>
    <cellStyle name="Normal 55 76" xfId="9680"/>
    <cellStyle name="Normal 55 77" xfId="9681"/>
    <cellStyle name="Normal 55 78" xfId="9682"/>
    <cellStyle name="Normal 55 79" xfId="9683"/>
    <cellStyle name="Normal 55 8" xfId="9684"/>
    <cellStyle name="Normal 55 80" xfId="9685"/>
    <cellStyle name="Normal 55 81" xfId="9686"/>
    <cellStyle name="Normal 55 82" xfId="9687"/>
    <cellStyle name="Normal 55 83" xfId="9688"/>
    <cellStyle name="Normal 55 84" xfId="9689"/>
    <cellStyle name="Normal 55 85" xfId="9690"/>
    <cellStyle name="Normal 55 86" xfId="9691"/>
    <cellStyle name="Normal 55 87" xfId="9692"/>
    <cellStyle name="Normal 55 88" xfId="9693"/>
    <cellStyle name="Normal 55 89" xfId="9694"/>
    <cellStyle name="Normal 55 9" xfId="9695"/>
    <cellStyle name="Normal 55 90" xfId="9696"/>
    <cellStyle name="Normal 55 91" xfId="9697"/>
    <cellStyle name="Normal 55 92" xfId="9698"/>
    <cellStyle name="Normal 55 93" xfId="9699"/>
    <cellStyle name="Normal 55 94" xfId="9700"/>
    <cellStyle name="Normal 55 95" xfId="9701"/>
    <cellStyle name="Normal 55 96" xfId="9702"/>
    <cellStyle name="Normal 55 97" xfId="9703"/>
    <cellStyle name="Normal 55 98" xfId="9704"/>
    <cellStyle name="Normal 55 99" xfId="9705"/>
    <cellStyle name="Normal 56" xfId="9706"/>
    <cellStyle name="Normal 57" xfId="9707"/>
    <cellStyle name="Normal 57 10" xfId="9708"/>
    <cellStyle name="Normal 57 100" xfId="9709"/>
    <cellStyle name="Normal 57 101" xfId="9710"/>
    <cellStyle name="Normal 57 102" xfId="9711"/>
    <cellStyle name="Normal 57 103" xfId="9712"/>
    <cellStyle name="Normal 57 104" xfId="9713"/>
    <cellStyle name="Normal 57 105" xfId="9714"/>
    <cellStyle name="Normal 57 106" xfId="9715"/>
    <cellStyle name="Normal 57 107" xfId="9716"/>
    <cellStyle name="Normal 57 108" xfId="9717"/>
    <cellStyle name="Normal 57 109" xfId="9718"/>
    <cellStyle name="Normal 57 11" xfId="9719"/>
    <cellStyle name="Normal 57 110" xfId="9720"/>
    <cellStyle name="Normal 57 111" xfId="9721"/>
    <cellStyle name="Normal 57 112" xfId="9722"/>
    <cellStyle name="Normal 57 113" xfId="9723"/>
    <cellStyle name="Normal 57 114" xfId="9724"/>
    <cellStyle name="Normal 57 115" xfId="9725"/>
    <cellStyle name="Normal 57 116" xfId="9726"/>
    <cellStyle name="Normal 57 117" xfId="9727"/>
    <cellStyle name="Normal 57 118" xfId="9728"/>
    <cellStyle name="Normal 57 119" xfId="9729"/>
    <cellStyle name="Normal 57 12" xfId="9730"/>
    <cellStyle name="Normal 57 120" xfId="9731"/>
    <cellStyle name="Normal 57 121" xfId="9732"/>
    <cellStyle name="Normal 57 122" xfId="9733"/>
    <cellStyle name="Normal 57 123" xfId="9734"/>
    <cellStyle name="Normal 57 124" xfId="9735"/>
    <cellStyle name="Normal 57 125" xfId="9736"/>
    <cellStyle name="Normal 57 126" xfId="9737"/>
    <cellStyle name="Normal 57 127" xfId="9738"/>
    <cellStyle name="Normal 57 128" xfId="9739"/>
    <cellStyle name="Normal 57 129" xfId="9740"/>
    <cellStyle name="Normal 57 13" xfId="9741"/>
    <cellStyle name="Normal 57 130" xfId="9742"/>
    <cellStyle name="Normal 57 131" xfId="9743"/>
    <cellStyle name="Normal 57 132" xfId="9744"/>
    <cellStyle name="Normal 57 133" xfId="9745"/>
    <cellStyle name="Normal 57 134" xfId="9746"/>
    <cellStyle name="Normal 57 135" xfId="9747"/>
    <cellStyle name="Normal 57 136" xfId="9748"/>
    <cellStyle name="Normal 57 137" xfId="9749"/>
    <cellStyle name="Normal 57 138" xfId="9750"/>
    <cellStyle name="Normal 57 139" xfId="9751"/>
    <cellStyle name="Normal 57 14" xfId="9752"/>
    <cellStyle name="Normal 57 140" xfId="9753"/>
    <cellStyle name="Normal 57 141" xfId="9754"/>
    <cellStyle name="Normal 57 142" xfId="9755"/>
    <cellStyle name="Normal 57 143" xfId="9756"/>
    <cellStyle name="Normal 57 144" xfId="9757"/>
    <cellStyle name="Normal 57 145" xfId="9758"/>
    <cellStyle name="Normal 57 146" xfId="9759"/>
    <cellStyle name="Normal 57 147" xfId="9760"/>
    <cellStyle name="Normal 57 148" xfId="9761"/>
    <cellStyle name="Normal 57 149" xfId="9762"/>
    <cellStyle name="Normal 57 15" xfId="9763"/>
    <cellStyle name="Normal 57 150" xfId="9764"/>
    <cellStyle name="Normal 57 151" xfId="9765"/>
    <cellStyle name="Normal 57 152" xfId="9766"/>
    <cellStyle name="Normal 57 153" xfId="9767"/>
    <cellStyle name="Normal 57 154" xfId="9768"/>
    <cellStyle name="Normal 57 155" xfId="9769"/>
    <cellStyle name="Normal 57 156" xfId="9770"/>
    <cellStyle name="Normal 57 157" xfId="9771"/>
    <cellStyle name="Normal 57 158" xfId="9772"/>
    <cellStyle name="Normal 57 159" xfId="9773"/>
    <cellStyle name="Normal 57 16" xfId="9774"/>
    <cellStyle name="Normal 57 160" xfId="9775"/>
    <cellStyle name="Normal 57 161" xfId="9776"/>
    <cellStyle name="Normal 57 162" xfId="9777"/>
    <cellStyle name="Normal 57 163" xfId="9778"/>
    <cellStyle name="Normal 57 164" xfId="9779"/>
    <cellStyle name="Normal 57 165" xfId="9780"/>
    <cellStyle name="Normal 57 166" xfId="9781"/>
    <cellStyle name="Normal 57 167" xfId="9782"/>
    <cellStyle name="Normal 57 168" xfId="9783"/>
    <cellStyle name="Normal 57 169" xfId="9784"/>
    <cellStyle name="Normal 57 17" xfId="9785"/>
    <cellStyle name="Normal 57 170" xfId="9786"/>
    <cellStyle name="Normal 57 171" xfId="9787"/>
    <cellStyle name="Normal 57 172" xfId="9788"/>
    <cellStyle name="Normal 57 173" xfId="9789"/>
    <cellStyle name="Normal 57 174" xfId="9790"/>
    <cellStyle name="Normal 57 175" xfId="9791"/>
    <cellStyle name="Normal 57 176" xfId="9792"/>
    <cellStyle name="Normal 57 177" xfId="9793"/>
    <cellStyle name="Normal 57 178" xfId="9794"/>
    <cellStyle name="Normal 57 179" xfId="9795"/>
    <cellStyle name="Normal 57 18" xfId="9796"/>
    <cellStyle name="Normal 57 180" xfId="9797"/>
    <cellStyle name="Normal 57 181" xfId="9798"/>
    <cellStyle name="Normal 57 182" xfId="9799"/>
    <cellStyle name="Normal 57 183" xfId="9800"/>
    <cellStyle name="Normal 57 184" xfId="9801"/>
    <cellStyle name="Normal 57 185" xfId="9802"/>
    <cellStyle name="Normal 57 186" xfId="9803"/>
    <cellStyle name="Normal 57 187" xfId="9804"/>
    <cellStyle name="Normal 57 188" xfId="9805"/>
    <cellStyle name="Normal 57 189" xfId="9806"/>
    <cellStyle name="Normal 57 19" xfId="9807"/>
    <cellStyle name="Normal 57 190" xfId="9808"/>
    <cellStyle name="Normal 57 191" xfId="9809"/>
    <cellStyle name="Normal 57 192" xfId="9810"/>
    <cellStyle name="Normal 57 193" xfId="9811"/>
    <cellStyle name="Normal 57 194" xfId="9812"/>
    <cellStyle name="Normal 57 195" xfId="9813"/>
    <cellStyle name="Normal 57 196" xfId="9814"/>
    <cellStyle name="Normal 57 197" xfId="9815"/>
    <cellStyle name="Normal 57 198" xfId="9816"/>
    <cellStyle name="Normal 57 2" xfId="9817"/>
    <cellStyle name="Normal 57 20" xfId="9818"/>
    <cellStyle name="Normal 57 21" xfId="9819"/>
    <cellStyle name="Normal 57 22" xfId="9820"/>
    <cellStyle name="Normal 57 23" xfId="9821"/>
    <cellStyle name="Normal 57 24" xfId="9822"/>
    <cellStyle name="Normal 57 25" xfId="9823"/>
    <cellStyle name="Normal 57 26" xfId="9824"/>
    <cellStyle name="Normal 57 27" xfId="9825"/>
    <cellStyle name="Normal 57 28" xfId="9826"/>
    <cellStyle name="Normal 57 29" xfId="9827"/>
    <cellStyle name="Normal 57 3" xfId="9828"/>
    <cellStyle name="Normal 57 30" xfId="9829"/>
    <cellStyle name="Normal 57 31" xfId="9830"/>
    <cellStyle name="Normal 57 32" xfId="9831"/>
    <cellStyle name="Normal 57 33" xfId="9832"/>
    <cellStyle name="Normal 57 34" xfId="9833"/>
    <cellStyle name="Normal 57 35" xfId="9834"/>
    <cellStyle name="Normal 57 36" xfId="9835"/>
    <cellStyle name="Normal 57 37" xfId="9836"/>
    <cellStyle name="Normal 57 38" xfId="9837"/>
    <cellStyle name="Normal 57 39" xfId="9838"/>
    <cellStyle name="Normal 57 4" xfId="9839"/>
    <cellStyle name="Normal 57 40" xfId="9840"/>
    <cellStyle name="Normal 57 41" xfId="9841"/>
    <cellStyle name="Normal 57 42" xfId="9842"/>
    <cellStyle name="Normal 57 43" xfId="9843"/>
    <cellStyle name="Normal 57 44" xfId="9844"/>
    <cellStyle name="Normal 57 45" xfId="9845"/>
    <cellStyle name="Normal 57 46" xfId="9846"/>
    <cellStyle name="Normal 57 47" xfId="9847"/>
    <cellStyle name="Normal 57 48" xfId="9848"/>
    <cellStyle name="Normal 57 49" xfId="9849"/>
    <cellStyle name="Normal 57 5" xfId="9850"/>
    <cellStyle name="Normal 57 50" xfId="9851"/>
    <cellStyle name="Normal 57 51" xfId="9852"/>
    <cellStyle name="Normal 57 52" xfId="9853"/>
    <cellStyle name="Normal 57 53" xfId="9854"/>
    <cellStyle name="Normal 57 54" xfId="9855"/>
    <cellStyle name="Normal 57 55" xfId="9856"/>
    <cellStyle name="Normal 57 56" xfId="9857"/>
    <cellStyle name="Normal 57 57" xfId="9858"/>
    <cellStyle name="Normal 57 58" xfId="9859"/>
    <cellStyle name="Normal 57 59" xfId="9860"/>
    <cellStyle name="Normal 57 6" xfId="9861"/>
    <cellStyle name="Normal 57 60" xfId="9862"/>
    <cellStyle name="Normal 57 61" xfId="9863"/>
    <cellStyle name="Normal 57 62" xfId="9864"/>
    <cellStyle name="Normal 57 63" xfId="9865"/>
    <cellStyle name="Normal 57 64" xfId="9866"/>
    <cellStyle name="Normal 57 65" xfId="9867"/>
    <cellStyle name="Normal 57 66" xfId="9868"/>
    <cellStyle name="Normal 57 67" xfId="9869"/>
    <cellStyle name="Normal 57 68" xfId="9870"/>
    <cellStyle name="Normal 57 69" xfId="9871"/>
    <cellStyle name="Normal 57 7" xfId="9872"/>
    <cellStyle name="Normal 57 70" xfId="9873"/>
    <cellStyle name="Normal 57 71" xfId="9874"/>
    <cellStyle name="Normal 57 72" xfId="9875"/>
    <cellStyle name="Normal 57 73" xfId="9876"/>
    <cellStyle name="Normal 57 74" xfId="9877"/>
    <cellStyle name="Normal 57 75" xfId="9878"/>
    <cellStyle name="Normal 57 76" xfId="9879"/>
    <cellStyle name="Normal 57 77" xfId="9880"/>
    <cellStyle name="Normal 57 78" xfId="9881"/>
    <cellStyle name="Normal 57 79" xfId="9882"/>
    <cellStyle name="Normal 57 8" xfId="9883"/>
    <cellStyle name="Normal 57 80" xfId="9884"/>
    <cellStyle name="Normal 57 81" xfId="9885"/>
    <cellStyle name="Normal 57 82" xfId="9886"/>
    <cellStyle name="Normal 57 83" xfId="9887"/>
    <cellStyle name="Normal 57 84" xfId="9888"/>
    <cellStyle name="Normal 57 85" xfId="9889"/>
    <cellStyle name="Normal 57 86" xfId="9890"/>
    <cellStyle name="Normal 57 87" xfId="9891"/>
    <cellStyle name="Normal 57 88" xfId="9892"/>
    <cellStyle name="Normal 57 89" xfId="9893"/>
    <cellStyle name="Normal 57 9" xfId="9894"/>
    <cellStyle name="Normal 57 90" xfId="9895"/>
    <cellStyle name="Normal 57 91" xfId="9896"/>
    <cellStyle name="Normal 57 92" xfId="9897"/>
    <cellStyle name="Normal 57 93" xfId="9898"/>
    <cellStyle name="Normal 57 94" xfId="9899"/>
    <cellStyle name="Normal 57 95" xfId="9900"/>
    <cellStyle name="Normal 57 96" xfId="9901"/>
    <cellStyle name="Normal 57 97" xfId="9902"/>
    <cellStyle name="Normal 57 98" xfId="9903"/>
    <cellStyle name="Normal 57 99" xfId="9904"/>
    <cellStyle name="Normal 6" xfId="9905"/>
    <cellStyle name="Normal 6 10" xfId="9906"/>
    <cellStyle name="Normal 6 100" xfId="9907"/>
    <cellStyle name="Normal 6 101" xfId="9908"/>
    <cellStyle name="Normal 6 102" xfId="9909"/>
    <cellStyle name="Normal 6 103" xfId="9910"/>
    <cellStyle name="Normal 6 104" xfId="9911"/>
    <cellStyle name="Normal 6 105" xfId="9912"/>
    <cellStyle name="Normal 6 106" xfId="9913"/>
    <cellStyle name="Normal 6 107" xfId="9914"/>
    <cellStyle name="Normal 6 108" xfId="9915"/>
    <cellStyle name="Normal 6 109" xfId="9916"/>
    <cellStyle name="Normal 6 11" xfId="9917"/>
    <cellStyle name="Normal 6 110" xfId="9918"/>
    <cellStyle name="Normal 6 111" xfId="9919"/>
    <cellStyle name="Normal 6 112" xfId="9920"/>
    <cellStyle name="Normal 6 113" xfId="9921"/>
    <cellStyle name="Normal 6 114" xfId="9922"/>
    <cellStyle name="Normal 6 115" xfId="9923"/>
    <cellStyle name="Normal 6 116" xfId="9924"/>
    <cellStyle name="Normal 6 117" xfId="9925"/>
    <cellStyle name="Normal 6 118" xfId="9926"/>
    <cellStyle name="Normal 6 119" xfId="9927"/>
    <cellStyle name="Normal 6 12" xfId="9928"/>
    <cellStyle name="Normal 6 120" xfId="9929"/>
    <cellStyle name="Normal 6 121" xfId="9930"/>
    <cellStyle name="Normal 6 122" xfId="9931"/>
    <cellStyle name="Normal 6 123" xfId="9932"/>
    <cellStyle name="Normal 6 124" xfId="9933"/>
    <cellStyle name="Normal 6 125" xfId="9934"/>
    <cellStyle name="Normal 6 126" xfId="9935"/>
    <cellStyle name="Normal 6 127" xfId="9936"/>
    <cellStyle name="Normal 6 128" xfId="9937"/>
    <cellStyle name="Normal 6 129" xfId="9938"/>
    <cellStyle name="Normal 6 13" xfId="9939"/>
    <cellStyle name="Normal 6 130" xfId="9940"/>
    <cellStyle name="Normal 6 131" xfId="9941"/>
    <cellStyle name="Normal 6 132" xfId="9942"/>
    <cellStyle name="Normal 6 133" xfId="9943"/>
    <cellStyle name="Normal 6 134" xfId="9944"/>
    <cellStyle name="Normal 6 135" xfId="9945"/>
    <cellStyle name="Normal 6 136" xfId="9946"/>
    <cellStyle name="Normal 6 137" xfId="9947"/>
    <cellStyle name="Normal 6 138" xfId="9948"/>
    <cellStyle name="Normal 6 139" xfId="9949"/>
    <cellStyle name="Normal 6 14" xfId="9950"/>
    <cellStyle name="Normal 6 140" xfId="9951"/>
    <cellStyle name="Normal 6 141" xfId="9952"/>
    <cellStyle name="Normal 6 142" xfId="9953"/>
    <cellStyle name="Normal 6 143" xfId="9954"/>
    <cellStyle name="Normal 6 144" xfId="9955"/>
    <cellStyle name="Normal 6 145" xfId="9956"/>
    <cellStyle name="Normal 6 146" xfId="9957"/>
    <cellStyle name="Normal 6 147" xfId="9958"/>
    <cellStyle name="Normal 6 148" xfId="9959"/>
    <cellStyle name="Normal 6 149" xfId="9960"/>
    <cellStyle name="Normal 6 15" xfId="9961"/>
    <cellStyle name="Normal 6 150" xfId="9962"/>
    <cellStyle name="Normal 6 151" xfId="9963"/>
    <cellStyle name="Normal 6 152" xfId="9964"/>
    <cellStyle name="Normal 6 153" xfId="9965"/>
    <cellStyle name="Normal 6 154" xfId="9966"/>
    <cellStyle name="Normal 6 155" xfId="9967"/>
    <cellStyle name="Normal 6 156" xfId="9968"/>
    <cellStyle name="Normal 6 157" xfId="9969"/>
    <cellStyle name="Normal 6 158" xfId="9970"/>
    <cellStyle name="Normal 6 159" xfId="9971"/>
    <cellStyle name="Normal 6 16" xfId="9972"/>
    <cellStyle name="Normal 6 160" xfId="9973"/>
    <cellStyle name="Normal 6 161" xfId="9974"/>
    <cellStyle name="Normal 6 162" xfId="9975"/>
    <cellStyle name="Normal 6 163" xfId="9976"/>
    <cellStyle name="Normal 6 164" xfId="9977"/>
    <cellStyle name="Normal 6 165" xfId="9978"/>
    <cellStyle name="Normal 6 166" xfId="9979"/>
    <cellStyle name="Normal 6 167" xfId="9980"/>
    <cellStyle name="Normal 6 168" xfId="9981"/>
    <cellStyle name="Normal 6 169" xfId="9982"/>
    <cellStyle name="Normal 6 17" xfId="9983"/>
    <cellStyle name="Normal 6 170" xfId="9984"/>
    <cellStyle name="Normal 6 171" xfId="9985"/>
    <cellStyle name="Normal 6 172" xfId="9986"/>
    <cellStyle name="Normal 6 173" xfId="9987"/>
    <cellStyle name="Normal 6 174" xfId="9988"/>
    <cellStyle name="Normal 6 175" xfId="9989"/>
    <cellStyle name="Normal 6 176" xfId="9990"/>
    <cellStyle name="Normal 6 177" xfId="9991"/>
    <cellStyle name="Normal 6 178" xfId="9992"/>
    <cellStyle name="Normal 6 179" xfId="9993"/>
    <cellStyle name="Normal 6 18" xfId="9994"/>
    <cellStyle name="Normal 6 180" xfId="9995"/>
    <cellStyle name="Normal 6 181" xfId="9996"/>
    <cellStyle name="Normal 6 182" xfId="9997"/>
    <cellStyle name="Normal 6 183" xfId="9998"/>
    <cellStyle name="Normal 6 184" xfId="9999"/>
    <cellStyle name="Normal 6 185" xfId="10000"/>
    <cellStyle name="Normal 6 186" xfId="10001"/>
    <cellStyle name="Normal 6 187" xfId="10002"/>
    <cellStyle name="Normal 6 188" xfId="10003"/>
    <cellStyle name="Normal 6 189" xfId="10004"/>
    <cellStyle name="Normal 6 19" xfId="10005"/>
    <cellStyle name="Normal 6 190" xfId="10006"/>
    <cellStyle name="Normal 6 191" xfId="10007"/>
    <cellStyle name="Normal 6 192" xfId="10008"/>
    <cellStyle name="Normal 6 193" xfId="10009"/>
    <cellStyle name="Normal 6 194" xfId="10010"/>
    <cellStyle name="Normal 6 195" xfId="10011"/>
    <cellStyle name="Normal 6 196" xfId="10012"/>
    <cellStyle name="Normal 6 197" xfId="10013"/>
    <cellStyle name="Normal 6 198" xfId="10014"/>
    <cellStyle name="Normal 6 2" xfId="10015"/>
    <cellStyle name="Normal 6 20" xfId="10016"/>
    <cellStyle name="Normal 6 21" xfId="10017"/>
    <cellStyle name="Normal 6 22" xfId="10018"/>
    <cellStyle name="Normal 6 23" xfId="10019"/>
    <cellStyle name="Normal 6 24" xfId="10020"/>
    <cellStyle name="Normal 6 25" xfId="10021"/>
    <cellStyle name="Normal 6 26" xfId="10022"/>
    <cellStyle name="Normal 6 27" xfId="10023"/>
    <cellStyle name="Normal 6 28" xfId="10024"/>
    <cellStyle name="Normal 6 29" xfId="10025"/>
    <cellStyle name="Normal 6 3" xfId="10026"/>
    <cellStyle name="Normal 6 30" xfId="10027"/>
    <cellStyle name="Normal 6 31" xfId="10028"/>
    <cellStyle name="Normal 6 32" xfId="10029"/>
    <cellStyle name="Normal 6 33" xfId="10030"/>
    <cellStyle name="Normal 6 34" xfId="10031"/>
    <cellStyle name="Normal 6 35" xfId="10032"/>
    <cellStyle name="Normal 6 36" xfId="10033"/>
    <cellStyle name="Normal 6 37" xfId="10034"/>
    <cellStyle name="Normal 6 38" xfId="10035"/>
    <cellStyle name="Normal 6 39" xfId="10036"/>
    <cellStyle name="Normal 6 4" xfId="10037"/>
    <cellStyle name="Normal 6 40" xfId="10038"/>
    <cellStyle name="Normal 6 41" xfId="10039"/>
    <cellStyle name="Normal 6 42" xfId="10040"/>
    <cellStyle name="Normal 6 43" xfId="10041"/>
    <cellStyle name="Normal 6 44" xfId="10042"/>
    <cellStyle name="Normal 6 45" xfId="10043"/>
    <cellStyle name="Normal 6 46" xfId="10044"/>
    <cellStyle name="Normal 6 47" xfId="10045"/>
    <cellStyle name="Normal 6 48" xfId="10046"/>
    <cellStyle name="Normal 6 49" xfId="10047"/>
    <cellStyle name="Normal 6 5" xfId="10048"/>
    <cellStyle name="Normal 6 50" xfId="10049"/>
    <cellStyle name="Normal 6 51" xfId="10050"/>
    <cellStyle name="Normal 6 52" xfId="10051"/>
    <cellStyle name="Normal 6 53" xfId="10052"/>
    <cellStyle name="Normal 6 54" xfId="10053"/>
    <cellStyle name="Normal 6 55" xfId="10054"/>
    <cellStyle name="Normal 6 56" xfId="10055"/>
    <cellStyle name="Normal 6 57" xfId="10056"/>
    <cellStyle name="Normal 6 58" xfId="10057"/>
    <cellStyle name="Normal 6 59" xfId="10058"/>
    <cellStyle name="Normal 6 6" xfId="10059"/>
    <cellStyle name="Normal 6 60" xfId="10060"/>
    <cellStyle name="Normal 6 61" xfId="10061"/>
    <cellStyle name="Normal 6 62" xfId="10062"/>
    <cellStyle name="Normal 6 63" xfId="10063"/>
    <cellStyle name="Normal 6 64" xfId="10064"/>
    <cellStyle name="Normal 6 65" xfId="10065"/>
    <cellStyle name="Normal 6 66" xfId="10066"/>
    <cellStyle name="Normal 6 67" xfId="10067"/>
    <cellStyle name="Normal 6 68" xfId="10068"/>
    <cellStyle name="Normal 6 69" xfId="10069"/>
    <cellStyle name="Normal 6 7" xfId="10070"/>
    <cellStyle name="Normal 6 70" xfId="10071"/>
    <cellStyle name="Normal 6 71" xfId="10072"/>
    <cellStyle name="Normal 6 72" xfId="10073"/>
    <cellStyle name="Normal 6 73" xfId="10074"/>
    <cellStyle name="Normal 6 74" xfId="10075"/>
    <cellStyle name="Normal 6 75" xfId="10076"/>
    <cellStyle name="Normal 6 76" xfId="10077"/>
    <cellStyle name="Normal 6 77" xfId="10078"/>
    <cellStyle name="Normal 6 78" xfId="10079"/>
    <cellStyle name="Normal 6 79" xfId="10080"/>
    <cellStyle name="Normal 6 8" xfId="10081"/>
    <cellStyle name="Normal 6 80" xfId="10082"/>
    <cellStyle name="Normal 6 81" xfId="10083"/>
    <cellStyle name="Normal 6 82" xfId="10084"/>
    <cellStyle name="Normal 6 83" xfId="10085"/>
    <cellStyle name="Normal 6 84" xfId="10086"/>
    <cellStyle name="Normal 6 85" xfId="10087"/>
    <cellStyle name="Normal 6 86" xfId="10088"/>
    <cellStyle name="Normal 6 87" xfId="10089"/>
    <cellStyle name="Normal 6 88" xfId="10090"/>
    <cellStyle name="Normal 6 89" xfId="10091"/>
    <cellStyle name="Normal 6 9" xfId="10092"/>
    <cellStyle name="Normal 6 90" xfId="10093"/>
    <cellStyle name="Normal 6 91" xfId="10094"/>
    <cellStyle name="Normal 6 92" xfId="10095"/>
    <cellStyle name="Normal 6 93" xfId="10096"/>
    <cellStyle name="Normal 6 94" xfId="10097"/>
    <cellStyle name="Normal 6 95" xfId="10098"/>
    <cellStyle name="Normal 6 96" xfId="10099"/>
    <cellStyle name="Normal 6 97" xfId="10100"/>
    <cellStyle name="Normal 6 98" xfId="10101"/>
    <cellStyle name="Normal 6 99" xfId="10102"/>
    <cellStyle name="Normal 7" xfId="10103"/>
    <cellStyle name="Normal 7 10" xfId="10104"/>
    <cellStyle name="Normal 7 100" xfId="10105"/>
    <cellStyle name="Normal 7 101" xfId="10106"/>
    <cellStyle name="Normal 7 102" xfId="10107"/>
    <cellStyle name="Normal 7 103" xfId="10108"/>
    <cellStyle name="Normal 7 104" xfId="10109"/>
    <cellStyle name="Normal 7 105" xfId="10110"/>
    <cellStyle name="Normal 7 106" xfId="10111"/>
    <cellStyle name="Normal 7 107" xfId="10112"/>
    <cellStyle name="Normal 7 108" xfId="10113"/>
    <cellStyle name="Normal 7 109" xfId="10114"/>
    <cellStyle name="Normal 7 11" xfId="10115"/>
    <cellStyle name="Normal 7 110" xfId="10116"/>
    <cellStyle name="Normal 7 111" xfId="10117"/>
    <cellStyle name="Normal 7 112" xfId="10118"/>
    <cellStyle name="Normal 7 113" xfId="10119"/>
    <cellStyle name="Normal 7 114" xfId="10120"/>
    <cellStyle name="Normal 7 115" xfId="10121"/>
    <cellStyle name="Normal 7 116" xfId="10122"/>
    <cellStyle name="Normal 7 117" xfId="10123"/>
    <cellStyle name="Normal 7 118" xfId="10124"/>
    <cellStyle name="Normal 7 119" xfId="10125"/>
    <cellStyle name="Normal 7 12" xfId="10126"/>
    <cellStyle name="Normal 7 120" xfId="10127"/>
    <cellStyle name="Normal 7 121" xfId="10128"/>
    <cellStyle name="Normal 7 122" xfId="10129"/>
    <cellStyle name="Normal 7 123" xfId="10130"/>
    <cellStyle name="Normal 7 124" xfId="10131"/>
    <cellStyle name="Normal 7 125" xfId="10132"/>
    <cellStyle name="Normal 7 126" xfId="10133"/>
    <cellStyle name="Normal 7 127" xfId="10134"/>
    <cellStyle name="Normal 7 128" xfId="10135"/>
    <cellStyle name="Normal 7 129" xfId="10136"/>
    <cellStyle name="Normal 7 13" xfId="10137"/>
    <cellStyle name="Normal 7 130" xfId="10138"/>
    <cellStyle name="Normal 7 131" xfId="10139"/>
    <cellStyle name="Normal 7 132" xfId="10140"/>
    <cellStyle name="Normal 7 133" xfId="10141"/>
    <cellStyle name="Normal 7 134" xfId="10142"/>
    <cellStyle name="Normal 7 135" xfId="10143"/>
    <cellStyle name="Normal 7 136" xfId="10144"/>
    <cellStyle name="Normal 7 137" xfId="10145"/>
    <cellStyle name="Normal 7 138" xfId="10146"/>
    <cellStyle name="Normal 7 139" xfId="10147"/>
    <cellStyle name="Normal 7 14" xfId="10148"/>
    <cellStyle name="Normal 7 140" xfId="10149"/>
    <cellStyle name="Normal 7 141" xfId="10150"/>
    <cellStyle name="Normal 7 142" xfId="10151"/>
    <cellStyle name="Normal 7 143" xfId="10152"/>
    <cellStyle name="Normal 7 144" xfId="10153"/>
    <cellStyle name="Normal 7 145" xfId="10154"/>
    <cellStyle name="Normal 7 146" xfId="10155"/>
    <cellStyle name="Normal 7 147" xfId="10156"/>
    <cellStyle name="Normal 7 148" xfId="10157"/>
    <cellStyle name="Normal 7 149" xfId="10158"/>
    <cellStyle name="Normal 7 15" xfId="10159"/>
    <cellStyle name="Normal 7 150" xfId="10160"/>
    <cellStyle name="Normal 7 151" xfId="10161"/>
    <cellStyle name="Normal 7 152" xfId="10162"/>
    <cellStyle name="Normal 7 153" xfId="10163"/>
    <cellStyle name="Normal 7 154" xfId="10164"/>
    <cellStyle name="Normal 7 155" xfId="10165"/>
    <cellStyle name="Normal 7 156" xfId="10166"/>
    <cellStyle name="Normal 7 157" xfId="10167"/>
    <cellStyle name="Normal 7 158" xfId="10168"/>
    <cellStyle name="Normal 7 159" xfId="10169"/>
    <cellStyle name="Normal 7 16" xfId="10170"/>
    <cellStyle name="Normal 7 160" xfId="10171"/>
    <cellStyle name="Normal 7 161" xfId="10172"/>
    <cellStyle name="Normal 7 162" xfId="10173"/>
    <cellStyle name="Normal 7 163" xfId="10174"/>
    <cellStyle name="Normal 7 164" xfId="10175"/>
    <cellStyle name="Normal 7 165" xfId="10176"/>
    <cellStyle name="Normal 7 166" xfId="10177"/>
    <cellStyle name="Normal 7 167" xfId="10178"/>
    <cellStyle name="Normal 7 168" xfId="10179"/>
    <cellStyle name="Normal 7 169" xfId="10180"/>
    <cellStyle name="Normal 7 17" xfId="10181"/>
    <cellStyle name="Normal 7 170" xfId="10182"/>
    <cellStyle name="Normal 7 171" xfId="10183"/>
    <cellStyle name="Normal 7 172" xfId="10184"/>
    <cellStyle name="Normal 7 173" xfId="10185"/>
    <cellStyle name="Normal 7 174" xfId="10186"/>
    <cellStyle name="Normal 7 175" xfId="10187"/>
    <cellStyle name="Normal 7 176" xfId="10188"/>
    <cellStyle name="Normal 7 177" xfId="10189"/>
    <cellStyle name="Normal 7 178" xfId="10190"/>
    <cellStyle name="Normal 7 179" xfId="10191"/>
    <cellStyle name="Normal 7 18" xfId="10192"/>
    <cellStyle name="Normal 7 180" xfId="10193"/>
    <cellStyle name="Normal 7 181" xfId="10194"/>
    <cellStyle name="Normal 7 182" xfId="10195"/>
    <cellStyle name="Normal 7 183" xfId="10196"/>
    <cellStyle name="Normal 7 184" xfId="10197"/>
    <cellStyle name="Normal 7 185" xfId="10198"/>
    <cellStyle name="Normal 7 186" xfId="10199"/>
    <cellStyle name="Normal 7 187" xfId="10200"/>
    <cellStyle name="Normal 7 188" xfId="10201"/>
    <cellStyle name="Normal 7 189" xfId="10202"/>
    <cellStyle name="Normal 7 19" xfId="10203"/>
    <cellStyle name="Normal 7 190" xfId="10204"/>
    <cellStyle name="Normal 7 191" xfId="10205"/>
    <cellStyle name="Normal 7 192" xfId="10206"/>
    <cellStyle name="Normal 7 193" xfId="10207"/>
    <cellStyle name="Normal 7 194" xfId="10208"/>
    <cellStyle name="Normal 7 195" xfId="10209"/>
    <cellStyle name="Normal 7 196" xfId="10210"/>
    <cellStyle name="Normal 7 197" xfId="10211"/>
    <cellStyle name="Normal 7 198" xfId="10212"/>
    <cellStyle name="Normal 7 2" xfId="10213"/>
    <cellStyle name="Normal 7 20" xfId="10214"/>
    <cellStyle name="Normal 7 21" xfId="10215"/>
    <cellStyle name="Normal 7 22" xfId="10216"/>
    <cellStyle name="Normal 7 23" xfId="10217"/>
    <cellStyle name="Normal 7 24" xfId="10218"/>
    <cellStyle name="Normal 7 25" xfId="10219"/>
    <cellStyle name="Normal 7 26" xfId="10220"/>
    <cellStyle name="Normal 7 27" xfId="10221"/>
    <cellStyle name="Normal 7 28" xfId="10222"/>
    <cellStyle name="Normal 7 29" xfId="10223"/>
    <cellStyle name="Normal 7 3" xfId="10224"/>
    <cellStyle name="Normal 7 30" xfId="10225"/>
    <cellStyle name="Normal 7 31" xfId="10226"/>
    <cellStyle name="Normal 7 32" xfId="10227"/>
    <cellStyle name="Normal 7 33" xfId="10228"/>
    <cellStyle name="Normal 7 34" xfId="10229"/>
    <cellStyle name="Normal 7 35" xfId="10230"/>
    <cellStyle name="Normal 7 36" xfId="10231"/>
    <cellStyle name="Normal 7 37" xfId="10232"/>
    <cellStyle name="Normal 7 38" xfId="10233"/>
    <cellStyle name="Normal 7 39" xfId="10234"/>
    <cellStyle name="Normal 7 4" xfId="10235"/>
    <cellStyle name="Normal 7 40" xfId="10236"/>
    <cellStyle name="Normal 7 41" xfId="10237"/>
    <cellStyle name="Normal 7 42" xfId="10238"/>
    <cellStyle name="Normal 7 43" xfId="10239"/>
    <cellStyle name="Normal 7 44" xfId="10240"/>
    <cellStyle name="Normal 7 45" xfId="10241"/>
    <cellStyle name="Normal 7 46" xfId="10242"/>
    <cellStyle name="Normal 7 47" xfId="10243"/>
    <cellStyle name="Normal 7 48" xfId="10244"/>
    <cellStyle name="Normal 7 49" xfId="10245"/>
    <cellStyle name="Normal 7 5" xfId="10246"/>
    <cellStyle name="Normal 7 50" xfId="10247"/>
    <cellStyle name="Normal 7 51" xfId="10248"/>
    <cellStyle name="Normal 7 52" xfId="10249"/>
    <cellStyle name="Normal 7 53" xfId="10250"/>
    <cellStyle name="Normal 7 54" xfId="10251"/>
    <cellStyle name="Normal 7 55" xfId="10252"/>
    <cellStyle name="Normal 7 56" xfId="10253"/>
    <cellStyle name="Normal 7 57" xfId="10254"/>
    <cellStyle name="Normal 7 58" xfId="10255"/>
    <cellStyle name="Normal 7 59" xfId="10256"/>
    <cellStyle name="Normal 7 6" xfId="10257"/>
    <cellStyle name="Normal 7 60" xfId="10258"/>
    <cellStyle name="Normal 7 61" xfId="10259"/>
    <cellStyle name="Normal 7 62" xfId="10260"/>
    <cellStyle name="Normal 7 63" xfId="10261"/>
    <cellStyle name="Normal 7 64" xfId="10262"/>
    <cellStyle name="Normal 7 65" xfId="10263"/>
    <cellStyle name="Normal 7 66" xfId="10264"/>
    <cellStyle name="Normal 7 67" xfId="10265"/>
    <cellStyle name="Normal 7 68" xfId="10266"/>
    <cellStyle name="Normal 7 69" xfId="10267"/>
    <cellStyle name="Normal 7 7" xfId="10268"/>
    <cellStyle name="Normal 7 70" xfId="10269"/>
    <cellStyle name="Normal 7 71" xfId="10270"/>
    <cellStyle name="Normal 7 72" xfId="10271"/>
    <cellStyle name="Normal 7 73" xfId="10272"/>
    <cellStyle name="Normal 7 74" xfId="10273"/>
    <cellStyle name="Normal 7 75" xfId="10274"/>
    <cellStyle name="Normal 7 76" xfId="10275"/>
    <cellStyle name="Normal 7 77" xfId="10276"/>
    <cellStyle name="Normal 7 78" xfId="10277"/>
    <cellStyle name="Normal 7 79" xfId="10278"/>
    <cellStyle name="Normal 7 8" xfId="10279"/>
    <cellStyle name="Normal 7 80" xfId="10280"/>
    <cellStyle name="Normal 7 81" xfId="10281"/>
    <cellStyle name="Normal 7 82" xfId="10282"/>
    <cellStyle name="Normal 7 83" xfId="10283"/>
    <cellStyle name="Normal 7 84" xfId="10284"/>
    <cellStyle name="Normal 7 85" xfId="10285"/>
    <cellStyle name="Normal 7 86" xfId="10286"/>
    <cellStyle name="Normal 7 87" xfId="10287"/>
    <cellStyle name="Normal 7 88" xfId="10288"/>
    <cellStyle name="Normal 7 89" xfId="10289"/>
    <cellStyle name="Normal 7 9" xfId="10290"/>
    <cellStyle name="Normal 7 90" xfId="10291"/>
    <cellStyle name="Normal 7 91" xfId="10292"/>
    <cellStyle name="Normal 7 92" xfId="10293"/>
    <cellStyle name="Normal 7 93" xfId="10294"/>
    <cellStyle name="Normal 7 94" xfId="10295"/>
    <cellStyle name="Normal 7 95" xfId="10296"/>
    <cellStyle name="Normal 7 96" xfId="10297"/>
    <cellStyle name="Normal 7 97" xfId="10298"/>
    <cellStyle name="Normal 7 98" xfId="10299"/>
    <cellStyle name="Normal 7 99" xfId="10300"/>
    <cellStyle name="Normal 8" xfId="10301"/>
    <cellStyle name="Normal 8 10" xfId="10302"/>
    <cellStyle name="Normal 8 100" xfId="10303"/>
    <cellStyle name="Normal 8 101" xfId="10304"/>
    <cellStyle name="Normal 8 102" xfId="10305"/>
    <cellStyle name="Normal 8 103" xfId="10306"/>
    <cellStyle name="Normal 8 104" xfId="10307"/>
    <cellStyle name="Normal 8 105" xfId="10308"/>
    <cellStyle name="Normal 8 106" xfId="10309"/>
    <cellStyle name="Normal 8 107" xfId="10310"/>
    <cellStyle name="Normal 8 108" xfId="10311"/>
    <cellStyle name="Normal 8 109" xfId="10312"/>
    <cellStyle name="Normal 8 11" xfId="10313"/>
    <cellStyle name="Normal 8 110" xfId="10314"/>
    <cellStyle name="Normal 8 111" xfId="10315"/>
    <cellStyle name="Normal 8 112" xfId="10316"/>
    <cellStyle name="Normal 8 113" xfId="10317"/>
    <cellStyle name="Normal 8 114" xfId="10318"/>
    <cellStyle name="Normal 8 115" xfId="10319"/>
    <cellStyle name="Normal 8 116" xfId="10320"/>
    <cellStyle name="Normal 8 117" xfId="10321"/>
    <cellStyle name="Normal 8 118" xfId="10322"/>
    <cellStyle name="Normal 8 119" xfId="10323"/>
    <cellStyle name="Normal 8 12" xfId="10324"/>
    <cellStyle name="Normal 8 120" xfId="10325"/>
    <cellStyle name="Normal 8 121" xfId="10326"/>
    <cellStyle name="Normal 8 122" xfId="10327"/>
    <cellStyle name="Normal 8 123" xfId="10328"/>
    <cellStyle name="Normal 8 124" xfId="10329"/>
    <cellStyle name="Normal 8 125" xfId="10330"/>
    <cellStyle name="Normal 8 126" xfId="10331"/>
    <cellStyle name="Normal 8 127" xfId="10332"/>
    <cellStyle name="Normal 8 128" xfId="10333"/>
    <cellStyle name="Normal 8 129" xfId="10334"/>
    <cellStyle name="Normal 8 13" xfId="10335"/>
    <cellStyle name="Normal 8 130" xfId="10336"/>
    <cellStyle name="Normal 8 131" xfId="10337"/>
    <cellStyle name="Normal 8 132" xfId="10338"/>
    <cellStyle name="Normal 8 133" xfId="10339"/>
    <cellStyle name="Normal 8 134" xfId="10340"/>
    <cellStyle name="Normal 8 135" xfId="10341"/>
    <cellStyle name="Normal 8 136" xfId="10342"/>
    <cellStyle name="Normal 8 137" xfId="10343"/>
    <cellStyle name="Normal 8 138" xfId="10344"/>
    <cellStyle name="Normal 8 139" xfId="10345"/>
    <cellStyle name="Normal 8 14" xfId="10346"/>
    <cellStyle name="Normal 8 140" xfId="10347"/>
    <cellStyle name="Normal 8 141" xfId="10348"/>
    <cellStyle name="Normal 8 142" xfId="10349"/>
    <cellStyle name="Normal 8 143" xfId="10350"/>
    <cellStyle name="Normal 8 144" xfId="10351"/>
    <cellStyle name="Normal 8 145" xfId="10352"/>
    <cellStyle name="Normal 8 146" xfId="10353"/>
    <cellStyle name="Normal 8 147" xfId="10354"/>
    <cellStyle name="Normal 8 148" xfId="10355"/>
    <cellStyle name="Normal 8 149" xfId="10356"/>
    <cellStyle name="Normal 8 15" xfId="10357"/>
    <cellStyle name="Normal 8 150" xfId="10358"/>
    <cellStyle name="Normal 8 151" xfId="10359"/>
    <cellStyle name="Normal 8 152" xfId="10360"/>
    <cellStyle name="Normal 8 153" xfId="10361"/>
    <cellStyle name="Normal 8 154" xfId="10362"/>
    <cellStyle name="Normal 8 155" xfId="10363"/>
    <cellStyle name="Normal 8 156" xfId="10364"/>
    <cellStyle name="Normal 8 157" xfId="10365"/>
    <cellStyle name="Normal 8 158" xfId="10366"/>
    <cellStyle name="Normal 8 159" xfId="10367"/>
    <cellStyle name="Normal 8 16" xfId="10368"/>
    <cellStyle name="Normal 8 160" xfId="10369"/>
    <cellStyle name="Normal 8 161" xfId="10370"/>
    <cellStyle name="Normal 8 162" xfId="10371"/>
    <cellStyle name="Normal 8 163" xfId="10372"/>
    <cellStyle name="Normal 8 164" xfId="10373"/>
    <cellStyle name="Normal 8 165" xfId="10374"/>
    <cellStyle name="Normal 8 166" xfId="10375"/>
    <cellStyle name="Normal 8 167" xfId="10376"/>
    <cellStyle name="Normal 8 168" xfId="10377"/>
    <cellStyle name="Normal 8 169" xfId="10378"/>
    <cellStyle name="Normal 8 17" xfId="10379"/>
    <cellStyle name="Normal 8 170" xfId="10380"/>
    <cellStyle name="Normal 8 171" xfId="10381"/>
    <cellStyle name="Normal 8 172" xfId="10382"/>
    <cellStyle name="Normal 8 173" xfId="10383"/>
    <cellStyle name="Normal 8 174" xfId="10384"/>
    <cellStyle name="Normal 8 175" xfId="10385"/>
    <cellStyle name="Normal 8 176" xfId="10386"/>
    <cellStyle name="Normal 8 177" xfId="10387"/>
    <cellStyle name="Normal 8 178" xfId="10388"/>
    <cellStyle name="Normal 8 179" xfId="10389"/>
    <cellStyle name="Normal 8 18" xfId="10390"/>
    <cellStyle name="Normal 8 180" xfId="10391"/>
    <cellStyle name="Normal 8 181" xfId="10392"/>
    <cellStyle name="Normal 8 182" xfId="10393"/>
    <cellStyle name="Normal 8 183" xfId="10394"/>
    <cellStyle name="Normal 8 184" xfId="10395"/>
    <cellStyle name="Normal 8 185" xfId="10396"/>
    <cellStyle name="Normal 8 186" xfId="10397"/>
    <cellStyle name="Normal 8 187" xfId="10398"/>
    <cellStyle name="Normal 8 188" xfId="10399"/>
    <cellStyle name="Normal 8 189" xfId="10400"/>
    <cellStyle name="Normal 8 19" xfId="10401"/>
    <cellStyle name="Normal 8 190" xfId="10402"/>
    <cellStyle name="Normal 8 191" xfId="10403"/>
    <cellStyle name="Normal 8 192" xfId="10404"/>
    <cellStyle name="Normal 8 193" xfId="10405"/>
    <cellStyle name="Normal 8 194" xfId="10406"/>
    <cellStyle name="Normal 8 195" xfId="10407"/>
    <cellStyle name="Normal 8 196" xfId="10408"/>
    <cellStyle name="Normal 8 197" xfId="10409"/>
    <cellStyle name="Normal 8 198" xfId="10410"/>
    <cellStyle name="Normal 8 2" xfId="10411"/>
    <cellStyle name="Normal 8 20" xfId="10412"/>
    <cellStyle name="Normal 8 21" xfId="10413"/>
    <cellStyle name="Normal 8 22" xfId="10414"/>
    <cellStyle name="Normal 8 23" xfId="10415"/>
    <cellStyle name="Normal 8 24" xfId="10416"/>
    <cellStyle name="Normal 8 25" xfId="10417"/>
    <cellStyle name="Normal 8 26" xfId="10418"/>
    <cellStyle name="Normal 8 27" xfId="10419"/>
    <cellStyle name="Normal 8 28" xfId="10420"/>
    <cellStyle name="Normal 8 29" xfId="10421"/>
    <cellStyle name="Normal 8 3" xfId="10422"/>
    <cellStyle name="Normal 8 30" xfId="10423"/>
    <cellStyle name="Normal 8 31" xfId="10424"/>
    <cellStyle name="Normal 8 32" xfId="10425"/>
    <cellStyle name="Normal 8 33" xfId="10426"/>
    <cellStyle name="Normal 8 34" xfId="10427"/>
    <cellStyle name="Normal 8 35" xfId="10428"/>
    <cellStyle name="Normal 8 36" xfId="10429"/>
    <cellStyle name="Normal 8 37" xfId="10430"/>
    <cellStyle name="Normal 8 38" xfId="10431"/>
    <cellStyle name="Normal 8 39" xfId="10432"/>
    <cellStyle name="Normal 8 4" xfId="10433"/>
    <cellStyle name="Normal 8 40" xfId="10434"/>
    <cellStyle name="Normal 8 41" xfId="10435"/>
    <cellStyle name="Normal 8 42" xfId="10436"/>
    <cellStyle name="Normal 8 43" xfId="10437"/>
    <cellStyle name="Normal 8 44" xfId="10438"/>
    <cellStyle name="Normal 8 45" xfId="10439"/>
    <cellStyle name="Normal 8 46" xfId="10440"/>
    <cellStyle name="Normal 8 47" xfId="10441"/>
    <cellStyle name="Normal 8 48" xfId="10442"/>
    <cellStyle name="Normal 8 49" xfId="10443"/>
    <cellStyle name="Normal 8 5" xfId="10444"/>
    <cellStyle name="Normal 8 50" xfId="10445"/>
    <cellStyle name="Normal 8 51" xfId="10446"/>
    <cellStyle name="Normal 8 52" xfId="10447"/>
    <cellStyle name="Normal 8 53" xfId="10448"/>
    <cellStyle name="Normal 8 54" xfId="10449"/>
    <cellStyle name="Normal 8 55" xfId="10450"/>
    <cellStyle name="Normal 8 56" xfId="10451"/>
    <cellStyle name="Normal 8 57" xfId="10452"/>
    <cellStyle name="Normal 8 58" xfId="10453"/>
    <cellStyle name="Normal 8 59" xfId="10454"/>
    <cellStyle name="Normal 8 6" xfId="10455"/>
    <cellStyle name="Normal 8 60" xfId="10456"/>
    <cellStyle name="Normal 8 61" xfId="10457"/>
    <cellStyle name="Normal 8 62" xfId="10458"/>
    <cellStyle name="Normal 8 63" xfId="10459"/>
    <cellStyle name="Normal 8 64" xfId="10460"/>
    <cellStyle name="Normal 8 65" xfId="10461"/>
    <cellStyle name="Normal 8 66" xfId="10462"/>
    <cellStyle name="Normal 8 67" xfId="10463"/>
    <cellStyle name="Normal 8 68" xfId="10464"/>
    <cellStyle name="Normal 8 69" xfId="10465"/>
    <cellStyle name="Normal 8 7" xfId="10466"/>
    <cellStyle name="Normal 8 70" xfId="10467"/>
    <cellStyle name="Normal 8 71" xfId="10468"/>
    <cellStyle name="Normal 8 72" xfId="10469"/>
    <cellStyle name="Normal 8 73" xfId="10470"/>
    <cellStyle name="Normal 8 74" xfId="10471"/>
    <cellStyle name="Normal 8 75" xfId="10472"/>
    <cellStyle name="Normal 8 76" xfId="10473"/>
    <cellStyle name="Normal 8 77" xfId="10474"/>
    <cellStyle name="Normal 8 78" xfId="10475"/>
    <cellStyle name="Normal 8 79" xfId="10476"/>
    <cellStyle name="Normal 8 8" xfId="10477"/>
    <cellStyle name="Normal 8 80" xfId="10478"/>
    <cellStyle name="Normal 8 81" xfId="10479"/>
    <cellStyle name="Normal 8 82" xfId="10480"/>
    <cellStyle name="Normal 8 83" xfId="10481"/>
    <cellStyle name="Normal 8 84" xfId="10482"/>
    <cellStyle name="Normal 8 85" xfId="10483"/>
    <cellStyle name="Normal 8 86" xfId="10484"/>
    <cellStyle name="Normal 8 87" xfId="10485"/>
    <cellStyle name="Normal 8 88" xfId="10486"/>
    <cellStyle name="Normal 8 89" xfId="10487"/>
    <cellStyle name="Normal 8 9" xfId="10488"/>
    <cellStyle name="Normal 8 90" xfId="10489"/>
    <cellStyle name="Normal 8 91" xfId="10490"/>
    <cellStyle name="Normal 8 92" xfId="10491"/>
    <cellStyle name="Normal 8 93" xfId="10492"/>
    <cellStyle name="Normal 8 94" xfId="10493"/>
    <cellStyle name="Normal 8 95" xfId="10494"/>
    <cellStyle name="Normal 8 96" xfId="10495"/>
    <cellStyle name="Normal 8 97" xfId="10496"/>
    <cellStyle name="Normal 8 98" xfId="10497"/>
    <cellStyle name="Normal 8 99" xfId="10498"/>
    <cellStyle name="Normal 9" xfId="10499"/>
    <cellStyle name="Normal 9 10" xfId="10500"/>
    <cellStyle name="Normal 9 100" xfId="10501"/>
    <cellStyle name="Normal 9 101" xfId="10502"/>
    <cellStyle name="Normal 9 102" xfId="10503"/>
    <cellStyle name="Normal 9 103" xfId="10504"/>
    <cellStyle name="Normal 9 104" xfId="10505"/>
    <cellStyle name="Normal 9 105" xfId="10506"/>
    <cellStyle name="Normal 9 106" xfId="10507"/>
    <cellStyle name="Normal 9 107" xfId="10508"/>
    <cellStyle name="Normal 9 108" xfId="10509"/>
    <cellStyle name="Normal 9 109" xfId="10510"/>
    <cellStyle name="Normal 9 11" xfId="10511"/>
    <cellStyle name="Normal 9 110" xfId="10512"/>
    <cellStyle name="Normal 9 111" xfId="10513"/>
    <cellStyle name="Normal 9 112" xfId="10514"/>
    <cellStyle name="Normal 9 113" xfId="10515"/>
    <cellStyle name="Normal 9 114" xfId="10516"/>
    <cellStyle name="Normal 9 115" xfId="10517"/>
    <cellStyle name="Normal 9 116" xfId="10518"/>
    <cellStyle name="Normal 9 117" xfId="10519"/>
    <cellStyle name="Normal 9 118" xfId="10520"/>
    <cellStyle name="Normal 9 119" xfId="10521"/>
    <cellStyle name="Normal 9 12" xfId="10522"/>
    <cellStyle name="Normal 9 120" xfId="10523"/>
    <cellStyle name="Normal 9 121" xfId="10524"/>
    <cellStyle name="Normal 9 122" xfId="10525"/>
    <cellStyle name="Normal 9 123" xfId="10526"/>
    <cellStyle name="Normal 9 124" xfId="10527"/>
    <cellStyle name="Normal 9 125" xfId="10528"/>
    <cellStyle name="Normal 9 126" xfId="10529"/>
    <cellStyle name="Normal 9 127" xfId="10530"/>
    <cellStyle name="Normal 9 128" xfId="10531"/>
    <cellStyle name="Normal 9 129" xfId="10532"/>
    <cellStyle name="Normal 9 13" xfId="10533"/>
    <cellStyle name="Normal 9 130" xfId="10534"/>
    <cellStyle name="Normal 9 131" xfId="10535"/>
    <cellStyle name="Normal 9 132" xfId="10536"/>
    <cellStyle name="Normal 9 133" xfId="10537"/>
    <cellStyle name="Normal 9 134" xfId="10538"/>
    <cellStyle name="Normal 9 135" xfId="10539"/>
    <cellStyle name="Normal 9 136" xfId="10540"/>
    <cellStyle name="Normal 9 137" xfId="10541"/>
    <cellStyle name="Normal 9 138" xfId="10542"/>
    <cellStyle name="Normal 9 139" xfId="10543"/>
    <cellStyle name="Normal 9 14" xfId="10544"/>
    <cellStyle name="Normal 9 140" xfId="10545"/>
    <cellStyle name="Normal 9 141" xfId="10546"/>
    <cellStyle name="Normal 9 142" xfId="10547"/>
    <cellStyle name="Normal 9 143" xfId="10548"/>
    <cellStyle name="Normal 9 144" xfId="10549"/>
    <cellStyle name="Normal 9 145" xfId="10550"/>
    <cellStyle name="Normal 9 146" xfId="10551"/>
    <cellStyle name="Normal 9 147" xfId="10552"/>
    <cellStyle name="Normal 9 148" xfId="10553"/>
    <cellStyle name="Normal 9 149" xfId="10554"/>
    <cellStyle name="Normal 9 15" xfId="10555"/>
    <cellStyle name="Normal 9 150" xfId="10556"/>
    <cellStyle name="Normal 9 151" xfId="10557"/>
    <cellStyle name="Normal 9 152" xfId="10558"/>
    <cellStyle name="Normal 9 153" xfId="10559"/>
    <cellStyle name="Normal 9 154" xfId="10560"/>
    <cellStyle name="Normal 9 155" xfId="10561"/>
    <cellStyle name="Normal 9 156" xfId="10562"/>
    <cellStyle name="Normal 9 157" xfId="10563"/>
    <cellStyle name="Normal 9 158" xfId="10564"/>
    <cellStyle name="Normal 9 159" xfId="10565"/>
    <cellStyle name="Normal 9 16" xfId="10566"/>
    <cellStyle name="Normal 9 160" xfId="10567"/>
    <cellStyle name="Normal 9 161" xfId="10568"/>
    <cellStyle name="Normal 9 162" xfId="10569"/>
    <cellStyle name="Normal 9 163" xfId="10570"/>
    <cellStyle name="Normal 9 164" xfId="10571"/>
    <cellStyle name="Normal 9 165" xfId="10572"/>
    <cellStyle name="Normal 9 166" xfId="10573"/>
    <cellStyle name="Normal 9 167" xfId="10574"/>
    <cellStyle name="Normal 9 168" xfId="10575"/>
    <cellStyle name="Normal 9 169" xfId="10576"/>
    <cellStyle name="Normal 9 17" xfId="10577"/>
    <cellStyle name="Normal 9 170" xfId="10578"/>
    <cellStyle name="Normal 9 171" xfId="10579"/>
    <cellStyle name="Normal 9 172" xfId="10580"/>
    <cellStyle name="Normal 9 173" xfId="10581"/>
    <cellStyle name="Normal 9 174" xfId="10582"/>
    <cellStyle name="Normal 9 175" xfId="10583"/>
    <cellStyle name="Normal 9 176" xfId="10584"/>
    <cellStyle name="Normal 9 177" xfId="10585"/>
    <cellStyle name="Normal 9 178" xfId="10586"/>
    <cellStyle name="Normal 9 179" xfId="10587"/>
    <cellStyle name="Normal 9 18" xfId="10588"/>
    <cellStyle name="Normal 9 180" xfId="10589"/>
    <cellStyle name="Normal 9 181" xfId="10590"/>
    <cellStyle name="Normal 9 182" xfId="10591"/>
    <cellStyle name="Normal 9 183" xfId="10592"/>
    <cellStyle name="Normal 9 184" xfId="10593"/>
    <cellStyle name="Normal 9 185" xfId="10594"/>
    <cellStyle name="Normal 9 186" xfId="10595"/>
    <cellStyle name="Normal 9 187" xfId="10596"/>
    <cellStyle name="Normal 9 188" xfId="10597"/>
    <cellStyle name="Normal 9 189" xfId="10598"/>
    <cellStyle name="Normal 9 19" xfId="10599"/>
    <cellStyle name="Normal 9 190" xfId="10600"/>
    <cellStyle name="Normal 9 191" xfId="10601"/>
    <cellStyle name="Normal 9 192" xfId="10602"/>
    <cellStyle name="Normal 9 193" xfId="10603"/>
    <cellStyle name="Normal 9 194" xfId="10604"/>
    <cellStyle name="Normal 9 195" xfId="10605"/>
    <cellStyle name="Normal 9 196" xfId="10606"/>
    <cellStyle name="Normal 9 197" xfId="10607"/>
    <cellStyle name="Normal 9 198" xfId="10608"/>
    <cellStyle name="Normal 9 2" xfId="10609"/>
    <cellStyle name="Normal 9 20" xfId="10610"/>
    <cellStyle name="Normal 9 21" xfId="10611"/>
    <cellStyle name="Normal 9 22" xfId="10612"/>
    <cellStyle name="Normal 9 23" xfId="10613"/>
    <cellStyle name="Normal 9 24" xfId="10614"/>
    <cellStyle name="Normal 9 25" xfId="10615"/>
    <cellStyle name="Normal 9 26" xfId="10616"/>
    <cellStyle name="Normal 9 27" xfId="10617"/>
    <cellStyle name="Normal 9 28" xfId="10618"/>
    <cellStyle name="Normal 9 29" xfId="10619"/>
    <cellStyle name="Normal 9 3" xfId="10620"/>
    <cellStyle name="Normal 9 30" xfId="10621"/>
    <cellStyle name="Normal 9 31" xfId="10622"/>
    <cellStyle name="Normal 9 32" xfId="10623"/>
    <cellStyle name="Normal 9 33" xfId="10624"/>
    <cellStyle name="Normal 9 34" xfId="10625"/>
    <cellStyle name="Normal 9 35" xfId="10626"/>
    <cellStyle name="Normal 9 36" xfId="10627"/>
    <cellStyle name="Normal 9 37" xfId="10628"/>
    <cellStyle name="Normal 9 38" xfId="10629"/>
    <cellStyle name="Normal 9 39" xfId="10630"/>
    <cellStyle name="Normal 9 4" xfId="10631"/>
    <cellStyle name="Normal 9 40" xfId="10632"/>
    <cellStyle name="Normal 9 41" xfId="10633"/>
    <cellStyle name="Normal 9 42" xfId="10634"/>
    <cellStyle name="Normal 9 43" xfId="10635"/>
    <cellStyle name="Normal 9 44" xfId="10636"/>
    <cellStyle name="Normal 9 45" xfId="10637"/>
    <cellStyle name="Normal 9 46" xfId="10638"/>
    <cellStyle name="Normal 9 47" xfId="10639"/>
    <cellStyle name="Normal 9 48" xfId="10640"/>
    <cellStyle name="Normal 9 49" xfId="10641"/>
    <cellStyle name="Normal 9 5" xfId="10642"/>
    <cellStyle name="Normal 9 50" xfId="10643"/>
    <cellStyle name="Normal 9 51" xfId="10644"/>
    <cellStyle name="Normal 9 52" xfId="10645"/>
    <cellStyle name="Normal 9 53" xfId="10646"/>
    <cellStyle name="Normal 9 54" xfId="10647"/>
    <cellStyle name="Normal 9 55" xfId="10648"/>
    <cellStyle name="Normal 9 56" xfId="10649"/>
    <cellStyle name="Normal 9 57" xfId="10650"/>
    <cellStyle name="Normal 9 58" xfId="10651"/>
    <cellStyle name="Normal 9 59" xfId="10652"/>
    <cellStyle name="Normal 9 6" xfId="10653"/>
    <cellStyle name="Normal 9 60" xfId="10654"/>
    <cellStyle name="Normal 9 61" xfId="10655"/>
    <cellStyle name="Normal 9 62" xfId="10656"/>
    <cellStyle name="Normal 9 63" xfId="10657"/>
    <cellStyle name="Normal 9 64" xfId="10658"/>
    <cellStyle name="Normal 9 65" xfId="10659"/>
    <cellStyle name="Normal 9 66" xfId="10660"/>
    <cellStyle name="Normal 9 67" xfId="10661"/>
    <cellStyle name="Normal 9 68" xfId="10662"/>
    <cellStyle name="Normal 9 69" xfId="10663"/>
    <cellStyle name="Normal 9 7" xfId="10664"/>
    <cellStyle name="Normal 9 70" xfId="10665"/>
    <cellStyle name="Normal 9 71" xfId="10666"/>
    <cellStyle name="Normal 9 72" xfId="10667"/>
    <cellStyle name="Normal 9 73" xfId="10668"/>
    <cellStyle name="Normal 9 74" xfId="10669"/>
    <cellStyle name="Normal 9 75" xfId="10670"/>
    <cellStyle name="Normal 9 76" xfId="10671"/>
    <cellStyle name="Normal 9 77" xfId="10672"/>
    <cellStyle name="Normal 9 78" xfId="10673"/>
    <cellStyle name="Normal 9 79" xfId="10674"/>
    <cellStyle name="Normal 9 8" xfId="10675"/>
    <cellStyle name="Normal 9 80" xfId="10676"/>
    <cellStyle name="Normal 9 81" xfId="10677"/>
    <cellStyle name="Normal 9 82" xfId="10678"/>
    <cellStyle name="Normal 9 83" xfId="10679"/>
    <cellStyle name="Normal 9 84" xfId="10680"/>
    <cellStyle name="Normal 9 85" xfId="10681"/>
    <cellStyle name="Normal 9 86" xfId="10682"/>
    <cellStyle name="Normal 9 87" xfId="10683"/>
    <cellStyle name="Normal 9 88" xfId="10684"/>
    <cellStyle name="Normal 9 89" xfId="10685"/>
    <cellStyle name="Normal 9 9" xfId="10686"/>
    <cellStyle name="Normal 9 90" xfId="10687"/>
    <cellStyle name="Normal 9 91" xfId="10688"/>
    <cellStyle name="Normal 9 92" xfId="10689"/>
    <cellStyle name="Normal 9 93" xfId="10690"/>
    <cellStyle name="Normal 9 94" xfId="10691"/>
    <cellStyle name="Normal 9 95" xfId="10692"/>
    <cellStyle name="Normal 9 96" xfId="10693"/>
    <cellStyle name="Normal 9 97" xfId="10694"/>
    <cellStyle name="Normal 9 98" xfId="10695"/>
    <cellStyle name="Normal 9 99" xfId="10696"/>
    <cellStyle name="Normal_SOLOA1" xfId="1"/>
    <cellStyle name="Notas 10" xfId="10697"/>
    <cellStyle name="Notas 11" xfId="10698"/>
    <cellStyle name="Notas 12" xfId="10699"/>
    <cellStyle name="Notas 13" xfId="10700"/>
    <cellStyle name="Notas 14" xfId="10701"/>
    <cellStyle name="Notas 15" xfId="10702"/>
    <cellStyle name="Notas 16" xfId="10703"/>
    <cellStyle name="Notas 17" xfId="10704"/>
    <cellStyle name="Notas 18" xfId="10705"/>
    <cellStyle name="Notas 19" xfId="10706"/>
    <cellStyle name="Notas 2" xfId="10707"/>
    <cellStyle name="Notas 20" xfId="10708"/>
    <cellStyle name="Notas 21" xfId="10709"/>
    <cellStyle name="Notas 3" xfId="10710"/>
    <cellStyle name="Notas 4" xfId="10711"/>
    <cellStyle name="Notas 5" xfId="10712"/>
    <cellStyle name="Notas 6" xfId="10713"/>
    <cellStyle name="Notas 7" xfId="10714"/>
    <cellStyle name="Notas 8" xfId="10715"/>
    <cellStyle name="Notas 9" xfId="10716"/>
    <cellStyle name="Porcentaje 2" xfId="10717"/>
    <cellStyle name="Porcentual 2" xfId="10718"/>
    <cellStyle name="Porcentual 3" xfId="10719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99CC00"/>
      <color rgb="FFCC00FF"/>
      <color rgb="FF9966FF"/>
      <color rgb="FF6666FF"/>
      <color rgb="FF00FFFF"/>
      <color rgb="FF00FF99"/>
      <color rgb="FFFFFF66"/>
      <color rgb="FF99003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Relationship Id="rId3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AHZ42010DDCS1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469139915202907"/>
          <c:y val="0.178177777777778"/>
          <c:w val="0.827316777710478"/>
          <c:h val="0.7596"/>
        </c:manualLayout>
      </c:layout>
      <c:lineChart>
        <c:grouping val="standard"/>
        <c:varyColors val="0"/>
        <c:ser>
          <c:idx val="0"/>
          <c:order val="0"/>
          <c:tx>
            <c:v>4/15/15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('ESTACIÓN 1'!$E$2,'ESTACIÓN 1'!$G$2,'ESTACIÓN 1'!$I$2,'ESTACIÓN 1'!$K$2,'ESTACIÓN 1'!$M$2,'ESTACIÓN 1'!$O$2,'ESTACIÓN 1'!$Q$2,'ESTACIÓN 1'!$S$2,'ESTACIÓN 1'!$U$2,'ESTACIÓN 1'!$W$2,'ESTACIÓN 1'!$Y$2,'ESTACIÓN 1'!$AA$2,'ESTACIÓN 1'!$AC$2,'ESTACIÓN 1'!$AE$2,'ESTACIÓN 1'!$AG$2,'ESTACIÓN 1'!$AI$2,'ESTACIÓN 1'!$AK$2,'ESTACIÓN 1'!$AM$2,'ESTACIÓN 1'!$AO$2,'ESTACIÓN 1'!$AQ$2,'ESTACIÓN 1'!$AS$2,'ESTACIÓN 1'!$AU$2,'ESTACIÓN 1'!$AW$2,'ESTACIÓN 1'!$AY$2)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val>
          <c:smooth val="0"/>
        </c:ser>
        <c:ser>
          <c:idx val="1"/>
          <c:order val="1"/>
          <c:tx>
            <c:v>4/22/15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('ESTACIÓN 1'!$E$3,'ESTACIÓN 1'!$G$3,'ESTACIÓN 1'!$I$3,'ESTACIÓN 1'!$K$3,'ESTACIÓN 1'!$M$3,'ESTACIÓN 1'!$O$3,'ESTACIÓN 1'!$Q$3,'ESTACIÓN 1'!$S$3,'ESTACIÓN 1'!$U$3,'ESTACIÓN 1'!$W$3,'ESTACIÓN 1'!$Y$3,'ESTACIÓN 1'!$AA$3,'ESTACIÓN 1'!$AC$3,'ESTACIÓN 1'!$AE$3,'ESTACIÓN 1'!$AG$3,'ESTACIÓN 1'!$AI$3,'ESTACIÓN 1'!$AK$3,'ESTACIÓN 1'!$AM$3,'ESTACIÓN 1'!$AO$3,'ESTACIÓN 1'!$AQ$3,'ESTACIÓN 1'!$AS$3,'ESTACIÓN 1'!$AU$3,'ESTACIÓN 1'!$AW$3,'ESTACIÓN 1'!$AY$3)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val>
          <c:smooth val="0"/>
        </c:ser>
        <c:ser>
          <c:idx val="3"/>
          <c:order val="2"/>
          <c:tx>
            <c:v>5/6/15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('ESTACIÓN 1'!$E$4,'ESTACIÓN 1'!$G$4,'ESTACIÓN 1'!$I$4,'ESTACIÓN 1'!$K$4,'ESTACIÓN 1'!$M$4,'ESTACIÓN 1'!$O$4,'ESTACIÓN 1'!$Q$4,'ESTACIÓN 1'!$S$4,'ESTACIÓN 1'!$U$4,'ESTACIÓN 1'!$W$4,'ESTACIÓN 1'!$Y$4,'ESTACIÓN 1'!$AA$4,'ESTACIÓN 1'!$AC$4,'ESTACIÓN 1'!$AE$4,'ESTACIÓN 1'!$AG$4,'ESTACIÓN 1'!$AI$4,'ESTACIÓN 1'!$AK$4,'ESTACIÓN 1'!$AM$4,'ESTACIÓN 1'!$AO$4,'ESTACIÓN 1'!$AQ$4,'ESTACIÓN 1'!$AS$4,'ESTACIÓN 1'!$AU$4,'ESTACIÓN 1'!$AW$4,'ESTACIÓN 1'!$AY$4)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004240"/>
        <c:axId val="2134007600"/>
      </c:lineChart>
      <c:catAx>
        <c:axId val="2134004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7600"/>
        <c:crosses val="autoZero"/>
        <c:auto val="1"/>
        <c:lblAlgn val="ctr"/>
        <c:lblOffset val="100"/>
        <c:noMultiLvlLbl val="0"/>
      </c:catAx>
      <c:valAx>
        <c:axId val="21340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4/15/15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1'!$E$2,'ESTACIÓN 1'!$G$2,'ESTACIÓN 1'!$I$2,'ESTACIÓN 1'!$K$2,'ESTACIÓN 1'!$M$2,'ESTACIÓN 1'!$O$2,'ESTACIÓN 1'!$Q$2,'ESTACIÓN 1'!$S$2,'ESTACIÓN 1'!$U$2,'ESTACIÓN 1'!$W$2,'ESTACIÓN 1'!$Y$2,'ESTACIÓN 1'!$AA$2,'ESTACIÓN 1'!$AC$2,'ESTACIÓN 1'!$AE$2,'ESTACIÓN 1'!$AG$2,'ESTACIÓN 1'!$AI$2,'ESTACIÓN 1'!$AK$2,'ESTACIÓN 1'!$AM$2,'ESTACIÓN 1'!$AO$2,'ESTACIÓN 1'!$AQ$2,'ESTACIÓN 1'!$AS$2,'ESTACIÓN 1'!$AU$2,'ESTACIÓN 1'!$AW$2,'ESTACIÓN 1'!$AY$2)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yVal>
          <c:smooth val="0"/>
        </c:ser>
        <c:ser>
          <c:idx val="1"/>
          <c:order val="1"/>
          <c:tx>
            <c:v>4/22/15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1'!$E$3,'ESTACIÓN 1'!$G$3,'ESTACIÓN 1'!$I$3,'ESTACIÓN 1'!$K$3,'ESTACIÓN 1'!$M$3,'ESTACIÓN 1'!$O$3,'ESTACIÓN 1'!$Q$3,'ESTACIÓN 1'!$S$3,'ESTACIÓN 1'!$U$3,'ESTACIÓN 1'!$W$3,'ESTACIÓN 1'!$Y$3,'ESTACIÓN 1'!$AA$3,'ESTACIÓN 1'!$AC$3,'ESTACIÓN 1'!$AE$3,'ESTACIÓN 1'!$AG$3,'ESTACIÓN 1'!$AI$3,'ESTACIÓN 1'!$AK$3,'ESTACIÓN 1'!$AM$3,'ESTACIÓN 1'!$AO$3,'ESTACIÓN 1'!$AQ$3,'ESTACIÓN 1'!$AS$3,'ESTACIÓN 1'!$AU$3,'ESTACIÓN 1'!$AW$3,'ESTACIÓN 1'!$AY$3)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yVal>
          <c:smooth val="0"/>
        </c:ser>
        <c:ser>
          <c:idx val="2"/>
          <c:order val="2"/>
          <c:tx>
            <c:v>5/6/15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1'!$E$4,'ESTACIÓN 1'!$G$4,'ESTACIÓN 1'!$I$4,'ESTACIÓN 1'!$K$4,'ESTACIÓN 1'!$M$4,'ESTACIÓN 1'!$O$4,'ESTACIÓN 1'!$Q$4,'ESTACIÓN 1'!$S$4,'ESTACIÓN 1'!$U$4,'ESTACIÓN 1'!$W$4,'ESTACIÓN 1'!$Y$4,'ESTACIÓN 1'!$AA$4,'ESTACIÓN 1'!$AC$4,'ESTACIÓN 1'!$AE$4,'ESTACIÓN 1'!$AG$4,'ESTACIÓN 1'!$AI$4,'ESTACIÓN 1'!$AK$4,'ESTACIÓN 1'!$AM$4,'ESTACIÓN 1'!$AO$4,'ESTACIÓN 1'!$AQ$4,'ESTACIÓN 1'!$AS$4,'ESTACIÓN 1'!$AU$4,'ESTACIÓN 1'!$AW$4,'ESTACIÓN 1'!$AY$4)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yVal>
          <c:smooth val="0"/>
        </c:ser>
        <c:ser>
          <c:idx val="3"/>
          <c:order val="3"/>
          <c:tx>
            <c:v>5/13/15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1'!$E$5,'ESTACIÓN 1'!$G$5,'ESTACIÓN 1'!$I$5,'ESTACIÓN 1'!$K$5,'ESTACIÓN 1'!$M$5,'ESTACIÓN 1'!$O$5,'ESTACIÓN 1'!$Q$5,'ESTACIÓN 1'!$S$5,'ESTACIÓN 1'!$U$5,'ESTACIÓN 1'!$W$5,'ESTACIÓN 1'!$Y$5,'ESTACIÓN 1'!$AA$5,'ESTACIÓN 1'!$AC$5,'ESTACIÓN 1'!$AE$5,'ESTACIÓN 1'!$AG$5,'ESTACIÓN 1'!$AI$5,'ESTACIÓN 1'!$AK$5,'ESTACIÓN 1'!$AM$5,'ESTACIÓN 1'!$AO$5,'ESTACIÓN 1'!$AQ$5,'ESTACIÓN 1'!$AS$5,'ESTACIÓN 1'!$AU$5,'ESTACIÓN 1'!$AW$5,'ESTACIÓN 1'!$AY$5)</c:f>
              <c:numCache>
                <c:formatCode>General</c:formatCode>
                <c:ptCount val="24"/>
                <c:pt idx="0">
                  <c:v>-1.216302333333333</c:v>
                </c:pt>
                <c:pt idx="1">
                  <c:v>-1.0229665</c:v>
                </c:pt>
                <c:pt idx="2">
                  <c:v>-0.978942</c:v>
                </c:pt>
                <c:pt idx="3">
                  <c:v>-0.949220833333333</c:v>
                </c:pt>
                <c:pt idx="4">
                  <c:v>-0.933223666666667</c:v>
                </c:pt>
                <c:pt idx="5">
                  <c:v>-0.928080833333333</c:v>
                </c:pt>
                <c:pt idx="6">
                  <c:v>-0.954516833333333</c:v>
                </c:pt>
                <c:pt idx="7">
                  <c:v>-0.927177</c:v>
                </c:pt>
                <c:pt idx="8">
                  <c:v>-1.010426333333333</c:v>
                </c:pt>
                <c:pt idx="9">
                  <c:v>-1.096156666666667</c:v>
                </c:pt>
                <c:pt idx="10">
                  <c:v>-1.11253</c:v>
                </c:pt>
                <c:pt idx="11">
                  <c:v>-1.114703333333333</c:v>
                </c:pt>
                <c:pt idx="12">
                  <c:v>-1.114751666666667</c:v>
                </c:pt>
                <c:pt idx="13">
                  <c:v>-1.134953333333333</c:v>
                </c:pt>
                <c:pt idx="14">
                  <c:v>-1.169076666666667</c:v>
                </c:pt>
                <c:pt idx="15">
                  <c:v>-1.181491666666667</c:v>
                </c:pt>
                <c:pt idx="16">
                  <c:v>-1.200721666666667</c:v>
                </c:pt>
                <c:pt idx="17">
                  <c:v>-1.188533333333333</c:v>
                </c:pt>
                <c:pt idx="18">
                  <c:v>-1.188576666666667</c:v>
                </c:pt>
                <c:pt idx="19">
                  <c:v>-1.232678333333333</c:v>
                </c:pt>
                <c:pt idx="20">
                  <c:v>-1.663501666666667</c:v>
                </c:pt>
                <c:pt idx="21">
                  <c:v>-1.92494</c:v>
                </c:pt>
                <c:pt idx="22">
                  <c:v>-1.798951666666666</c:v>
                </c:pt>
                <c:pt idx="23">
                  <c:v>-1.560908333333334</c:v>
                </c:pt>
              </c:numCache>
            </c:numRef>
          </c:yVal>
          <c:smooth val="0"/>
        </c:ser>
        <c:ser>
          <c:idx val="4"/>
          <c:order val="4"/>
          <c:tx>
            <c:v>5/20/15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1'!$E$6,'ESTACIÓN 1'!$G$6,'ESTACIÓN 1'!$I$6,'ESTACIÓN 1'!$K$6,'ESTACIÓN 1'!$M$6,'ESTACIÓN 1'!$O$6,'ESTACIÓN 1'!$Q$6,'ESTACIÓN 1'!$S$6,'ESTACIÓN 1'!$U$6,'ESTACIÓN 1'!$W$6,'ESTACIÓN 1'!$Y$6,'ESTACIÓN 1'!$AA$6,'ESTACIÓN 1'!$AC$6,'ESTACIÓN 1'!$AE$6,'ESTACIÓN 1'!$AG$6,'ESTACIÓN 1'!$AI$6,'ESTACIÓN 1'!$AK$6,'ESTACIÓN 1'!$AM$6,'ESTACIÓN 1'!$AO$6,'ESTACIÓN 1'!$AQ$6,'ESTACIÓN 1'!$AS$6,'ESTACIÓN 1'!$AU$6,'ESTACIÓN 1'!$AW$6,'ESTACIÓN 1'!$AY$6)</c:f>
              <c:numCache>
                <c:formatCode>General</c:formatCode>
                <c:ptCount val="24"/>
                <c:pt idx="0">
                  <c:v>-1.347168333333333</c:v>
                </c:pt>
                <c:pt idx="1">
                  <c:v>-1.25799</c:v>
                </c:pt>
                <c:pt idx="2">
                  <c:v>-1.218161666666667</c:v>
                </c:pt>
                <c:pt idx="3">
                  <c:v>-1.193281666666667</c:v>
                </c:pt>
                <c:pt idx="4">
                  <c:v>-1.173376666666667</c:v>
                </c:pt>
                <c:pt idx="5">
                  <c:v>-1.167818333333333</c:v>
                </c:pt>
                <c:pt idx="6">
                  <c:v>-1.187598333333333</c:v>
                </c:pt>
                <c:pt idx="7">
                  <c:v>-1.12952</c:v>
                </c:pt>
                <c:pt idx="8">
                  <c:v>-1.146526666666667</c:v>
                </c:pt>
                <c:pt idx="9">
                  <c:v>-1.136605</c:v>
                </c:pt>
                <c:pt idx="10">
                  <c:v>-1.105305</c:v>
                </c:pt>
                <c:pt idx="11">
                  <c:v>-1.103515</c:v>
                </c:pt>
                <c:pt idx="12">
                  <c:v>-1.085916666666667</c:v>
                </c:pt>
                <c:pt idx="13">
                  <c:v>-1.095206666666667</c:v>
                </c:pt>
                <c:pt idx="14">
                  <c:v>-1.136141666666667</c:v>
                </c:pt>
                <c:pt idx="15">
                  <c:v>-1.152908333333333</c:v>
                </c:pt>
                <c:pt idx="16">
                  <c:v>-1.164681666666667</c:v>
                </c:pt>
                <c:pt idx="17">
                  <c:v>-1.154815</c:v>
                </c:pt>
                <c:pt idx="18">
                  <c:v>-1.148978333333333</c:v>
                </c:pt>
                <c:pt idx="19">
                  <c:v>-1.177776666666667</c:v>
                </c:pt>
                <c:pt idx="20">
                  <c:v>-1.570551666666666</c:v>
                </c:pt>
                <c:pt idx="21">
                  <c:v>-1.866318333333333</c:v>
                </c:pt>
                <c:pt idx="22">
                  <c:v>-1.756406666666667</c:v>
                </c:pt>
                <c:pt idx="23">
                  <c:v>-1.51354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24672"/>
        <c:axId val="2134127600"/>
      </c:scatterChart>
      <c:valAx>
        <c:axId val="213412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27600"/>
        <c:crosses val="autoZero"/>
        <c:crossBetween val="midCat"/>
      </c:valAx>
      <c:valAx>
        <c:axId val="213412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24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4/19/15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1'!$E$7,'ESTACIÓN 1'!$G$7,'ESTACIÓN 1'!$I$7,'ESTACIÓN 1'!$K$7,'ESTACIÓN 1'!$M$7,'ESTACIÓN 1'!$O$7,'ESTACIÓN 1'!$Q$7,'ESTACIÓN 1'!$S$7,'ESTACIÓN 1'!$U$7,'ESTACIÓN 1'!$W$7,'ESTACIÓN 1'!$Y$7,'ESTACIÓN 1'!$AA$7,'ESTACIÓN 1'!$AC$7,'ESTACIÓN 1'!$AE$7,'ESTACIÓN 1'!$AG$7,'ESTACIÓN 1'!$AI$7,'ESTACIÓN 1'!$AK$7,'ESTACIÓN 1'!$AM$7,'ESTACIÓN 1'!$AO$7,'ESTACIÓN 1'!$AQ$7,'ESTACIÓN 1'!$AS$7,'ESTACIÓN 1'!$AU$7,'ESTACIÓN 1'!$AW$7,'ESTACIÓN 1'!$AY$7)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yVal>
          <c:smooth val="0"/>
        </c:ser>
        <c:ser>
          <c:idx val="1"/>
          <c:order val="1"/>
          <c:tx>
            <c:v>4/26/15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1'!$E$8,'ESTACIÓN 1'!$G$8,'ESTACIÓN 1'!$I$8,'ESTACIÓN 1'!$K$8,'ESTACIÓN 1'!$M$8,'ESTACIÓN 1'!$O$8,'ESTACIÓN 1'!$Q$8,'ESTACIÓN 1'!$S$8,'ESTACIÓN 1'!$U$8,'ESTACIÓN 1'!$W$8,'ESTACIÓN 1'!$Y$8,'ESTACIÓN 1'!$AA$8,'ESTACIÓN 1'!$AC$8,'ESTACIÓN 1'!$AE$8,'ESTACIÓN 1'!$AG$8,'ESTACIÓN 1'!$AI$8,'ESTACIÓN 1'!$AK$8,'ESTACIÓN 1'!$AM$8,'ESTACIÓN 1'!$AO$8,'ESTACIÓN 1'!$AQ$8,'ESTACIÓN 1'!$AS$8,'ESTACIÓN 1'!$AU$8,'ESTACIÓN 1'!$AW$8,'ESTACIÓN 1'!$AY$8)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yVal>
          <c:smooth val="0"/>
        </c:ser>
        <c:ser>
          <c:idx val="2"/>
          <c:order val="2"/>
          <c:tx>
            <c:v>5/10/15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1'!$E$9,'ESTACIÓN 1'!$G$9,'ESTACIÓN 1'!$I$9,'ESTACIÓN 1'!$K$9,'ESTACIÓN 1'!$M$9,'ESTACIÓN 1'!$O$9,'ESTACIÓN 1'!$Q$9,'ESTACIÓN 1'!$S$9,'ESTACIÓN 1'!$U$9,'ESTACIÓN 1'!$W$9,'ESTACIÓN 1'!$Y$9,'ESTACIÓN 1'!$AA$9,'ESTACIÓN 1'!$AC$9,'ESTACIÓN 1'!$AE$9,'ESTACIÓN 1'!$AG$9,'ESTACIÓN 1'!$AI$9,'ESTACIÓN 1'!$AK$9,'ESTACIÓN 1'!$AM$9,'ESTACIÓN 1'!$AO$9,'ESTACIÓN 1'!$AQ$9,'ESTACIÓN 1'!$AS$9,'ESTACIÓN 1'!$AU$9,'ESTACIÓN 1'!$AW$9,'ESTACIÓN 1'!$AY$9)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yVal>
          <c:smooth val="0"/>
        </c:ser>
        <c:ser>
          <c:idx val="3"/>
          <c:order val="3"/>
          <c:tx>
            <c:v>5/17/15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1'!$E$10,'ESTACIÓN 1'!$G$10,'ESTACIÓN 1'!$I$10,'ESTACIÓN 1'!$K$10,'ESTACIÓN 1'!$M$10,'ESTACIÓN 1'!$O$10,'ESTACIÓN 1'!$Q$10,'ESTACIÓN 1'!$S$10,'ESTACIÓN 1'!$U$10,'ESTACIÓN 1'!$W$10,'ESTACIÓN 1'!$Y$10,'ESTACIÓN 1'!$AA$10,'ESTACIÓN 1'!$AC$10,'ESTACIÓN 1'!$AE$10,'ESTACIÓN 1'!$AG$10,'ESTACIÓN 1'!$AI$10,'ESTACIÓN 1'!$AK$10,'ESTACIÓN 1'!$AM$10,'ESTACIÓN 1'!$AO$10,'ESTACIÓN 1'!$AQ$10,'ESTACIÓN 1'!$AS$10,'ESTACIÓN 1'!$AU$10,'ESTACIÓN 1'!$AW$10,'ESTACIÓN 1'!$AY$10)</c:f>
              <c:numCache>
                <c:formatCode>General</c:formatCode>
                <c:ptCount val="24"/>
                <c:pt idx="0">
                  <c:v>-1.216302333333333</c:v>
                </c:pt>
                <c:pt idx="1">
                  <c:v>-1.0229665</c:v>
                </c:pt>
                <c:pt idx="2">
                  <c:v>-0.978942</c:v>
                </c:pt>
                <c:pt idx="3">
                  <c:v>-0.949220833333333</c:v>
                </c:pt>
                <c:pt idx="4">
                  <c:v>-0.933223666666667</c:v>
                </c:pt>
                <c:pt idx="5">
                  <c:v>-0.928080833333333</c:v>
                </c:pt>
                <c:pt idx="6">
                  <c:v>-0.954516833333333</c:v>
                </c:pt>
                <c:pt idx="7">
                  <c:v>-0.927177</c:v>
                </c:pt>
                <c:pt idx="8">
                  <c:v>-1.010426333333333</c:v>
                </c:pt>
                <c:pt idx="9">
                  <c:v>-1.096156666666667</c:v>
                </c:pt>
                <c:pt idx="10">
                  <c:v>-1.11253</c:v>
                </c:pt>
                <c:pt idx="11">
                  <c:v>-1.114703333333333</c:v>
                </c:pt>
                <c:pt idx="12">
                  <c:v>-1.114751666666667</c:v>
                </c:pt>
                <c:pt idx="13">
                  <c:v>-1.134953333333333</c:v>
                </c:pt>
                <c:pt idx="14">
                  <c:v>-1.169076666666667</c:v>
                </c:pt>
                <c:pt idx="15">
                  <c:v>-1.181491666666667</c:v>
                </c:pt>
                <c:pt idx="16">
                  <c:v>-1.200721666666667</c:v>
                </c:pt>
                <c:pt idx="17">
                  <c:v>-1.188533333333333</c:v>
                </c:pt>
                <c:pt idx="18">
                  <c:v>-1.188576666666667</c:v>
                </c:pt>
                <c:pt idx="19">
                  <c:v>-1.232678333333333</c:v>
                </c:pt>
                <c:pt idx="20">
                  <c:v>-1.663501666666667</c:v>
                </c:pt>
                <c:pt idx="21">
                  <c:v>-1.92494</c:v>
                </c:pt>
                <c:pt idx="22">
                  <c:v>-1.798951666666666</c:v>
                </c:pt>
                <c:pt idx="23">
                  <c:v>-1.560908333333334</c:v>
                </c:pt>
              </c:numCache>
            </c:numRef>
          </c:yVal>
          <c:smooth val="0"/>
        </c:ser>
        <c:ser>
          <c:idx val="4"/>
          <c:order val="4"/>
          <c:tx>
            <c:v>5/24/15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1'!$E$11,'ESTACIÓN 1'!$G$11,'ESTACIÓN 1'!$I$11,'ESTACIÓN 1'!$K$11,'ESTACIÓN 1'!$M$11,'ESTACIÓN 1'!$O$11,'ESTACIÓN 1'!$Q$11,'ESTACIÓN 1'!$S$11,'ESTACIÓN 1'!$U$11,'ESTACIÓN 1'!$W$11,'ESTACIÓN 1'!$Y$11,'ESTACIÓN 1'!$AA$11,'ESTACIÓN 1'!$AC$11,'ESTACIÓN 1'!$AE$11,'ESTACIÓN 1'!$AG$11,'ESTACIÓN 1'!$AI$11,'ESTACIÓN 1'!$AK$11,'ESTACIÓN 1'!$AM$11,'ESTACIÓN 1'!$AO$11,'ESTACIÓN 1'!$AQ$11,'ESTACIÓN 1'!$AS$11,'ESTACIÓN 1'!$AU$11,'ESTACIÓN 1'!$AW$11,'ESTACIÓN 1'!$AY$11)</c:f>
              <c:numCache>
                <c:formatCode>General</c:formatCode>
                <c:ptCount val="24"/>
                <c:pt idx="0">
                  <c:v>-1.347168333333333</c:v>
                </c:pt>
                <c:pt idx="1">
                  <c:v>-1.25799</c:v>
                </c:pt>
                <c:pt idx="2">
                  <c:v>-1.218161666666667</c:v>
                </c:pt>
                <c:pt idx="3">
                  <c:v>-1.193281666666667</c:v>
                </c:pt>
                <c:pt idx="4">
                  <c:v>-1.173376666666667</c:v>
                </c:pt>
                <c:pt idx="5">
                  <c:v>-1.167818333333333</c:v>
                </c:pt>
                <c:pt idx="6">
                  <c:v>-1.187598333333333</c:v>
                </c:pt>
                <c:pt idx="7">
                  <c:v>-1.12952</c:v>
                </c:pt>
                <c:pt idx="8">
                  <c:v>-1.146526666666667</c:v>
                </c:pt>
                <c:pt idx="9">
                  <c:v>-1.136605</c:v>
                </c:pt>
                <c:pt idx="10">
                  <c:v>-1.105305</c:v>
                </c:pt>
                <c:pt idx="11">
                  <c:v>-1.103515</c:v>
                </c:pt>
                <c:pt idx="12">
                  <c:v>-1.085916666666667</c:v>
                </c:pt>
                <c:pt idx="13">
                  <c:v>-1.095206666666667</c:v>
                </c:pt>
                <c:pt idx="14">
                  <c:v>-1.136141666666667</c:v>
                </c:pt>
                <c:pt idx="15">
                  <c:v>-1.152908333333333</c:v>
                </c:pt>
                <c:pt idx="16">
                  <c:v>-1.164681666666667</c:v>
                </c:pt>
                <c:pt idx="17">
                  <c:v>-1.154815</c:v>
                </c:pt>
                <c:pt idx="18">
                  <c:v>-1.148978333333333</c:v>
                </c:pt>
                <c:pt idx="19">
                  <c:v>-1.177776666666667</c:v>
                </c:pt>
                <c:pt idx="20">
                  <c:v>-1.570551666666666</c:v>
                </c:pt>
                <c:pt idx="21">
                  <c:v>-1.866318333333333</c:v>
                </c:pt>
                <c:pt idx="22">
                  <c:v>-1.756406666666667</c:v>
                </c:pt>
                <c:pt idx="23">
                  <c:v>-1.51354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958112"/>
        <c:axId val="-2047954992"/>
      </c:scatterChart>
      <c:valAx>
        <c:axId val="-20479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7954992"/>
        <c:crosses val="autoZero"/>
        <c:crossBetween val="midCat"/>
      </c:valAx>
      <c:valAx>
        <c:axId val="-204795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795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4/18/15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1'!$E$12,'ESTACIÓN 1'!$G$12,'ESTACIÓN 1'!$I$12,'ESTACIÓN 1'!$K$12,'ESTACIÓN 1'!$M$12,'ESTACIÓN 1'!$O$12,'ESTACIÓN 1'!$Q$12,'ESTACIÓN 1'!$S$12,'ESTACIÓN 1'!$U$12,'ESTACIÓN 1'!$W$12,'ESTACIÓN 1'!$Y$12,'ESTACIÓN 1'!$AA$12,'ESTACIÓN 1'!$AC$12,'ESTACIÓN 1'!$AE$12,'ESTACIÓN 1'!$AG$12,'ESTACIÓN 1'!$AI$12,'ESTACIÓN 1'!$AK$12,'ESTACIÓN 1'!$AM$12,'ESTACIÓN 1'!$AO$12,'ESTACIÓN 1'!$AQ$12,'ESTACIÓN 1'!$AS$12,'ESTACIÓN 1'!$AU$12,'ESTACIÓN 1'!$AW$12,'ESTACIÓN 1'!$AY$12)</c:f>
              <c:numCache>
                <c:formatCode>General</c:formatCode>
                <c:ptCount val="24"/>
                <c:pt idx="0">
                  <c:v>-1.167255</c:v>
                </c:pt>
                <c:pt idx="1">
                  <c:v>-1.08833</c:v>
                </c:pt>
                <c:pt idx="2">
                  <c:v>-1.0471</c:v>
                </c:pt>
                <c:pt idx="3">
                  <c:v>-1.019721666666667</c:v>
                </c:pt>
                <c:pt idx="4">
                  <c:v>-1.002709333333333</c:v>
                </c:pt>
                <c:pt idx="5">
                  <c:v>-1.004747</c:v>
                </c:pt>
                <c:pt idx="6">
                  <c:v>-1.049225</c:v>
                </c:pt>
                <c:pt idx="7">
                  <c:v>-1.03805</c:v>
                </c:pt>
                <c:pt idx="8">
                  <c:v>-0.9949925</c:v>
                </c:pt>
                <c:pt idx="9">
                  <c:v>-0.985847833333333</c:v>
                </c:pt>
                <c:pt idx="10">
                  <c:v>-0.954458833333333</c:v>
                </c:pt>
                <c:pt idx="11">
                  <c:v>-0.946845333333333</c:v>
                </c:pt>
                <c:pt idx="12">
                  <c:v>-0.961762333333333</c:v>
                </c:pt>
                <c:pt idx="13">
                  <c:v>-0.980889</c:v>
                </c:pt>
                <c:pt idx="14">
                  <c:v>-0.9304525</c:v>
                </c:pt>
                <c:pt idx="15">
                  <c:v>-1.03586</c:v>
                </c:pt>
                <c:pt idx="16">
                  <c:v>-0.9047965</c:v>
                </c:pt>
                <c:pt idx="17">
                  <c:v>-0.672608833333333</c:v>
                </c:pt>
                <c:pt idx="18">
                  <c:v>-0.6572865</c:v>
                </c:pt>
                <c:pt idx="19">
                  <c:v>-0.669928833333333</c:v>
                </c:pt>
                <c:pt idx="20">
                  <c:v>-1.4694565</c:v>
                </c:pt>
                <c:pt idx="21">
                  <c:v>-1.780991666666666</c:v>
                </c:pt>
                <c:pt idx="22">
                  <c:v>-1.61591</c:v>
                </c:pt>
                <c:pt idx="23">
                  <c:v>-1.383455</c:v>
                </c:pt>
              </c:numCache>
            </c:numRef>
          </c:yVal>
          <c:smooth val="0"/>
        </c:ser>
        <c:ser>
          <c:idx val="1"/>
          <c:order val="1"/>
          <c:tx>
            <c:v>4/25/15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1'!$E$13,'ESTACIÓN 1'!$G$13,'ESTACIÓN 1'!$I$13,'ESTACIÓN 1'!$K$13,'ESTACIÓN 1'!$M$13,'ESTACIÓN 1'!$O$13,'ESTACIÓN 1'!$Q$13,'ESTACIÓN 1'!$S$13,'ESTACIÓN 1'!$U$13,'ESTACIÓN 1'!$W$13,'ESTACIÓN 1'!$Y$13,'ESTACIÓN 1'!$AA$13,'ESTACIÓN 1'!$AC$13,'ESTACIÓN 1'!$AE$13,'ESTACIÓN 1'!$AG$13,'ESTACIÓN 1'!$AI$13,'ESTACIÓN 1'!$AK$13,'ESTACIÓN 1'!$AM$13,'ESTACIÓN 1'!$AO$13,'ESTACIÓN 1'!$AQ$13,'ESTACIÓN 1'!$AS$13,'ESTACIÓN 1'!$AU$13,'ESTACIÓN 1'!$AW$13,'ESTACIÓN 1'!$AY$13)</c:f>
              <c:numCache>
                <c:formatCode>General</c:formatCode>
                <c:ptCount val="24"/>
                <c:pt idx="0">
                  <c:v>-1.423638333333333</c:v>
                </c:pt>
                <c:pt idx="1">
                  <c:v>-1.332593333333333</c:v>
                </c:pt>
                <c:pt idx="2">
                  <c:v>-1.273666666666667</c:v>
                </c:pt>
                <c:pt idx="3">
                  <c:v>-1.232748333333333</c:v>
                </c:pt>
                <c:pt idx="4">
                  <c:v>-1.213475</c:v>
                </c:pt>
                <c:pt idx="5">
                  <c:v>-1.20403</c:v>
                </c:pt>
                <c:pt idx="6">
                  <c:v>-1.238563333333333</c:v>
                </c:pt>
                <c:pt idx="7">
                  <c:v>-1.093679666666667</c:v>
                </c:pt>
                <c:pt idx="8">
                  <c:v>-1.205173333333333</c:v>
                </c:pt>
                <c:pt idx="9">
                  <c:v>-1.179995</c:v>
                </c:pt>
                <c:pt idx="10">
                  <c:v>-1.157496666666667</c:v>
                </c:pt>
                <c:pt idx="11">
                  <c:v>-1.148898333333333</c:v>
                </c:pt>
                <c:pt idx="12">
                  <c:v>-1.173746666666667</c:v>
                </c:pt>
                <c:pt idx="13">
                  <c:v>-1.202678333333333</c:v>
                </c:pt>
                <c:pt idx="14">
                  <c:v>-1.20606</c:v>
                </c:pt>
                <c:pt idx="15">
                  <c:v>-1.22105</c:v>
                </c:pt>
                <c:pt idx="16">
                  <c:v>-1.136306666666667</c:v>
                </c:pt>
                <c:pt idx="17">
                  <c:v>-1.2273</c:v>
                </c:pt>
                <c:pt idx="18">
                  <c:v>-1.19643</c:v>
                </c:pt>
                <c:pt idx="19">
                  <c:v>-1.213581666666667</c:v>
                </c:pt>
                <c:pt idx="20">
                  <c:v>-1.719198333333333</c:v>
                </c:pt>
                <c:pt idx="21">
                  <c:v>-1.968111666666667</c:v>
                </c:pt>
                <c:pt idx="22">
                  <c:v>-1.821175</c:v>
                </c:pt>
                <c:pt idx="23">
                  <c:v>-1.566161666666667</c:v>
                </c:pt>
              </c:numCache>
            </c:numRef>
          </c:yVal>
          <c:smooth val="0"/>
        </c:ser>
        <c:ser>
          <c:idx val="2"/>
          <c:order val="2"/>
          <c:tx>
            <c:v>5/9/15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1'!$E$14,'ESTACIÓN 1'!$G$14,'ESTACIÓN 1'!$I$14,'ESTACIÓN 1'!$K$14,'ESTACIÓN 1'!$M$14,'ESTACIÓN 1'!$O$14,'ESTACIÓN 1'!$Q$14,'ESTACIÓN 1'!$S$14,'ESTACIÓN 1'!$U$14,'ESTACIÓN 1'!$W$14,'ESTACIÓN 1'!$Y$14,'ESTACIÓN 1'!$AA$14,'ESTACIÓN 1'!$AC$14,'ESTACIÓN 1'!$AE$14,'ESTACIÓN 1'!$AG$14,'ESTACIÓN 1'!$AI$14,'ESTACIÓN 1'!$AK$14,'ESTACIÓN 1'!$AM$14,'ESTACIÓN 1'!$AO$14,'ESTACIÓN 1'!$AQ$14,'ESTACIÓN 1'!$AS$14,'ESTACIÓN 1'!$AU$14,'ESTACIÓN 1'!$AW$14,'ESTACIÓN 1'!$AY$14)</c:f>
              <c:numCache>
                <c:formatCode>General</c:formatCode>
                <c:ptCount val="24"/>
                <c:pt idx="0">
                  <c:v>-1.416278333333334</c:v>
                </c:pt>
                <c:pt idx="1">
                  <c:v>-1.327696666666667</c:v>
                </c:pt>
                <c:pt idx="2">
                  <c:v>-1.280063333333333</c:v>
                </c:pt>
                <c:pt idx="3">
                  <c:v>-1.241751666666667</c:v>
                </c:pt>
                <c:pt idx="4">
                  <c:v>-1.214876666666667</c:v>
                </c:pt>
                <c:pt idx="5">
                  <c:v>-1.208456666666667</c:v>
                </c:pt>
                <c:pt idx="6">
                  <c:v>-1.253151666666667</c:v>
                </c:pt>
                <c:pt idx="7">
                  <c:v>-1.207773333333333</c:v>
                </c:pt>
                <c:pt idx="8">
                  <c:v>-1.205211666666667</c:v>
                </c:pt>
                <c:pt idx="9">
                  <c:v>-1.188771666666667</c:v>
                </c:pt>
                <c:pt idx="10">
                  <c:v>-1.162196666666667</c:v>
                </c:pt>
                <c:pt idx="11">
                  <c:v>-1.149918333333333</c:v>
                </c:pt>
                <c:pt idx="12">
                  <c:v>-1.13758</c:v>
                </c:pt>
                <c:pt idx="13">
                  <c:v>-1.168956666666667</c:v>
                </c:pt>
                <c:pt idx="14">
                  <c:v>-1.17246</c:v>
                </c:pt>
                <c:pt idx="15">
                  <c:v>-1.225596666666667</c:v>
                </c:pt>
                <c:pt idx="16">
                  <c:v>-1.23903</c:v>
                </c:pt>
                <c:pt idx="17">
                  <c:v>-1.223003333333333</c:v>
                </c:pt>
                <c:pt idx="18">
                  <c:v>-1.2027</c:v>
                </c:pt>
                <c:pt idx="19">
                  <c:v>-1.26842</c:v>
                </c:pt>
                <c:pt idx="20">
                  <c:v>-1.722416666666667</c:v>
                </c:pt>
                <c:pt idx="21">
                  <c:v>-1.991195</c:v>
                </c:pt>
                <c:pt idx="22">
                  <c:v>-1.868956666666667</c:v>
                </c:pt>
                <c:pt idx="23">
                  <c:v>-1.666326666666667</c:v>
                </c:pt>
              </c:numCache>
            </c:numRef>
          </c:yVal>
          <c:smooth val="0"/>
        </c:ser>
        <c:ser>
          <c:idx val="3"/>
          <c:order val="3"/>
          <c:tx>
            <c:v>5/16/15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1'!$E$15,'ESTACIÓN 1'!$G$15,'ESTACIÓN 1'!$I$15,'ESTACIÓN 1'!$K$15,'ESTACIÓN 1'!$M$15,'ESTACIÓN 1'!$O$15,'ESTACIÓN 1'!$Q$15,'ESTACIÓN 1'!$S$15,'ESTACIÓN 1'!$U$15,'ESTACIÓN 1'!$W$15,'ESTACIÓN 1'!$Y$15,'ESTACIÓN 1'!$AA$15,'ESTACIÓN 1'!$AC$15,'ESTACIÓN 1'!$AE$15,'ESTACIÓN 1'!$AG$15,'ESTACIÓN 1'!$AI$15,'ESTACIÓN 1'!$AK$15,'ESTACIÓN 1'!$AM$15,'ESTACIÓN 1'!$AO$15,'ESTACIÓN 1'!$AQ$15,'ESTACIÓN 1'!$AS$15,'ESTACIÓN 1'!$AU$15,'ESTACIÓN 1'!$AW$15,'ESTACIÓN 1'!$AY$15)</c:f>
              <c:numCache>
                <c:formatCode>General</c:formatCode>
                <c:ptCount val="24"/>
                <c:pt idx="0">
                  <c:v>-1.393741666666667</c:v>
                </c:pt>
                <c:pt idx="1">
                  <c:v>-1.313071666666667</c:v>
                </c:pt>
                <c:pt idx="2">
                  <c:v>-1.275418333333333</c:v>
                </c:pt>
                <c:pt idx="3">
                  <c:v>-1.246365</c:v>
                </c:pt>
                <c:pt idx="4">
                  <c:v>-1.233063333333333</c:v>
                </c:pt>
                <c:pt idx="5">
                  <c:v>-1.228965</c:v>
                </c:pt>
                <c:pt idx="6">
                  <c:v>-1.25665</c:v>
                </c:pt>
                <c:pt idx="7">
                  <c:v>-1.235115</c:v>
                </c:pt>
                <c:pt idx="8">
                  <c:v>-1.220283333333334</c:v>
                </c:pt>
                <c:pt idx="9">
                  <c:v>-1.20085</c:v>
                </c:pt>
                <c:pt idx="10">
                  <c:v>-1.164945</c:v>
                </c:pt>
                <c:pt idx="11">
                  <c:v>-1.144551666666667</c:v>
                </c:pt>
                <c:pt idx="12">
                  <c:v>-1.15122</c:v>
                </c:pt>
                <c:pt idx="13">
                  <c:v>-1.15946</c:v>
                </c:pt>
                <c:pt idx="14">
                  <c:v>-1.178583333333333</c:v>
                </c:pt>
                <c:pt idx="15">
                  <c:v>-1.18751</c:v>
                </c:pt>
                <c:pt idx="16">
                  <c:v>-1.197871666666667</c:v>
                </c:pt>
                <c:pt idx="17">
                  <c:v>-1.234121666666667</c:v>
                </c:pt>
                <c:pt idx="18">
                  <c:v>-1.271858333333333</c:v>
                </c:pt>
                <c:pt idx="19">
                  <c:v>-1.409666666666667</c:v>
                </c:pt>
                <c:pt idx="20">
                  <c:v>-1.74707</c:v>
                </c:pt>
                <c:pt idx="21">
                  <c:v>-1.838258333333333</c:v>
                </c:pt>
                <c:pt idx="22">
                  <c:v>-1.675915</c:v>
                </c:pt>
                <c:pt idx="23">
                  <c:v>-1.482338333333333</c:v>
                </c:pt>
              </c:numCache>
            </c:numRef>
          </c:yVal>
          <c:smooth val="0"/>
        </c:ser>
        <c:ser>
          <c:idx val="4"/>
          <c:order val="4"/>
          <c:tx>
            <c:v>5/23/15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1'!$E$16,'ESTACIÓN 1'!$G$16,'ESTACIÓN 1'!$I$16,'ESTACIÓN 1'!$K$16,'ESTACIÓN 1'!$M$16,'ESTACIÓN 1'!$O$16,'ESTACIÓN 1'!$Q$16,'ESTACIÓN 1'!$S$16,'ESTACIÓN 1'!$U$16,'ESTACIÓN 1'!$W$16,'ESTACIÓN 1'!$Y$16,'ESTACIÓN 1'!$AA$16,'ESTACIÓN 1'!$AC$16,'ESTACIÓN 1'!$AE$16,'ESTACIÓN 1'!$AG$16,'ESTACIÓN 1'!$AI$16,'ESTACIÓN 1'!$AK$16,'ESTACIÓN 1'!$AM$16,'ESTACIÓN 1'!$AO$16,'ESTACIÓN 1'!$AQ$16,'ESTACIÓN 1'!$AS$16,'ESTACIÓN 1'!$AU$16,'ESTACIÓN 1'!$AW$16,'ESTACIÓN 1'!$AY$16)</c:f>
              <c:numCache>
                <c:formatCode>General</c:formatCode>
                <c:ptCount val="24"/>
                <c:pt idx="0">
                  <c:v>-1.330253333333333</c:v>
                </c:pt>
                <c:pt idx="1">
                  <c:v>-1.245111666666667</c:v>
                </c:pt>
                <c:pt idx="2">
                  <c:v>-1.212273333333333</c:v>
                </c:pt>
                <c:pt idx="3">
                  <c:v>-1.192555</c:v>
                </c:pt>
                <c:pt idx="4">
                  <c:v>-1.17867</c:v>
                </c:pt>
                <c:pt idx="5">
                  <c:v>-1.161326666666667</c:v>
                </c:pt>
                <c:pt idx="6">
                  <c:v>-1.188731666666666</c:v>
                </c:pt>
                <c:pt idx="7">
                  <c:v>-1.211881666666667</c:v>
                </c:pt>
                <c:pt idx="8">
                  <c:v>-1.230773333333333</c:v>
                </c:pt>
                <c:pt idx="9">
                  <c:v>-1.215935</c:v>
                </c:pt>
                <c:pt idx="10">
                  <c:v>-1.11349</c:v>
                </c:pt>
                <c:pt idx="11">
                  <c:v>-1.057616666666667</c:v>
                </c:pt>
                <c:pt idx="12">
                  <c:v>-1.059781666666667</c:v>
                </c:pt>
                <c:pt idx="13">
                  <c:v>-1.077508333333333</c:v>
                </c:pt>
                <c:pt idx="14">
                  <c:v>-1.085945</c:v>
                </c:pt>
                <c:pt idx="15">
                  <c:v>-1.097713333333333</c:v>
                </c:pt>
                <c:pt idx="16">
                  <c:v>-1.104556666666666</c:v>
                </c:pt>
                <c:pt idx="17">
                  <c:v>-1.175158333333333</c:v>
                </c:pt>
                <c:pt idx="18">
                  <c:v>-1.18224</c:v>
                </c:pt>
                <c:pt idx="19">
                  <c:v>-1.229178333333333</c:v>
                </c:pt>
                <c:pt idx="20">
                  <c:v>-1.600791666666667</c:v>
                </c:pt>
                <c:pt idx="21">
                  <c:v>-1.82621</c:v>
                </c:pt>
                <c:pt idx="22">
                  <c:v>-1.69647</c:v>
                </c:pt>
                <c:pt idx="23">
                  <c:v>-1.4974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609264"/>
        <c:axId val="-2051606336"/>
      </c:scatterChart>
      <c:valAx>
        <c:axId val="-205160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606336"/>
        <c:crosses val="autoZero"/>
        <c:crossBetween val="midCat"/>
      </c:valAx>
      <c:valAx>
        <c:axId val="-205160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60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4/13/15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1'!$E$17,'ESTACIÓN 1'!$G$17,'ESTACIÓN 1'!$I$17,'ESTACIÓN 1'!$K$17,'ESTACIÓN 1'!$M$17,'ESTACIÓN 1'!$O$17,'ESTACIÓN 1'!$Q$17,'ESTACIÓN 1'!$S$17,'ESTACIÓN 1'!$U$17,'ESTACIÓN 1'!$W$17,'ESTACIÓN 1'!$Y$17,'ESTACIÓN 1'!$AA$17,'ESTACIÓN 1'!$AC$17,'ESTACIÓN 1'!$AE$17,'ESTACIÓN 1'!$AG$17,'ESTACIÓN 1'!$AI$17,'ESTACIÓN 1'!$AK$17,'ESTACIÓN 1'!$AM$17,'ESTACIÓN 1'!$AO$17,'ESTACIÓN 1'!$AQ$17,'ESTACIÓN 1'!$AS$17,'ESTACIÓN 1'!$AU$17,'ESTACIÓN 1'!$AW$17,'ESTACIÓN 1'!$AY$17)</c:f>
              <c:numCache>
                <c:formatCode>General</c:formatCode>
                <c:ptCount val="24"/>
                <c:pt idx="0">
                  <c:v>-1.164728333333333</c:v>
                </c:pt>
                <c:pt idx="1">
                  <c:v>-1.08787</c:v>
                </c:pt>
                <c:pt idx="2">
                  <c:v>-1.04859</c:v>
                </c:pt>
                <c:pt idx="3">
                  <c:v>-1.01887</c:v>
                </c:pt>
                <c:pt idx="4">
                  <c:v>-1.0029985</c:v>
                </c:pt>
                <c:pt idx="5">
                  <c:v>-1.0092395</c:v>
                </c:pt>
                <c:pt idx="6">
                  <c:v>-1.096466666666666</c:v>
                </c:pt>
                <c:pt idx="7">
                  <c:v>-1.16967</c:v>
                </c:pt>
                <c:pt idx="8">
                  <c:v>-1.055435</c:v>
                </c:pt>
                <c:pt idx="9">
                  <c:v>-0.994343666666667</c:v>
                </c:pt>
                <c:pt idx="10">
                  <c:v>-0.950245333333333</c:v>
                </c:pt>
                <c:pt idx="11">
                  <c:v>-0.946196833333333</c:v>
                </c:pt>
                <c:pt idx="12">
                  <c:v>-0.977655166666667</c:v>
                </c:pt>
                <c:pt idx="13">
                  <c:v>-1.02029</c:v>
                </c:pt>
                <c:pt idx="14">
                  <c:v>-1.043875</c:v>
                </c:pt>
                <c:pt idx="15">
                  <c:v>-1.055451666666667</c:v>
                </c:pt>
                <c:pt idx="16">
                  <c:v>-1.060565</c:v>
                </c:pt>
                <c:pt idx="17">
                  <c:v>-1.052203333333333</c:v>
                </c:pt>
                <c:pt idx="18">
                  <c:v>-1.019663333333333</c:v>
                </c:pt>
                <c:pt idx="19">
                  <c:v>-1.038559166666667</c:v>
                </c:pt>
                <c:pt idx="20">
                  <c:v>-1.559181666666667</c:v>
                </c:pt>
                <c:pt idx="21">
                  <c:v>-1.755238333333333</c:v>
                </c:pt>
                <c:pt idx="22">
                  <c:v>-1.633998333333333</c:v>
                </c:pt>
                <c:pt idx="23">
                  <c:v>-1.343435</c:v>
                </c:pt>
              </c:numCache>
            </c:numRef>
          </c:yVal>
          <c:smooth val="0"/>
        </c:ser>
        <c:ser>
          <c:idx val="1"/>
          <c:order val="1"/>
          <c:tx>
            <c:v>4/20/15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1'!$E$18,'ESTACIÓN 1'!$G$18,'ESTACIÓN 1'!$I$18,'ESTACIÓN 1'!$K$18,'ESTACIÓN 1'!$M$18,'ESTACIÓN 1'!$O$18,'ESTACIÓN 1'!$Q$18,'ESTACIÓN 1'!$S$18,'ESTACIÓN 1'!$U$18,'ESTACIÓN 1'!$W$18,'ESTACIÓN 1'!$Y$18,'ESTACIÓN 1'!$AA$18,'ESTACIÓN 1'!$AC$18,'ESTACIÓN 1'!$AE$18,'ESTACIÓN 1'!$AG$18,'ESTACIÓN 1'!$AI$18,'ESTACIÓN 1'!$AK$18,'ESTACIÓN 1'!$AM$18,'ESTACIÓN 1'!$AO$18,'ESTACIÓN 1'!$AQ$18,'ESTACIÓN 1'!$AS$18,'ESTACIÓN 1'!$AU$18,'ESTACIÓN 1'!$AW$18,'ESTACIÓN 1'!$AY$18)</c:f>
              <c:numCache>
                <c:formatCode>General</c:formatCode>
                <c:ptCount val="24"/>
                <c:pt idx="0">
                  <c:v>-1.141253333333333</c:v>
                </c:pt>
                <c:pt idx="1">
                  <c:v>-1.070463333333333</c:v>
                </c:pt>
                <c:pt idx="2">
                  <c:v>-1.037225</c:v>
                </c:pt>
                <c:pt idx="3">
                  <c:v>-1.012441666666667</c:v>
                </c:pt>
                <c:pt idx="4">
                  <c:v>-0.996079333333333</c:v>
                </c:pt>
                <c:pt idx="5">
                  <c:v>-1.0065565</c:v>
                </c:pt>
                <c:pt idx="6">
                  <c:v>-1.100875</c:v>
                </c:pt>
                <c:pt idx="7">
                  <c:v>-1.137768333333333</c:v>
                </c:pt>
                <c:pt idx="8">
                  <c:v>-1.027101666666667</c:v>
                </c:pt>
                <c:pt idx="9">
                  <c:v>-0.967441333333333</c:v>
                </c:pt>
                <c:pt idx="10">
                  <c:v>-0.935284</c:v>
                </c:pt>
                <c:pt idx="11">
                  <c:v>-0.942579333333333</c:v>
                </c:pt>
                <c:pt idx="12">
                  <c:v>-0.973780833333333</c:v>
                </c:pt>
                <c:pt idx="13">
                  <c:v>-1.032205</c:v>
                </c:pt>
                <c:pt idx="14">
                  <c:v>-1.054855</c:v>
                </c:pt>
                <c:pt idx="15">
                  <c:v>-1.068266666666667</c:v>
                </c:pt>
                <c:pt idx="16">
                  <c:v>-1.070306666666667</c:v>
                </c:pt>
                <c:pt idx="17">
                  <c:v>-1.068275</c:v>
                </c:pt>
                <c:pt idx="18">
                  <c:v>-1.042985</c:v>
                </c:pt>
                <c:pt idx="19">
                  <c:v>-1.051265</c:v>
                </c:pt>
                <c:pt idx="20">
                  <c:v>-1.457591666666666</c:v>
                </c:pt>
                <c:pt idx="21">
                  <c:v>-1.760736666666667</c:v>
                </c:pt>
                <c:pt idx="22">
                  <c:v>-1.633271666666666</c:v>
                </c:pt>
                <c:pt idx="23">
                  <c:v>-1.330578333333333</c:v>
                </c:pt>
              </c:numCache>
            </c:numRef>
          </c:yVal>
          <c:smooth val="0"/>
        </c:ser>
        <c:ser>
          <c:idx val="2"/>
          <c:order val="2"/>
          <c:tx>
            <c:v>5/4/15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1'!$E$19,'ESTACIÓN 1'!$G$19,'ESTACIÓN 1'!$I$19,'ESTACIÓN 1'!$K$19,'ESTACIÓN 1'!$M$19,'ESTACIÓN 1'!$O$19,'ESTACIÓN 1'!$Q$19,'ESTACIÓN 1'!$S$19,'ESTACIÓN 1'!$U$19,'ESTACIÓN 1'!$W$19,'ESTACIÓN 1'!$Y$19,'ESTACIÓN 1'!$AA$19,'ESTACIÓN 1'!$AC$19,'ESTACIÓN 1'!$AE$19,'ESTACIÓN 1'!$AG$19,'ESTACIÓN 1'!$AI$19,'ESTACIÓN 1'!$AK$19,'ESTACIÓN 1'!$AM$19,'ESTACIÓN 1'!$AO$19,'ESTACIÓN 1'!$AQ$19,'ESTACIÓN 1'!$AS$19,'ESTACIÓN 1'!$AU$19,'ESTACIÓN 1'!$AW$19,'ESTACIÓN 1'!$AY$19)</c:f>
              <c:numCache>
                <c:formatCode>General</c:formatCode>
                <c:ptCount val="24"/>
                <c:pt idx="0">
                  <c:v>-1.392355</c:v>
                </c:pt>
                <c:pt idx="1">
                  <c:v>-1.305111666666667</c:v>
                </c:pt>
                <c:pt idx="2">
                  <c:v>-1.250676666666666</c:v>
                </c:pt>
                <c:pt idx="3">
                  <c:v>-1.220631666666667</c:v>
                </c:pt>
                <c:pt idx="4">
                  <c:v>-1.200945</c:v>
                </c:pt>
                <c:pt idx="5">
                  <c:v>-1.197961666666667</c:v>
                </c:pt>
                <c:pt idx="6">
                  <c:v>-1.240095</c:v>
                </c:pt>
                <c:pt idx="7">
                  <c:v>-1.221378333333333</c:v>
                </c:pt>
                <c:pt idx="8">
                  <c:v>-1.218828333333333</c:v>
                </c:pt>
                <c:pt idx="9">
                  <c:v>-1.1841</c:v>
                </c:pt>
                <c:pt idx="10">
                  <c:v>-1.135891666666667</c:v>
                </c:pt>
                <c:pt idx="11">
                  <c:v>-1.117153333333333</c:v>
                </c:pt>
                <c:pt idx="12">
                  <c:v>-1.137091666666666</c:v>
                </c:pt>
                <c:pt idx="13">
                  <c:v>-1.18732</c:v>
                </c:pt>
                <c:pt idx="14">
                  <c:v>-1.196931666666666</c:v>
                </c:pt>
                <c:pt idx="15">
                  <c:v>-1.21734</c:v>
                </c:pt>
                <c:pt idx="16">
                  <c:v>-1.229846666666667</c:v>
                </c:pt>
                <c:pt idx="17">
                  <c:v>-1.22968</c:v>
                </c:pt>
                <c:pt idx="18">
                  <c:v>-1.20852</c:v>
                </c:pt>
                <c:pt idx="19">
                  <c:v>-1.244143333333333</c:v>
                </c:pt>
                <c:pt idx="20">
                  <c:v>-1.754741666666667</c:v>
                </c:pt>
                <c:pt idx="21">
                  <c:v>-2.008128333333334</c:v>
                </c:pt>
                <c:pt idx="22">
                  <c:v>-1.858491666666667</c:v>
                </c:pt>
                <c:pt idx="23">
                  <c:v>-1.546603333333333</c:v>
                </c:pt>
              </c:numCache>
            </c:numRef>
          </c:yVal>
          <c:smooth val="0"/>
        </c:ser>
        <c:ser>
          <c:idx val="3"/>
          <c:order val="3"/>
          <c:tx>
            <c:v>5/11/15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1'!$E$20,'ESTACIÓN 1'!$G$20,'ESTACIÓN 1'!$I$20,'ESTACIÓN 1'!$K$20,'ESTACIÓN 1'!$M$20,'ESTACIÓN 1'!$O$20,'ESTACIÓN 1'!$Q$20,'ESTACIÓN 1'!$S$20,'ESTACIÓN 1'!$U$20,'ESTACIÓN 1'!$W$20,'ESTACIÓN 1'!$Y$20,'ESTACIÓN 1'!$AA$20,'ESTACIÓN 1'!$AC$20,'ESTACIÓN 1'!$AE$20,'ESTACIÓN 1'!$AG$20,'ESTACIÓN 1'!$AI$20,'ESTACIÓN 1'!$AK$20,'ESTACIÓN 1'!$AM$20,'ESTACIÓN 1'!$AO$20,'ESTACIÓN 1'!$AQ$20,'ESTACIÓN 1'!$AS$20,'ESTACIÓN 1'!$AU$20,'ESTACIÓN 1'!$AW$20,'ESTACIÓN 1'!$AY$20)</c:f>
              <c:numCache>
                <c:formatCode>General</c:formatCode>
                <c:ptCount val="24"/>
                <c:pt idx="0">
                  <c:v>-1.436038333333333</c:v>
                </c:pt>
                <c:pt idx="1">
                  <c:v>-1.350461666666667</c:v>
                </c:pt>
                <c:pt idx="2">
                  <c:v>-1.279215</c:v>
                </c:pt>
                <c:pt idx="3">
                  <c:v>-1.247413333333333</c:v>
                </c:pt>
                <c:pt idx="4">
                  <c:v>-1.221156666666667</c:v>
                </c:pt>
                <c:pt idx="5">
                  <c:v>-1.219118333333333</c:v>
                </c:pt>
                <c:pt idx="6">
                  <c:v>-1.284833333333333</c:v>
                </c:pt>
                <c:pt idx="7">
                  <c:v>-1.281626666666667</c:v>
                </c:pt>
                <c:pt idx="8">
                  <c:v>-1.247181666666667</c:v>
                </c:pt>
                <c:pt idx="9">
                  <c:v>-1.206775</c:v>
                </c:pt>
                <c:pt idx="10">
                  <c:v>-1.173976666666667</c:v>
                </c:pt>
                <c:pt idx="11">
                  <c:v>-1.170998333333333</c:v>
                </c:pt>
                <c:pt idx="12">
                  <c:v>-1.18486</c:v>
                </c:pt>
                <c:pt idx="13">
                  <c:v>-1.222698333333333</c:v>
                </c:pt>
                <c:pt idx="14">
                  <c:v>-1.191819333333333</c:v>
                </c:pt>
                <c:pt idx="15">
                  <c:v>-1.250105</c:v>
                </c:pt>
                <c:pt idx="16">
                  <c:v>-1.26825</c:v>
                </c:pt>
                <c:pt idx="17">
                  <c:v>-1.267033333333333</c:v>
                </c:pt>
                <c:pt idx="18">
                  <c:v>-1.24813</c:v>
                </c:pt>
                <c:pt idx="19">
                  <c:v>-1.2962</c:v>
                </c:pt>
                <c:pt idx="20">
                  <c:v>-1.756855</c:v>
                </c:pt>
                <c:pt idx="21">
                  <c:v>-1.998128333333333</c:v>
                </c:pt>
                <c:pt idx="22">
                  <c:v>-1.883228333333333</c:v>
                </c:pt>
                <c:pt idx="23">
                  <c:v>-1.618771666666667</c:v>
                </c:pt>
              </c:numCache>
            </c:numRef>
          </c:yVal>
          <c:smooth val="0"/>
        </c:ser>
        <c:ser>
          <c:idx val="4"/>
          <c:order val="4"/>
          <c:tx>
            <c:v>5/18/15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1'!$E$21,'ESTACIÓN 1'!$G$21,'ESTACIÓN 1'!$I$21,'ESTACIÓN 1'!$K$21,'ESTACIÓN 1'!$M$21,'ESTACIÓN 1'!$O$21,'ESTACIÓN 1'!$Q$21,'ESTACIÓN 1'!$S$21,'ESTACIÓN 1'!$U$21,'ESTACIÓN 1'!$W$21,'ESTACIÓN 1'!$Y$21,'ESTACIÓN 1'!$AA$21,'ESTACIÓN 1'!$AC$21,'ESTACIÓN 1'!$AE$21,'ESTACIÓN 1'!$AG$21,'ESTACIÓN 1'!$AI$21,'ESTACIÓN 1'!$AK$21,'ESTACIÓN 1'!$AM$21,'ESTACIÓN 1'!$AO$21,'ESTACIÓN 1'!$AQ$21,'ESTACIÓN 1'!$AS$21,'ESTACIÓN 1'!$AU$21,'ESTACIÓN 1'!$AW$21,'ESTACIÓN 1'!$AY$21)</c:f>
              <c:numCache>
                <c:formatCode>General</c:formatCode>
                <c:ptCount val="24"/>
                <c:pt idx="0">
                  <c:v>-1.379395</c:v>
                </c:pt>
                <c:pt idx="1">
                  <c:v>-1.299638333333333</c:v>
                </c:pt>
                <c:pt idx="2">
                  <c:v>-1.268561666666667</c:v>
                </c:pt>
                <c:pt idx="3">
                  <c:v>-1.244171666666667</c:v>
                </c:pt>
                <c:pt idx="4">
                  <c:v>-1.233726666666667</c:v>
                </c:pt>
                <c:pt idx="5">
                  <c:v>-1.240535</c:v>
                </c:pt>
                <c:pt idx="6">
                  <c:v>-1.25818</c:v>
                </c:pt>
                <c:pt idx="8">
                  <c:v>-1.260843333333334</c:v>
                </c:pt>
                <c:pt idx="9">
                  <c:v>-1.194748333333333</c:v>
                </c:pt>
                <c:pt idx="10">
                  <c:v>-1.166825</c:v>
                </c:pt>
                <c:pt idx="11">
                  <c:v>-1.16065</c:v>
                </c:pt>
                <c:pt idx="12">
                  <c:v>-1.185208333333333</c:v>
                </c:pt>
                <c:pt idx="13">
                  <c:v>-1.192315</c:v>
                </c:pt>
                <c:pt idx="14">
                  <c:v>-1.251163333333333</c:v>
                </c:pt>
                <c:pt idx="15">
                  <c:v>-1.257553333333333</c:v>
                </c:pt>
                <c:pt idx="16">
                  <c:v>-1.281995</c:v>
                </c:pt>
                <c:pt idx="17">
                  <c:v>-1.266925</c:v>
                </c:pt>
                <c:pt idx="18">
                  <c:v>-1.239983333333333</c:v>
                </c:pt>
                <c:pt idx="19">
                  <c:v>-1.285855</c:v>
                </c:pt>
                <c:pt idx="20">
                  <c:v>-1.679946666666667</c:v>
                </c:pt>
                <c:pt idx="21">
                  <c:v>-1.95855</c:v>
                </c:pt>
                <c:pt idx="22">
                  <c:v>-1.822588333333333</c:v>
                </c:pt>
                <c:pt idx="23">
                  <c:v>-1.505193333333333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59728"/>
        <c:axId val="2133862656"/>
      </c:scatterChart>
      <c:valAx>
        <c:axId val="21338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2656"/>
        <c:crosses val="autoZero"/>
        <c:crossBetween val="midCat"/>
      </c:valAx>
      <c:valAx>
        <c:axId val="213386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5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4/17/15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1'!$E$22,'ESTACIÓN 1'!$G$22,'ESTACIÓN 1'!$I$22,'ESTACIÓN 1'!$K$22,'ESTACIÓN 1'!$M$22,'ESTACIÓN 1'!$O$22,'ESTACIÓN 1'!$Q$22,'ESTACIÓN 1'!$S$22,'ESTACIÓN 1'!$U$22,'ESTACIÓN 1'!$W$22,'ESTACIÓN 1'!$Y$22,'ESTACIÓN 1'!$AA$22,'ESTACIÓN 1'!$AC$22,'ESTACIÓN 1'!$AE$22,'ESTACIÓN 1'!$AG$22,'ESTACIÓN 1'!$AI$22,'ESTACIÓN 1'!$AK$22,'ESTACIÓN 1'!$AM$22,'ESTACIÓN 1'!$AO$22,'ESTACIÓN 1'!$AQ$22,'ESTACIÓN 1'!$AS$22,'ESTACIÓN 1'!$AU$22,'ESTACIÓN 1'!$AW$22,'ESTACIÓN 1'!$AY$22)</c:f>
              <c:numCache>
                <c:formatCode>General</c:formatCode>
                <c:ptCount val="24"/>
                <c:pt idx="0">
                  <c:v>-1.17236</c:v>
                </c:pt>
                <c:pt idx="1">
                  <c:v>-1.089555</c:v>
                </c:pt>
                <c:pt idx="2">
                  <c:v>-1.06098</c:v>
                </c:pt>
                <c:pt idx="3">
                  <c:v>-1.045656666666666</c:v>
                </c:pt>
                <c:pt idx="4">
                  <c:v>-1.030045</c:v>
                </c:pt>
                <c:pt idx="5">
                  <c:v>-1.030441666666667</c:v>
                </c:pt>
                <c:pt idx="6">
                  <c:v>-1.116988333333333</c:v>
                </c:pt>
                <c:pt idx="7">
                  <c:v>-1.147988333333333</c:v>
                </c:pt>
                <c:pt idx="8">
                  <c:v>-1.065791666666666</c:v>
                </c:pt>
                <c:pt idx="9">
                  <c:v>-0.991784666666666</c:v>
                </c:pt>
                <c:pt idx="10">
                  <c:v>-0.949778833333333</c:v>
                </c:pt>
                <c:pt idx="11">
                  <c:v>-0.947953833333333</c:v>
                </c:pt>
                <c:pt idx="12">
                  <c:v>-0.976528666666667</c:v>
                </c:pt>
                <c:pt idx="13">
                  <c:v>-1.021818333333333</c:v>
                </c:pt>
                <c:pt idx="14">
                  <c:v>-1.048311666666667</c:v>
                </c:pt>
                <c:pt idx="15">
                  <c:v>-1.069413333333333</c:v>
                </c:pt>
                <c:pt idx="16">
                  <c:v>-1.059276666666667</c:v>
                </c:pt>
                <c:pt idx="17">
                  <c:v>-1.048153333333333</c:v>
                </c:pt>
                <c:pt idx="18">
                  <c:v>-1.019231666666667</c:v>
                </c:pt>
                <c:pt idx="19">
                  <c:v>-1.0203495</c:v>
                </c:pt>
                <c:pt idx="20">
                  <c:v>-1.50946</c:v>
                </c:pt>
                <c:pt idx="21">
                  <c:v>-1.763725</c:v>
                </c:pt>
                <c:pt idx="22">
                  <c:v>-1.62397</c:v>
                </c:pt>
                <c:pt idx="23">
                  <c:v>-1.343943333333333</c:v>
                </c:pt>
              </c:numCache>
            </c:numRef>
          </c:yVal>
          <c:smooth val="0"/>
        </c:ser>
        <c:ser>
          <c:idx val="1"/>
          <c:order val="1"/>
          <c:tx>
            <c:v>4/24/15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1'!$E$23,'ESTACIÓN 1'!$G$23,'ESTACIÓN 1'!$I$23,'ESTACIÓN 1'!$K$23,'ESTACIÓN 1'!$M$23,'ESTACIÓN 1'!$O$23,'ESTACIÓN 1'!$Q$23,'ESTACIÓN 1'!$S$23,'ESTACIÓN 1'!$U$23,'ESTACIÓN 1'!$W$23,'ESTACIÓN 1'!$Y$23,'ESTACIÓN 1'!$AA$23,'ESTACIÓN 1'!$AC$23,'ESTACIÓN 1'!$AE$23,'ESTACIÓN 1'!$AG$23,'ESTACIÓN 1'!$AI$23,'ESTACIÓN 1'!$AK$23,'ESTACIÓN 1'!$AM$23,'ESTACIÓN 1'!$AO$23,'ESTACIÓN 1'!$AQ$23,'ESTACIÓN 1'!$AS$23,'ESTACIÓN 1'!$AU$23,'ESTACIÓN 1'!$AW$23,'ESTACIÓN 1'!$AY$23)</c:f>
              <c:numCache>
                <c:formatCode>General</c:formatCode>
                <c:ptCount val="24"/>
                <c:pt idx="0">
                  <c:v>-1.393343333333333</c:v>
                </c:pt>
                <c:pt idx="1">
                  <c:v>-1.298195</c:v>
                </c:pt>
                <c:pt idx="2">
                  <c:v>-1.265111666666667</c:v>
                </c:pt>
                <c:pt idx="3">
                  <c:v>-1.232513333333333</c:v>
                </c:pt>
                <c:pt idx="4">
                  <c:v>-1.212346666666667</c:v>
                </c:pt>
                <c:pt idx="5">
                  <c:v>-1.20634</c:v>
                </c:pt>
                <c:pt idx="6">
                  <c:v>-1.297046666666667</c:v>
                </c:pt>
                <c:pt idx="7">
                  <c:v>-1.315218333333333</c:v>
                </c:pt>
                <c:pt idx="8">
                  <c:v>-1.237238333333333</c:v>
                </c:pt>
                <c:pt idx="9">
                  <c:v>-1.166501666666667</c:v>
                </c:pt>
                <c:pt idx="10">
                  <c:v>-1.119873333333333</c:v>
                </c:pt>
                <c:pt idx="11">
                  <c:v>-1.123566666666667</c:v>
                </c:pt>
                <c:pt idx="12">
                  <c:v>-1.16522</c:v>
                </c:pt>
                <c:pt idx="13">
                  <c:v>-1.203838333333333</c:v>
                </c:pt>
                <c:pt idx="14">
                  <c:v>-1.227673333333333</c:v>
                </c:pt>
                <c:pt idx="15">
                  <c:v>-1.23992</c:v>
                </c:pt>
                <c:pt idx="16">
                  <c:v>-1.255048333333333</c:v>
                </c:pt>
                <c:pt idx="17">
                  <c:v>-1.250755</c:v>
                </c:pt>
                <c:pt idx="18">
                  <c:v>-1.218765</c:v>
                </c:pt>
                <c:pt idx="19">
                  <c:v>-1.243655</c:v>
                </c:pt>
                <c:pt idx="20">
                  <c:v>-1.779783333333333</c:v>
                </c:pt>
                <c:pt idx="21">
                  <c:v>-2.02729</c:v>
                </c:pt>
                <c:pt idx="22">
                  <c:v>-1.892403333333333</c:v>
                </c:pt>
                <c:pt idx="23">
                  <c:v>-1.61343</c:v>
                </c:pt>
              </c:numCache>
            </c:numRef>
          </c:yVal>
          <c:smooth val="0"/>
        </c:ser>
        <c:ser>
          <c:idx val="2"/>
          <c:order val="2"/>
          <c:tx>
            <c:v>5/8/15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1'!$E$24,'ESTACIÓN 1'!$G$24,'ESTACIÓN 1'!$I$24,'ESTACIÓN 1'!$K$24,'ESTACIÓN 1'!$M$24,'ESTACIÓN 1'!$O$24,'ESTACIÓN 1'!$Q$24,'ESTACIÓN 1'!$S$24,'ESTACIÓN 1'!$U$24,'ESTACIÓN 1'!$W$24,'ESTACIÓN 1'!$Y$24,'ESTACIÓN 1'!$AA$24,'ESTACIÓN 1'!$AC$24,'ESTACIÓN 1'!$AE$24,'ESTACIÓN 1'!$AG$24,'ESTACIÓN 1'!$AI$24,'ESTACIÓN 1'!$AK$24,'ESTACIÓN 1'!$AM$24,'ESTACIÓN 1'!$AO$24,'ESTACIÓN 1'!$AQ$24,'ESTACIÓN 1'!$AS$24,'ESTACIÓN 1'!$AU$24,'ESTACIÓN 1'!$AW$24,'ESTACIÓN 1'!$AY$24)</c:f>
              <c:numCache>
                <c:formatCode>General</c:formatCode>
                <c:ptCount val="24"/>
                <c:pt idx="0">
                  <c:v>-1.406886666666667</c:v>
                </c:pt>
                <c:pt idx="1">
                  <c:v>-1.314698333333333</c:v>
                </c:pt>
                <c:pt idx="2">
                  <c:v>-1.263518333333333</c:v>
                </c:pt>
                <c:pt idx="3">
                  <c:v>-1.233595</c:v>
                </c:pt>
                <c:pt idx="4">
                  <c:v>-1.213855</c:v>
                </c:pt>
                <c:pt idx="5">
                  <c:v>-1.216926666666666</c:v>
                </c:pt>
                <c:pt idx="6">
                  <c:v>-1.297135</c:v>
                </c:pt>
                <c:pt idx="7">
                  <c:v>-1.287293333333333</c:v>
                </c:pt>
                <c:pt idx="8">
                  <c:v>-1.241968333333333</c:v>
                </c:pt>
                <c:pt idx="9">
                  <c:v>-1.193118333333333</c:v>
                </c:pt>
                <c:pt idx="10">
                  <c:v>-1.148375</c:v>
                </c:pt>
                <c:pt idx="11">
                  <c:v>-1.140053333333333</c:v>
                </c:pt>
                <c:pt idx="12">
                  <c:v>-1.167186666666667</c:v>
                </c:pt>
                <c:pt idx="13">
                  <c:v>-1.208068333333333</c:v>
                </c:pt>
                <c:pt idx="14">
                  <c:v>-1.195621666666667</c:v>
                </c:pt>
                <c:pt idx="15">
                  <c:v>-1.20456</c:v>
                </c:pt>
                <c:pt idx="16">
                  <c:v>-1.265141666666667</c:v>
                </c:pt>
                <c:pt idx="17">
                  <c:v>-1.25835</c:v>
                </c:pt>
                <c:pt idx="18">
                  <c:v>-1.216626666666667</c:v>
                </c:pt>
                <c:pt idx="19">
                  <c:v>-1.237845</c:v>
                </c:pt>
                <c:pt idx="20">
                  <c:v>-1.714606666666667</c:v>
                </c:pt>
                <c:pt idx="21">
                  <c:v>-1.99142</c:v>
                </c:pt>
                <c:pt idx="22">
                  <c:v>-1.863061666666667</c:v>
                </c:pt>
                <c:pt idx="23">
                  <c:v>-1.59971</c:v>
                </c:pt>
              </c:numCache>
            </c:numRef>
          </c:yVal>
          <c:smooth val="0"/>
        </c:ser>
        <c:ser>
          <c:idx val="3"/>
          <c:order val="3"/>
          <c:tx>
            <c:v>5/15/15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1'!$E$25,'ESTACIÓN 1'!$G$25,'ESTACIÓN 1'!$I$25,'ESTACIÓN 1'!$K$25,'ESTACIÓN 1'!$M$25,'ESTACIÓN 1'!$O$25,'ESTACIÓN 1'!$Q$25,'ESTACIÓN 1'!$S$25,'ESTACIÓN 1'!$U$25,'ESTACIÓN 1'!$W$25,'ESTACIÓN 1'!$Y$25,'ESTACIÓN 1'!$AA$25,'ESTACIÓN 1'!$AC$25,'ESTACIÓN 1'!$AE$25,'ESTACIÓN 1'!$AG$25,'ESTACIÓN 1'!$AI$25,'ESTACIÓN 1'!$AK$25,'ESTACIÓN 1'!$AM$25,'ESTACIÓN 1'!$AO$25,'ESTACIÓN 1'!$AQ$25,'ESTACIÓN 1'!$AS$25,'ESTACIÓN 1'!$AU$25,'ESTACIÓN 1'!$AW$25,'ESTACIÓN 1'!$AY$25)</c:f>
              <c:numCache>
                <c:formatCode>General</c:formatCode>
                <c:ptCount val="24"/>
                <c:pt idx="0">
                  <c:v>-1.38399</c:v>
                </c:pt>
                <c:pt idx="1">
                  <c:v>-1.317368333333333</c:v>
                </c:pt>
                <c:pt idx="2">
                  <c:v>-1.275575</c:v>
                </c:pt>
                <c:pt idx="3">
                  <c:v>-1.251291666666667</c:v>
                </c:pt>
                <c:pt idx="4">
                  <c:v>-1.22841</c:v>
                </c:pt>
                <c:pt idx="5">
                  <c:v>-1.223456666666667</c:v>
                </c:pt>
                <c:pt idx="6">
                  <c:v>-1.262238333333333</c:v>
                </c:pt>
                <c:pt idx="7">
                  <c:v>-1.257683333333333</c:v>
                </c:pt>
                <c:pt idx="8">
                  <c:v>-1.275758333333334</c:v>
                </c:pt>
                <c:pt idx="9">
                  <c:v>-1.246536666666667</c:v>
                </c:pt>
                <c:pt idx="10">
                  <c:v>-1.210211666666667</c:v>
                </c:pt>
                <c:pt idx="11">
                  <c:v>-1.18131</c:v>
                </c:pt>
                <c:pt idx="12">
                  <c:v>-1.17616</c:v>
                </c:pt>
                <c:pt idx="13">
                  <c:v>-1.205615</c:v>
                </c:pt>
                <c:pt idx="14">
                  <c:v>-1.213031666666667</c:v>
                </c:pt>
                <c:pt idx="15">
                  <c:v>-1.236516666666667</c:v>
                </c:pt>
                <c:pt idx="16">
                  <c:v>-1.260506666666666</c:v>
                </c:pt>
                <c:pt idx="17">
                  <c:v>-1.263735</c:v>
                </c:pt>
                <c:pt idx="18">
                  <c:v>-1.228651666666667</c:v>
                </c:pt>
                <c:pt idx="19">
                  <c:v>-1.319441666666667</c:v>
                </c:pt>
                <c:pt idx="20">
                  <c:v>-1.729036666666666</c:v>
                </c:pt>
                <c:pt idx="21">
                  <c:v>-1.911356666666667</c:v>
                </c:pt>
                <c:pt idx="22">
                  <c:v>-1.77463</c:v>
                </c:pt>
                <c:pt idx="23">
                  <c:v>-1.538671666666667</c:v>
                </c:pt>
              </c:numCache>
            </c:numRef>
          </c:yVal>
          <c:smooth val="0"/>
        </c:ser>
        <c:ser>
          <c:idx val="4"/>
          <c:order val="4"/>
          <c:tx>
            <c:v>5/22/15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1'!$E$26,'ESTACIÓN 1'!$G$26,'ESTACIÓN 1'!$I$26,'ESTACIÓN 1'!$K$26,'ESTACIÓN 1'!$M$26,'ESTACIÓN 1'!$O$26,'ESTACIÓN 1'!$Q$26,'ESTACIÓN 1'!$S$26,'ESTACIÓN 1'!$U$26,'ESTACIÓN 1'!$W$26,'ESTACIÓN 1'!$Y$26,'ESTACIÓN 1'!$AA$26,'ESTACIÓN 1'!$AC$26,'ESTACIÓN 1'!$AE$26,'ESTACIÓN 1'!$AG$26,'ESTACIÓN 1'!$AI$26,'ESTACIÓN 1'!$AK$26,'ESTACIÓN 1'!$AM$26,'ESTACIÓN 1'!$AO$26,'ESTACIÓN 1'!$AQ$26,'ESTACIÓN 1'!$AS$26,'ESTACIÓN 1'!$AU$26,'ESTACIÓN 1'!$AW$26,'ESTACIÓN 1'!$AY$26)</c:f>
              <c:numCache>
                <c:formatCode>General</c:formatCode>
                <c:ptCount val="24"/>
                <c:pt idx="0">
                  <c:v>-1.355025</c:v>
                </c:pt>
                <c:pt idx="1">
                  <c:v>-1.269856666666667</c:v>
                </c:pt>
                <c:pt idx="2">
                  <c:v>-1.2422</c:v>
                </c:pt>
                <c:pt idx="3">
                  <c:v>-1.223375</c:v>
                </c:pt>
                <c:pt idx="4">
                  <c:v>-1.215628333333333</c:v>
                </c:pt>
                <c:pt idx="5">
                  <c:v>-1.221238333333333</c:v>
                </c:pt>
                <c:pt idx="6">
                  <c:v>-1.284751666666667</c:v>
                </c:pt>
                <c:pt idx="7">
                  <c:v>-1.326635</c:v>
                </c:pt>
                <c:pt idx="8">
                  <c:v>-1.310656666666667</c:v>
                </c:pt>
                <c:pt idx="9">
                  <c:v>-1.234943333333333</c:v>
                </c:pt>
                <c:pt idx="10">
                  <c:v>-1.166661666666667</c:v>
                </c:pt>
                <c:pt idx="11">
                  <c:v>-1.127385</c:v>
                </c:pt>
                <c:pt idx="12">
                  <c:v>-1.132676666666667</c:v>
                </c:pt>
                <c:pt idx="13">
                  <c:v>-1.141518333333333</c:v>
                </c:pt>
                <c:pt idx="14">
                  <c:v>-1.143066666666666</c:v>
                </c:pt>
                <c:pt idx="15">
                  <c:v>-1.165378333333333</c:v>
                </c:pt>
                <c:pt idx="16">
                  <c:v>-1.191571666666667</c:v>
                </c:pt>
                <c:pt idx="17">
                  <c:v>-1.197481666666666</c:v>
                </c:pt>
                <c:pt idx="18">
                  <c:v>-1.170818333333333</c:v>
                </c:pt>
                <c:pt idx="19">
                  <c:v>-1.206393333333333</c:v>
                </c:pt>
                <c:pt idx="20">
                  <c:v>-1.64882</c:v>
                </c:pt>
                <c:pt idx="21">
                  <c:v>-1.8874</c:v>
                </c:pt>
                <c:pt idx="22">
                  <c:v>-1.745025</c:v>
                </c:pt>
                <c:pt idx="23">
                  <c:v>-1.494005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74256"/>
        <c:axId val="-2051317392"/>
      </c:scatterChart>
      <c:valAx>
        <c:axId val="21338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317392"/>
        <c:crosses val="autoZero"/>
        <c:crossBetween val="midCat"/>
      </c:valAx>
      <c:valAx>
        <c:axId val="-205131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7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4/15/15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1'!$E$27,'ESTACIÓN 1'!$G$27,'ESTACIÓN 1'!$I$27,'ESTACIÓN 1'!$K$27,'ESTACIÓN 1'!$M$27,'ESTACIÓN 1'!$O$27,'ESTACIÓN 1'!$Q$27,'ESTACIÓN 1'!$S$27,'ESTACIÓN 1'!$U$27,'ESTACIÓN 1'!$W$27,'ESTACIÓN 1'!$Y$27,'ESTACIÓN 1'!$AA$27,'ESTACIÓN 1'!$AC$27,'ESTACIÓN 1'!$AE$27,'ESTACIÓN 1'!$AG$27,'ESTACIÓN 1'!$AI$27,'ESTACIÓN 1'!$AK$27,'ESTACIÓN 1'!$AM$27,'ESTACIÓN 1'!$AO$27,'ESTACIÓN 1'!$AQ$27,'ESTACIÓN 1'!$AS$27,'ESTACIÓN 1'!$AU$27,'ESTACIÓN 1'!$AW$27,'ESTACIÓN 1'!$AY$27)</c:f>
              <c:numCache>
                <c:formatCode>General</c:formatCode>
                <c:ptCount val="24"/>
                <c:pt idx="0">
                  <c:v>-1.176586666666667</c:v>
                </c:pt>
                <c:pt idx="1">
                  <c:v>-1.09438</c:v>
                </c:pt>
                <c:pt idx="2">
                  <c:v>-1.057583333333333</c:v>
                </c:pt>
                <c:pt idx="3">
                  <c:v>-1.038045</c:v>
                </c:pt>
                <c:pt idx="4">
                  <c:v>-1.027018333333333</c:v>
                </c:pt>
                <c:pt idx="5">
                  <c:v>-1.029218333333334</c:v>
                </c:pt>
                <c:pt idx="6">
                  <c:v>-1.130305</c:v>
                </c:pt>
                <c:pt idx="7">
                  <c:v>-1.195955</c:v>
                </c:pt>
                <c:pt idx="8">
                  <c:v>-1.06377</c:v>
                </c:pt>
                <c:pt idx="9">
                  <c:v>-0.985124</c:v>
                </c:pt>
                <c:pt idx="10">
                  <c:v>-0.952985666666666</c:v>
                </c:pt>
                <c:pt idx="11">
                  <c:v>-0.962611</c:v>
                </c:pt>
                <c:pt idx="12">
                  <c:v>-0.997316333333333</c:v>
                </c:pt>
                <c:pt idx="13">
                  <c:v>-1.038255</c:v>
                </c:pt>
                <c:pt idx="14">
                  <c:v>-1.078126666666666</c:v>
                </c:pt>
                <c:pt idx="15">
                  <c:v>-1.101115</c:v>
                </c:pt>
                <c:pt idx="16">
                  <c:v>-1.097356666666667</c:v>
                </c:pt>
                <c:pt idx="17">
                  <c:v>-1.098488333333333</c:v>
                </c:pt>
                <c:pt idx="18">
                  <c:v>-1.078516666666667</c:v>
                </c:pt>
                <c:pt idx="19">
                  <c:v>-1.075825</c:v>
                </c:pt>
                <c:pt idx="20">
                  <c:v>-1.581381666666667</c:v>
                </c:pt>
                <c:pt idx="21">
                  <c:v>-1.821918333333333</c:v>
                </c:pt>
                <c:pt idx="22">
                  <c:v>-1.689966666666667</c:v>
                </c:pt>
                <c:pt idx="23">
                  <c:v>-1.382465</c:v>
                </c:pt>
              </c:numCache>
            </c:numRef>
          </c:yVal>
          <c:smooth val="0"/>
        </c:ser>
        <c:ser>
          <c:idx val="1"/>
          <c:order val="1"/>
          <c:tx>
            <c:v>4/22/15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1'!$E$28,'ESTACIÓN 1'!$G$28,'ESTACIÓN 1'!$I$28,'ESTACIÓN 1'!$K$28,'ESTACIÓN 1'!$M$28,'ESTACIÓN 1'!$O$28,'ESTACIÓN 1'!$Q$28,'ESTACIÓN 1'!$S$28,'ESTACIÓN 1'!$U$28,'ESTACIÓN 1'!$W$28,'ESTACIÓN 1'!$Y$28,'ESTACIÓN 1'!$AA$28,'ESTACIÓN 1'!$AC$28,'ESTACIÓN 1'!$AE$28,'ESTACIÓN 1'!$AG$28,'ESTACIÓN 1'!$AI$28,'ESTACIÓN 1'!$AK$28,'ESTACIÓN 1'!$AM$28,'ESTACIÓN 1'!$AO$28,'ESTACIÓN 1'!$AQ$28,'ESTACIÓN 1'!$AS$28,'ESTACIÓN 1'!$AU$28,'ESTACIÓN 1'!$AW$28,'ESTACIÓN 1'!$AY$28)</c:f>
              <c:numCache>
                <c:formatCode>General</c:formatCode>
                <c:ptCount val="24"/>
                <c:pt idx="0">
                  <c:v>-1.158156666666667</c:v>
                </c:pt>
                <c:pt idx="1">
                  <c:v>-1.074096666666666</c:v>
                </c:pt>
                <c:pt idx="2">
                  <c:v>-1.039916666666667</c:v>
                </c:pt>
                <c:pt idx="3">
                  <c:v>-1.024723333333333</c:v>
                </c:pt>
                <c:pt idx="4">
                  <c:v>-1.012558333333333</c:v>
                </c:pt>
                <c:pt idx="5">
                  <c:v>-1.019761666666667</c:v>
                </c:pt>
                <c:pt idx="6">
                  <c:v>-1.12422</c:v>
                </c:pt>
                <c:pt idx="7">
                  <c:v>-1.174441666666667</c:v>
                </c:pt>
                <c:pt idx="8">
                  <c:v>-1.07802</c:v>
                </c:pt>
                <c:pt idx="9">
                  <c:v>-1.006654</c:v>
                </c:pt>
                <c:pt idx="10">
                  <c:v>-0.955986833333333</c:v>
                </c:pt>
                <c:pt idx="11">
                  <c:v>-0.955502666666667</c:v>
                </c:pt>
                <c:pt idx="12">
                  <c:v>-0.992663333333333</c:v>
                </c:pt>
                <c:pt idx="13">
                  <c:v>-1.038121666666667</c:v>
                </c:pt>
                <c:pt idx="14">
                  <c:v>-1.07018</c:v>
                </c:pt>
                <c:pt idx="15">
                  <c:v>-1.09117</c:v>
                </c:pt>
                <c:pt idx="16">
                  <c:v>-1.09022</c:v>
                </c:pt>
                <c:pt idx="17">
                  <c:v>-1.077368333333333</c:v>
                </c:pt>
                <c:pt idx="18">
                  <c:v>-1.049626666666667</c:v>
                </c:pt>
                <c:pt idx="19">
                  <c:v>-1.073746666666667</c:v>
                </c:pt>
                <c:pt idx="20">
                  <c:v>-1.579611666666667</c:v>
                </c:pt>
                <c:pt idx="21">
                  <c:v>-1.811503333333333</c:v>
                </c:pt>
                <c:pt idx="22">
                  <c:v>-1.654873333333333</c:v>
                </c:pt>
                <c:pt idx="23">
                  <c:v>-1.367513333333333</c:v>
                </c:pt>
              </c:numCache>
            </c:numRef>
          </c:yVal>
          <c:smooth val="0"/>
        </c:ser>
        <c:ser>
          <c:idx val="2"/>
          <c:order val="2"/>
          <c:tx>
            <c:v>5/6/15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1'!$E$29,'ESTACIÓN 1'!$G$29,'ESTACIÓN 1'!$I$29,'ESTACIÓN 1'!$K$29,'ESTACIÓN 1'!$M$29,'ESTACIÓN 1'!$O$29,'ESTACIÓN 1'!$Q$29,'ESTACIÓN 1'!$S$29,'ESTACIÓN 1'!$U$29,'ESTACIÓN 1'!$W$29,'ESTACIÓN 1'!$Y$29,'ESTACIÓN 1'!$AA$29,'ESTACIÓN 1'!$AC$29,'ESTACIÓN 1'!$AE$29,'ESTACIÓN 1'!$AG$29,'ESTACIÓN 1'!$AI$29,'ESTACIÓN 1'!$AK$29,'ESTACIÓN 1'!$AM$29,'ESTACIÓN 1'!$AO$29,'ESTACIÓN 1'!$AQ$29,'ESTACIÓN 1'!$AS$29,'ESTACIÓN 1'!$AU$29,'ESTACIÓN 1'!$AW$29,'ESTACIÓN 1'!$AY$29)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3"/>
          <c:order val="3"/>
          <c:tx>
            <c:v>5/13/15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1'!$E$30,'ESTACIÓN 1'!$G$30,'ESTACIÓN 1'!$I$30,'ESTACIÓN 1'!$K$30,'ESTACIÓN 1'!$M$30,'ESTACIÓN 1'!$O$30,'ESTACIÓN 1'!$Q$30,'ESTACIÓN 1'!$S$30,'ESTACIÓN 1'!$U$30,'ESTACIÓN 1'!$W$30,'ESTACIÓN 1'!$Y$30,'ESTACIÓN 1'!$AA$30,'ESTACIÓN 1'!$AC$30,'ESTACIÓN 1'!$AE$30,'ESTACIÓN 1'!$AG$30,'ESTACIÓN 1'!$AI$30,'ESTACIÓN 1'!$AK$30,'ESTACIÓN 1'!$AM$30,'ESTACIÓN 1'!$AO$30,'ESTACIÓN 1'!$AQ$30,'ESTACIÓN 1'!$AS$30,'ESTACIÓN 1'!$AU$30,'ESTACIÓN 1'!$AW$30,'ESTACIÓN 1'!$AY$30)</c:f>
              <c:numCache>
                <c:formatCode>General</c:formatCode>
                <c:ptCount val="24"/>
                <c:pt idx="0">
                  <c:v>-1.350873333333333</c:v>
                </c:pt>
                <c:pt idx="1">
                  <c:v>-1.27243</c:v>
                </c:pt>
                <c:pt idx="2">
                  <c:v>-1.240318333333333</c:v>
                </c:pt>
                <c:pt idx="3">
                  <c:v>-1.223391666666667</c:v>
                </c:pt>
                <c:pt idx="4">
                  <c:v>-1.209228333333333</c:v>
                </c:pt>
                <c:pt idx="5">
                  <c:v>-1.209995</c:v>
                </c:pt>
                <c:pt idx="6">
                  <c:v>-1.288936666666667</c:v>
                </c:pt>
                <c:pt idx="7">
                  <c:v>-1.306295</c:v>
                </c:pt>
                <c:pt idx="8">
                  <c:v>-1.287766666666667</c:v>
                </c:pt>
                <c:pt idx="9">
                  <c:v>-1.20375</c:v>
                </c:pt>
                <c:pt idx="10">
                  <c:v>-1.15541</c:v>
                </c:pt>
                <c:pt idx="11">
                  <c:v>-1.158711666666667</c:v>
                </c:pt>
                <c:pt idx="12">
                  <c:v>-1.185755</c:v>
                </c:pt>
                <c:pt idx="13">
                  <c:v>-1.214661666666667</c:v>
                </c:pt>
                <c:pt idx="14">
                  <c:v>-1.246641666666667</c:v>
                </c:pt>
                <c:pt idx="15">
                  <c:v>-1.262545</c:v>
                </c:pt>
                <c:pt idx="16">
                  <c:v>-1.257896666666667</c:v>
                </c:pt>
                <c:pt idx="17">
                  <c:v>-1.273731666666666</c:v>
                </c:pt>
                <c:pt idx="18">
                  <c:v>-1.245076666666667</c:v>
                </c:pt>
                <c:pt idx="19">
                  <c:v>-1.310751666666667</c:v>
                </c:pt>
                <c:pt idx="20">
                  <c:v>-1.781173333333333</c:v>
                </c:pt>
                <c:pt idx="21">
                  <c:v>-1.995881666666666</c:v>
                </c:pt>
                <c:pt idx="22">
                  <c:v>-1.875298333333333</c:v>
                </c:pt>
                <c:pt idx="23">
                  <c:v>-1.636183333333333</c:v>
                </c:pt>
              </c:numCache>
            </c:numRef>
          </c:yVal>
          <c:smooth val="0"/>
        </c:ser>
        <c:ser>
          <c:idx val="4"/>
          <c:order val="4"/>
          <c:tx>
            <c:v>5/20/15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1'!$E$31,'ESTACIÓN 1'!$G$31,'ESTACIÓN 1'!$I$31,'ESTACIÓN 1'!$K$31,'ESTACIÓN 1'!$M$31,'ESTACIÓN 1'!$O$31,'ESTACIÓN 1'!$Q$31,'ESTACIÓN 1'!$S$31,'ESTACIÓN 1'!$U$31,'ESTACIÓN 1'!$W$31,'ESTACIÓN 1'!$Y$31,'ESTACIÓN 1'!$AA$31,'ESTACIÓN 1'!$AC$31,'ESTACIÓN 1'!$AE$31,'ESTACIÓN 1'!$AG$31,'ESTACIÓN 1'!$AI$31,'ESTACIÓN 1'!$AK$31,'ESTACIÓN 1'!$AM$31,'ESTACIÓN 1'!$AO$31,'ESTACIÓN 1'!$AQ$31,'ESTACIÓN 1'!$AS$31,'ESTACIÓN 1'!$AU$31,'ESTACIÓN 1'!$AW$31,'ESTACIÓN 1'!$AY$31)</c:f>
              <c:numCache>
                <c:formatCode>General</c:formatCode>
                <c:ptCount val="24"/>
                <c:pt idx="0">
                  <c:v>-1.398096666666666</c:v>
                </c:pt>
                <c:pt idx="1">
                  <c:v>-1.324245</c:v>
                </c:pt>
                <c:pt idx="2">
                  <c:v>-1.289866666666666</c:v>
                </c:pt>
                <c:pt idx="3">
                  <c:v>-1.260205</c:v>
                </c:pt>
                <c:pt idx="4">
                  <c:v>-1.249481666666667</c:v>
                </c:pt>
                <c:pt idx="5">
                  <c:v>-1.250103333333333</c:v>
                </c:pt>
                <c:pt idx="6">
                  <c:v>-1.350366666666666</c:v>
                </c:pt>
                <c:pt idx="7">
                  <c:v>-1.337861666666667</c:v>
                </c:pt>
                <c:pt idx="8">
                  <c:v>-1.313906666666667</c:v>
                </c:pt>
                <c:pt idx="9">
                  <c:v>-1.217545</c:v>
                </c:pt>
                <c:pt idx="10">
                  <c:v>-1.164756666666667</c:v>
                </c:pt>
                <c:pt idx="11">
                  <c:v>-1.15924</c:v>
                </c:pt>
                <c:pt idx="12">
                  <c:v>-1.17876</c:v>
                </c:pt>
                <c:pt idx="13">
                  <c:v>-1.21246</c:v>
                </c:pt>
                <c:pt idx="14">
                  <c:v>-1.23279</c:v>
                </c:pt>
                <c:pt idx="15">
                  <c:v>-1.228043333333333</c:v>
                </c:pt>
                <c:pt idx="16">
                  <c:v>-1.231181666666667</c:v>
                </c:pt>
                <c:pt idx="17">
                  <c:v>-1.237918333333333</c:v>
                </c:pt>
                <c:pt idx="18">
                  <c:v>-1.209926666666667</c:v>
                </c:pt>
                <c:pt idx="19">
                  <c:v>-1.231426666666666</c:v>
                </c:pt>
                <c:pt idx="20">
                  <c:v>-1.592595</c:v>
                </c:pt>
                <c:pt idx="21">
                  <c:v>-1.918368333333333</c:v>
                </c:pt>
                <c:pt idx="22">
                  <c:v>-1.778958333333333</c:v>
                </c:pt>
                <c:pt idx="23">
                  <c:v>-1.48707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536016"/>
        <c:axId val="-2051533088"/>
      </c:scatterChart>
      <c:valAx>
        <c:axId val="-205153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533088"/>
        <c:crosses val="autoZero"/>
        <c:crossBetween val="midCat"/>
      </c:valAx>
      <c:valAx>
        <c:axId val="-20515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53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4/19/15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1'!$E$32,'ESTACIÓN 1'!$G$32,'ESTACIÓN 1'!$I$32,'ESTACIÓN 1'!$K$32,'ESTACIÓN 1'!$M$32,'ESTACIÓN 1'!$O$32,'ESTACIÓN 1'!$Q$32,'ESTACIÓN 1'!$S$32,'ESTACIÓN 1'!$U$32,'ESTACIÓN 1'!$W$32,'ESTACIÓN 1'!$Y$32,'ESTACIÓN 1'!$AA$32,'ESTACIÓN 1'!$AC$32,'ESTACIÓN 1'!$AE$32,'ESTACIÓN 1'!$AG$32,'ESTACIÓN 1'!$AI$32,'ESTACIÓN 1'!$AK$32,'ESTACIÓN 1'!$AM$32,'ESTACIÓN 1'!$AO$32,'ESTACIÓN 1'!$AQ$32,'ESTACIÓN 1'!$AS$32,'ESTACIÓN 1'!$AU$32,'ESTACIÓN 1'!$AW$32,'ESTACIÓN 1'!$AY$32)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yVal>
          <c:smooth val="0"/>
        </c:ser>
        <c:ser>
          <c:idx val="1"/>
          <c:order val="1"/>
          <c:tx>
            <c:v>4/26/15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1'!$E$33,'ESTACIÓN 1'!$G$33,'ESTACIÓN 1'!$I$33,'ESTACIÓN 1'!$K$33,'ESTACIÓN 1'!$M$33,'ESTACIÓN 1'!$O$33,'ESTACIÓN 1'!$Q$33,'ESTACIÓN 1'!$S$33,'ESTACIÓN 1'!$U$33,'ESTACIÓN 1'!$W$33,'ESTACIÓN 1'!$Y$33,'ESTACIÓN 1'!$AA$33,'ESTACIÓN 1'!$AC$33,'ESTACIÓN 1'!$AE$33,'ESTACIÓN 1'!$AG$33,'ESTACIÓN 1'!$AI$33,'ESTACIÓN 1'!$AK$33,'ESTACIÓN 1'!$AM$33,'ESTACIÓN 1'!$AO$33,'ESTACIÓN 1'!$AQ$33,'ESTACIÓN 1'!$AS$33,'ESTACIÓN 1'!$AU$33,'ESTACIÓN 1'!$AW$33,'ESTACIÓN 1'!$AY$33)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yVal>
          <c:smooth val="0"/>
        </c:ser>
        <c:ser>
          <c:idx val="2"/>
          <c:order val="2"/>
          <c:tx>
            <c:v>5/10/15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1'!$E$34,'ESTACIÓN 1'!$G$34,'ESTACIÓN 1'!$I$34,'ESTACIÓN 1'!$K$34,'ESTACIÓN 1'!$M$34,'ESTACIÓN 1'!$O$34,'ESTACIÓN 1'!$Q$34,'ESTACIÓN 1'!$S$34,'ESTACIÓN 1'!$U$34,'ESTACIÓN 1'!$W$34,'ESTACIÓN 1'!$Y$34,'ESTACIÓN 1'!$AA$34,'ESTACIÓN 1'!$AC$34,'ESTACIÓN 1'!$AE$34,'ESTACIÓN 1'!$AG$34,'ESTACIÓN 1'!$AI$34,'ESTACIÓN 1'!$AK$34,'ESTACIÓN 1'!$AM$34,'ESTACIÓN 1'!$AO$34,'ESTACIÓN 1'!$AQ$34,'ESTACIÓN 1'!$AS$34,'ESTACIÓN 1'!$AU$34,'ESTACIÓN 1'!$AW$34,'ESTACIÓN 1'!$AY$34)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yVal>
          <c:smooth val="0"/>
        </c:ser>
        <c:ser>
          <c:idx val="3"/>
          <c:order val="3"/>
          <c:tx>
            <c:v>5/17/15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1'!$E$35,'ESTACIÓN 1'!$G$35,'ESTACIÓN 1'!$I$35,'ESTACIÓN 1'!$K$35,'ESTACIÓN 1'!$M$35,'ESTACIÓN 1'!$O$35,'ESTACIÓN 1'!$Q$35,'ESTACIÓN 1'!$S$35,'ESTACIÓN 1'!$U$35,'ESTACIÓN 1'!$W$35,'ESTACIÓN 1'!$Y$35,'ESTACIÓN 1'!$AA$35,'ESTACIÓN 1'!$AC$35,'ESTACIÓN 1'!$AE$35,'ESTACIÓN 1'!$AG$35,'ESTACIÓN 1'!$AI$35,'ESTACIÓN 1'!$AK$35,'ESTACIÓN 1'!$AM$35,'ESTACIÓN 1'!$AO$35,'ESTACIÓN 1'!$AQ$35,'ESTACIÓN 1'!$AS$35,'ESTACIÓN 1'!$AU$35,'ESTACIÓN 1'!$AW$35,'ESTACIÓN 1'!$AY$35)</c:f>
              <c:numCache>
                <c:formatCode>General</c:formatCode>
                <c:ptCount val="24"/>
                <c:pt idx="0">
                  <c:v>-1.216302333333333</c:v>
                </c:pt>
                <c:pt idx="1">
                  <c:v>-1.0229665</c:v>
                </c:pt>
                <c:pt idx="2">
                  <c:v>-0.978942</c:v>
                </c:pt>
                <c:pt idx="3">
                  <c:v>-0.949220833333333</c:v>
                </c:pt>
                <c:pt idx="4">
                  <c:v>-0.933223666666667</c:v>
                </c:pt>
                <c:pt idx="5">
                  <c:v>-0.928080833333333</c:v>
                </c:pt>
                <c:pt idx="6">
                  <c:v>-0.954516833333333</c:v>
                </c:pt>
                <c:pt idx="7">
                  <c:v>-0.927177</c:v>
                </c:pt>
                <c:pt idx="8">
                  <c:v>-1.010426333333333</c:v>
                </c:pt>
                <c:pt idx="9">
                  <c:v>-1.096156666666667</c:v>
                </c:pt>
                <c:pt idx="10">
                  <c:v>-1.11253</c:v>
                </c:pt>
                <c:pt idx="11">
                  <c:v>-1.114703333333333</c:v>
                </c:pt>
                <c:pt idx="12">
                  <c:v>-1.114751666666667</c:v>
                </c:pt>
                <c:pt idx="13">
                  <c:v>-1.134953333333333</c:v>
                </c:pt>
                <c:pt idx="14">
                  <c:v>-1.169076666666667</c:v>
                </c:pt>
                <c:pt idx="15">
                  <c:v>-1.181491666666667</c:v>
                </c:pt>
                <c:pt idx="16">
                  <c:v>-1.200721666666667</c:v>
                </c:pt>
                <c:pt idx="17">
                  <c:v>-1.188533333333333</c:v>
                </c:pt>
                <c:pt idx="18">
                  <c:v>-1.188576666666667</c:v>
                </c:pt>
                <c:pt idx="19">
                  <c:v>-1.232678333333333</c:v>
                </c:pt>
                <c:pt idx="20">
                  <c:v>-1.663501666666667</c:v>
                </c:pt>
                <c:pt idx="21">
                  <c:v>-1.92494</c:v>
                </c:pt>
                <c:pt idx="22">
                  <c:v>-1.798951666666666</c:v>
                </c:pt>
                <c:pt idx="23">
                  <c:v>-1.560908333333334</c:v>
                </c:pt>
              </c:numCache>
            </c:numRef>
          </c:yVal>
          <c:smooth val="0"/>
        </c:ser>
        <c:ser>
          <c:idx val="4"/>
          <c:order val="4"/>
          <c:tx>
            <c:v>5/24/15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1'!$E$36,'ESTACIÓN 1'!$G$36,'ESTACIÓN 1'!$I$36,'ESTACIÓN 1'!$K$36,'ESTACIÓN 1'!$M$36,'ESTACIÓN 1'!$O$36,'ESTACIÓN 1'!$Q$36,'ESTACIÓN 1'!$S$36,'ESTACIÓN 1'!$U$36,'ESTACIÓN 1'!$W$36,'ESTACIÓN 1'!$Y$36,'ESTACIÓN 1'!$AA$36,'ESTACIÓN 1'!$AC$36,'ESTACIÓN 1'!$AE$36,'ESTACIÓN 1'!$AG$36,'ESTACIÓN 1'!$AI$36,'ESTACIÓN 1'!$AK$36,'ESTACIÓN 1'!$AM$36,'ESTACIÓN 1'!$AO$36,'ESTACIÓN 1'!$AQ$36,'ESTACIÓN 1'!$AS$36,'ESTACIÓN 1'!$AU$36,'ESTACIÓN 1'!$AW$36,'ESTACIÓN 1'!$AY$36)</c:f>
              <c:numCache>
                <c:formatCode>General</c:formatCode>
                <c:ptCount val="24"/>
                <c:pt idx="0">
                  <c:v>-1.347168333333333</c:v>
                </c:pt>
                <c:pt idx="1">
                  <c:v>-1.25799</c:v>
                </c:pt>
                <c:pt idx="2">
                  <c:v>-1.218161666666667</c:v>
                </c:pt>
                <c:pt idx="3">
                  <c:v>-1.193281666666667</c:v>
                </c:pt>
                <c:pt idx="4">
                  <c:v>-1.173376666666667</c:v>
                </c:pt>
                <c:pt idx="5">
                  <c:v>-1.167818333333333</c:v>
                </c:pt>
                <c:pt idx="6">
                  <c:v>-1.187598333333333</c:v>
                </c:pt>
                <c:pt idx="7">
                  <c:v>-1.12952</c:v>
                </c:pt>
                <c:pt idx="8">
                  <c:v>-1.146526666666667</c:v>
                </c:pt>
                <c:pt idx="9">
                  <c:v>-1.136605</c:v>
                </c:pt>
                <c:pt idx="10">
                  <c:v>-1.105305</c:v>
                </c:pt>
                <c:pt idx="11">
                  <c:v>-1.103515</c:v>
                </c:pt>
                <c:pt idx="12">
                  <c:v>-1.085916666666667</c:v>
                </c:pt>
                <c:pt idx="13">
                  <c:v>-1.095206666666667</c:v>
                </c:pt>
                <c:pt idx="14">
                  <c:v>-1.136141666666667</c:v>
                </c:pt>
                <c:pt idx="15">
                  <c:v>-1.152908333333333</c:v>
                </c:pt>
                <c:pt idx="16">
                  <c:v>-1.164681666666667</c:v>
                </c:pt>
                <c:pt idx="17">
                  <c:v>-1.154815</c:v>
                </c:pt>
                <c:pt idx="18">
                  <c:v>-1.148978333333333</c:v>
                </c:pt>
                <c:pt idx="19">
                  <c:v>-1.177776666666667</c:v>
                </c:pt>
                <c:pt idx="20">
                  <c:v>-1.570551666666666</c:v>
                </c:pt>
                <c:pt idx="21">
                  <c:v>-1.866318333333333</c:v>
                </c:pt>
                <c:pt idx="22">
                  <c:v>-1.756406666666667</c:v>
                </c:pt>
                <c:pt idx="23">
                  <c:v>-1.51354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94400"/>
        <c:axId val="-2048897520"/>
      </c:scatterChart>
      <c:valAx>
        <c:axId val="-204889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8897520"/>
        <c:crosses val="autoZero"/>
        <c:crossBetween val="midCat"/>
      </c:valAx>
      <c:valAx>
        <c:axId val="-204889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889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4/18/15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1'!$E$37,'ESTACIÓN 1'!$G$37,'ESTACIÓN 1'!$I$37,'ESTACIÓN 1'!$K$37,'ESTACIÓN 1'!$M$37,'ESTACIÓN 1'!$O$37,'ESTACIÓN 1'!$Q$37,'ESTACIÓN 1'!$S$37,'ESTACIÓN 1'!$U$37,'ESTACIÓN 1'!$W$37,'ESTACIÓN 1'!$Y$37,'ESTACIÓN 1'!$AA$37,'ESTACIÓN 1'!$AC$37,'ESTACIÓN 1'!$AE$37,'ESTACIÓN 1'!$AG$37,'ESTACIÓN 1'!$AI$37,'ESTACIÓN 1'!$AK$37,'ESTACIÓN 1'!$AM$37,'ESTACIÓN 1'!$AO$37,'ESTACIÓN 1'!$AQ$37,'ESTACIÓN 1'!$AS$37,'ESTACIÓN 1'!$AU$37,'ESTACIÓN 1'!$AW$37,'ESTACIÓN 1'!$AY$37)</c:f>
              <c:numCache>
                <c:formatCode>General</c:formatCode>
                <c:ptCount val="24"/>
                <c:pt idx="0">
                  <c:v>-1.167255</c:v>
                </c:pt>
                <c:pt idx="1">
                  <c:v>-1.08833</c:v>
                </c:pt>
                <c:pt idx="2">
                  <c:v>-1.0471</c:v>
                </c:pt>
                <c:pt idx="3">
                  <c:v>-1.019721666666667</c:v>
                </c:pt>
                <c:pt idx="4">
                  <c:v>-1.002709333333333</c:v>
                </c:pt>
                <c:pt idx="5">
                  <c:v>-1.004747</c:v>
                </c:pt>
                <c:pt idx="6">
                  <c:v>-1.049225</c:v>
                </c:pt>
                <c:pt idx="7">
                  <c:v>-1.03805</c:v>
                </c:pt>
                <c:pt idx="8">
                  <c:v>-0.9949925</c:v>
                </c:pt>
                <c:pt idx="9">
                  <c:v>-0.985847833333333</c:v>
                </c:pt>
                <c:pt idx="10">
                  <c:v>-0.954458833333333</c:v>
                </c:pt>
                <c:pt idx="11">
                  <c:v>-0.946845333333333</c:v>
                </c:pt>
                <c:pt idx="12">
                  <c:v>-0.961762333333333</c:v>
                </c:pt>
                <c:pt idx="13">
                  <c:v>-0.980889</c:v>
                </c:pt>
                <c:pt idx="14">
                  <c:v>-0.9304525</c:v>
                </c:pt>
                <c:pt idx="15">
                  <c:v>-1.03586</c:v>
                </c:pt>
                <c:pt idx="16">
                  <c:v>-0.9047965</c:v>
                </c:pt>
                <c:pt idx="17">
                  <c:v>-0.672608833333333</c:v>
                </c:pt>
                <c:pt idx="18">
                  <c:v>-0.6572865</c:v>
                </c:pt>
                <c:pt idx="19">
                  <c:v>-0.669928833333333</c:v>
                </c:pt>
                <c:pt idx="20">
                  <c:v>-1.4694565</c:v>
                </c:pt>
                <c:pt idx="21">
                  <c:v>-1.780991666666666</c:v>
                </c:pt>
                <c:pt idx="22">
                  <c:v>-1.61591</c:v>
                </c:pt>
                <c:pt idx="23">
                  <c:v>-1.383455</c:v>
                </c:pt>
              </c:numCache>
            </c:numRef>
          </c:yVal>
          <c:smooth val="0"/>
        </c:ser>
        <c:ser>
          <c:idx val="1"/>
          <c:order val="1"/>
          <c:tx>
            <c:v>4/25/15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1'!$E$38,'ESTACIÓN 1'!$G$38,'ESTACIÓN 1'!$I$38,'ESTACIÓN 1'!$K$38,'ESTACIÓN 1'!$M$38,'ESTACIÓN 1'!$O$38,'ESTACIÓN 1'!$Q$38,'ESTACIÓN 1'!$S$38,'ESTACIÓN 1'!$U$38,'ESTACIÓN 1'!$W$38,'ESTACIÓN 1'!$Y$38,'ESTACIÓN 1'!$AA$38,'ESTACIÓN 1'!$AC$38,'ESTACIÓN 1'!$AE$38,'ESTACIÓN 1'!$AG$38,'ESTACIÓN 1'!$AI$38,'ESTACIÓN 1'!$AK$38,'ESTACIÓN 1'!$AM$38,'ESTACIÓN 1'!$AO$38,'ESTACIÓN 1'!$AQ$38,'ESTACIÓN 1'!$AS$38,'ESTACIÓN 1'!$AU$38,'ESTACIÓN 1'!$AW$38,'ESTACIÓN 1'!$AY$38)</c:f>
              <c:numCache>
                <c:formatCode>General</c:formatCode>
                <c:ptCount val="24"/>
                <c:pt idx="0">
                  <c:v>-1.423638333333333</c:v>
                </c:pt>
                <c:pt idx="1">
                  <c:v>-1.332593333333333</c:v>
                </c:pt>
                <c:pt idx="2">
                  <c:v>-1.273666666666667</c:v>
                </c:pt>
                <c:pt idx="3">
                  <c:v>-1.232748333333333</c:v>
                </c:pt>
                <c:pt idx="4">
                  <c:v>-1.213475</c:v>
                </c:pt>
                <c:pt idx="5">
                  <c:v>-1.20403</c:v>
                </c:pt>
                <c:pt idx="6">
                  <c:v>-1.238563333333333</c:v>
                </c:pt>
                <c:pt idx="7">
                  <c:v>-1.093679666666667</c:v>
                </c:pt>
                <c:pt idx="8">
                  <c:v>-1.205173333333333</c:v>
                </c:pt>
                <c:pt idx="9">
                  <c:v>-1.179995</c:v>
                </c:pt>
                <c:pt idx="10">
                  <c:v>-1.157496666666667</c:v>
                </c:pt>
                <c:pt idx="11">
                  <c:v>-1.148898333333333</c:v>
                </c:pt>
                <c:pt idx="12">
                  <c:v>-1.173746666666667</c:v>
                </c:pt>
                <c:pt idx="13">
                  <c:v>-1.202678333333333</c:v>
                </c:pt>
                <c:pt idx="14">
                  <c:v>-1.20606</c:v>
                </c:pt>
                <c:pt idx="15">
                  <c:v>-1.22105</c:v>
                </c:pt>
                <c:pt idx="16">
                  <c:v>-1.136306666666667</c:v>
                </c:pt>
                <c:pt idx="17">
                  <c:v>-1.2273</c:v>
                </c:pt>
                <c:pt idx="18">
                  <c:v>-1.19643</c:v>
                </c:pt>
                <c:pt idx="19">
                  <c:v>-1.213581666666667</c:v>
                </c:pt>
                <c:pt idx="20">
                  <c:v>-1.719198333333333</c:v>
                </c:pt>
                <c:pt idx="21">
                  <c:v>-1.968111666666667</c:v>
                </c:pt>
                <c:pt idx="22">
                  <c:v>-1.821175</c:v>
                </c:pt>
                <c:pt idx="23">
                  <c:v>-1.566161666666667</c:v>
                </c:pt>
              </c:numCache>
            </c:numRef>
          </c:yVal>
          <c:smooth val="0"/>
        </c:ser>
        <c:ser>
          <c:idx val="2"/>
          <c:order val="2"/>
          <c:tx>
            <c:v>5/9/15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1'!$E$39,'ESTACIÓN 1'!$G$39,'ESTACIÓN 1'!$I$39,'ESTACIÓN 1'!$K$39,'ESTACIÓN 1'!$M$39,'ESTACIÓN 1'!$O$39,'ESTACIÓN 1'!$Q$39,'ESTACIÓN 1'!$S$39,'ESTACIÓN 1'!$U$39,'ESTACIÓN 1'!$W$39,'ESTACIÓN 1'!$Y$39,'ESTACIÓN 1'!$AA$39,'ESTACIÓN 1'!$AC$39,'ESTACIÓN 1'!$AE$39,'ESTACIÓN 1'!$AG$39,'ESTACIÓN 1'!$AI$39,'ESTACIÓN 1'!$AK$39,'ESTACIÓN 1'!$AM$39,'ESTACIÓN 1'!$AO$39,'ESTACIÓN 1'!$AQ$39,'ESTACIÓN 1'!$AS$39,'ESTACIÓN 1'!$AU$39,'ESTACIÓN 1'!$AW$39,'ESTACIÓN 1'!$AY$39)</c:f>
              <c:numCache>
                <c:formatCode>General</c:formatCode>
                <c:ptCount val="24"/>
                <c:pt idx="0">
                  <c:v>-1.416278333333334</c:v>
                </c:pt>
                <c:pt idx="1">
                  <c:v>-1.327696666666667</c:v>
                </c:pt>
                <c:pt idx="2">
                  <c:v>-1.280063333333333</c:v>
                </c:pt>
                <c:pt idx="3">
                  <c:v>-1.241751666666667</c:v>
                </c:pt>
                <c:pt idx="4">
                  <c:v>-1.214876666666667</c:v>
                </c:pt>
                <c:pt idx="5">
                  <c:v>-1.208456666666667</c:v>
                </c:pt>
                <c:pt idx="6">
                  <c:v>-1.253151666666667</c:v>
                </c:pt>
                <c:pt idx="7">
                  <c:v>-1.207773333333333</c:v>
                </c:pt>
                <c:pt idx="8">
                  <c:v>-1.205211666666667</c:v>
                </c:pt>
                <c:pt idx="9">
                  <c:v>-1.188771666666667</c:v>
                </c:pt>
                <c:pt idx="10">
                  <c:v>-1.162196666666667</c:v>
                </c:pt>
                <c:pt idx="11">
                  <c:v>-1.149918333333333</c:v>
                </c:pt>
                <c:pt idx="12">
                  <c:v>-1.13758</c:v>
                </c:pt>
                <c:pt idx="13">
                  <c:v>-1.168956666666667</c:v>
                </c:pt>
                <c:pt idx="14">
                  <c:v>-1.17246</c:v>
                </c:pt>
                <c:pt idx="15">
                  <c:v>-1.225596666666667</c:v>
                </c:pt>
                <c:pt idx="16">
                  <c:v>-1.23903</c:v>
                </c:pt>
                <c:pt idx="17">
                  <c:v>-1.223003333333333</c:v>
                </c:pt>
                <c:pt idx="18">
                  <c:v>-1.2027</c:v>
                </c:pt>
                <c:pt idx="19">
                  <c:v>-1.26842</c:v>
                </c:pt>
                <c:pt idx="20">
                  <c:v>-1.722416666666667</c:v>
                </c:pt>
                <c:pt idx="21">
                  <c:v>-1.991195</c:v>
                </c:pt>
                <c:pt idx="22">
                  <c:v>-1.868956666666667</c:v>
                </c:pt>
                <c:pt idx="23">
                  <c:v>-1.666326666666667</c:v>
                </c:pt>
              </c:numCache>
            </c:numRef>
          </c:yVal>
          <c:smooth val="0"/>
        </c:ser>
        <c:ser>
          <c:idx val="3"/>
          <c:order val="3"/>
          <c:tx>
            <c:v>5/16/15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1'!$E$40,'ESTACIÓN 1'!$G$40,'ESTACIÓN 1'!$I$40,'ESTACIÓN 1'!$K$40,'ESTACIÓN 1'!$M$40,'ESTACIÓN 1'!$O$40,'ESTACIÓN 1'!$Q$40,'ESTACIÓN 1'!$S$40,'ESTACIÓN 1'!$U$40,'ESTACIÓN 1'!$W$40,'ESTACIÓN 1'!$Y$40,'ESTACIÓN 1'!$AA$40,'ESTACIÓN 1'!$AC$40,'ESTACIÓN 1'!$AE$40,'ESTACIÓN 1'!$AG$40,'ESTACIÓN 1'!$AI$40,'ESTACIÓN 1'!$AK$40,'ESTACIÓN 1'!$AM$40,'ESTACIÓN 1'!$AO$40,'ESTACIÓN 1'!$AQ$40,'ESTACIÓN 1'!$AS$40,'ESTACIÓN 1'!$AU$40,'ESTACIÓN 1'!$AW$40,'ESTACIÓN 1'!$AY$40)</c:f>
              <c:numCache>
                <c:formatCode>General</c:formatCode>
                <c:ptCount val="24"/>
                <c:pt idx="0">
                  <c:v>-1.393741666666667</c:v>
                </c:pt>
                <c:pt idx="1">
                  <c:v>-1.313071666666667</c:v>
                </c:pt>
                <c:pt idx="2">
                  <c:v>-1.275418333333333</c:v>
                </c:pt>
                <c:pt idx="3">
                  <c:v>-1.246365</c:v>
                </c:pt>
                <c:pt idx="4">
                  <c:v>-1.233063333333333</c:v>
                </c:pt>
                <c:pt idx="5">
                  <c:v>-1.228965</c:v>
                </c:pt>
                <c:pt idx="6">
                  <c:v>-1.25665</c:v>
                </c:pt>
                <c:pt idx="7">
                  <c:v>-1.235115</c:v>
                </c:pt>
                <c:pt idx="8">
                  <c:v>-1.220283333333334</c:v>
                </c:pt>
                <c:pt idx="9">
                  <c:v>-1.20085</c:v>
                </c:pt>
                <c:pt idx="10">
                  <c:v>-1.164945</c:v>
                </c:pt>
                <c:pt idx="11">
                  <c:v>-1.144551666666667</c:v>
                </c:pt>
                <c:pt idx="12">
                  <c:v>-1.15122</c:v>
                </c:pt>
                <c:pt idx="13">
                  <c:v>-1.15946</c:v>
                </c:pt>
                <c:pt idx="14">
                  <c:v>-1.178583333333333</c:v>
                </c:pt>
                <c:pt idx="15">
                  <c:v>-1.18751</c:v>
                </c:pt>
                <c:pt idx="16">
                  <c:v>-1.197871666666667</c:v>
                </c:pt>
                <c:pt idx="17">
                  <c:v>-1.234121666666667</c:v>
                </c:pt>
                <c:pt idx="18">
                  <c:v>-1.271858333333333</c:v>
                </c:pt>
                <c:pt idx="19">
                  <c:v>-1.409666666666667</c:v>
                </c:pt>
                <c:pt idx="20">
                  <c:v>-1.74707</c:v>
                </c:pt>
                <c:pt idx="21">
                  <c:v>-1.838258333333333</c:v>
                </c:pt>
                <c:pt idx="22">
                  <c:v>-1.675915</c:v>
                </c:pt>
                <c:pt idx="23">
                  <c:v>-1.482338333333333</c:v>
                </c:pt>
              </c:numCache>
            </c:numRef>
          </c:yVal>
          <c:smooth val="0"/>
        </c:ser>
        <c:ser>
          <c:idx val="4"/>
          <c:order val="4"/>
          <c:tx>
            <c:v>5/23/15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1'!$E$41,'ESTACIÓN 1'!$G$41,'ESTACIÓN 1'!$I$41,'ESTACIÓN 1'!$K$41,'ESTACIÓN 1'!$M$41,'ESTACIÓN 1'!$O$41,'ESTACIÓN 1'!$Q$41,'ESTACIÓN 1'!$S$41,'ESTACIÓN 1'!$U$41,'ESTACIÓN 1'!$W$41,'ESTACIÓN 1'!$Y$41,'ESTACIÓN 1'!$AA$41,'ESTACIÓN 1'!$AC$41,'ESTACIÓN 1'!$AE$41,'ESTACIÓN 1'!$AG$41,'ESTACIÓN 1'!$AI$41,'ESTACIÓN 1'!$AK$41,'ESTACIÓN 1'!$AM$41,'ESTACIÓN 1'!$AO$41,'ESTACIÓN 1'!$AQ$41,'ESTACIÓN 1'!$AS$41,'ESTACIÓN 1'!$AU$41,'ESTACIÓN 1'!$AW$41,'ESTACIÓN 1'!$AY$41)</c:f>
              <c:numCache>
                <c:formatCode>General</c:formatCode>
                <c:ptCount val="24"/>
                <c:pt idx="0">
                  <c:v>-1.330253333333333</c:v>
                </c:pt>
                <c:pt idx="1">
                  <c:v>-1.245111666666667</c:v>
                </c:pt>
                <c:pt idx="2">
                  <c:v>-1.212273333333333</c:v>
                </c:pt>
                <c:pt idx="3">
                  <c:v>-1.192555</c:v>
                </c:pt>
                <c:pt idx="4">
                  <c:v>-1.17867</c:v>
                </c:pt>
                <c:pt idx="5">
                  <c:v>-1.161326666666667</c:v>
                </c:pt>
                <c:pt idx="6">
                  <c:v>-1.188731666666666</c:v>
                </c:pt>
                <c:pt idx="7">
                  <c:v>-1.211881666666667</c:v>
                </c:pt>
                <c:pt idx="8">
                  <c:v>-1.230773333333333</c:v>
                </c:pt>
                <c:pt idx="9">
                  <c:v>-1.215935</c:v>
                </c:pt>
                <c:pt idx="10">
                  <c:v>-1.11349</c:v>
                </c:pt>
                <c:pt idx="11">
                  <c:v>-1.057616666666667</c:v>
                </c:pt>
                <c:pt idx="12">
                  <c:v>-1.059781666666667</c:v>
                </c:pt>
                <c:pt idx="13">
                  <c:v>-1.077508333333333</c:v>
                </c:pt>
                <c:pt idx="14">
                  <c:v>-1.085945</c:v>
                </c:pt>
                <c:pt idx="15">
                  <c:v>-1.097713333333333</c:v>
                </c:pt>
                <c:pt idx="16">
                  <c:v>-1.104556666666666</c:v>
                </c:pt>
                <c:pt idx="17">
                  <c:v>-1.175158333333333</c:v>
                </c:pt>
                <c:pt idx="18">
                  <c:v>-1.18224</c:v>
                </c:pt>
                <c:pt idx="19">
                  <c:v>-1.229178333333333</c:v>
                </c:pt>
                <c:pt idx="20">
                  <c:v>-1.600791666666667</c:v>
                </c:pt>
                <c:pt idx="21">
                  <c:v>-1.82621</c:v>
                </c:pt>
                <c:pt idx="22">
                  <c:v>-1.69647</c:v>
                </c:pt>
                <c:pt idx="23">
                  <c:v>-1.4974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83232"/>
        <c:axId val="-2107847648"/>
      </c:scatterChart>
      <c:valAx>
        <c:axId val="21338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847648"/>
        <c:crosses val="autoZero"/>
        <c:crossBetween val="midCat"/>
      </c:valAx>
      <c:valAx>
        <c:axId val="-21078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8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4/13/15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1'!$E$42,'ESTACIÓN 1'!$G$42,'ESTACIÓN 1'!$I$42,'ESTACIÓN 1'!$K$42,'ESTACIÓN 1'!$M$42,'ESTACIÓN 1'!$O$42,'ESTACIÓN 1'!$Q$42,'ESTACIÓN 1'!$S$42,'ESTACIÓN 1'!$U$42,'ESTACIÓN 1'!$W$42,'ESTACIÓN 1'!$Y$42,'ESTACIÓN 1'!$AA$42,'ESTACIÓN 1'!$AC$42,'ESTACIÓN 1'!$AE$42,'ESTACIÓN 1'!$AG$42,'ESTACIÓN 1'!$AI$42,'ESTACIÓN 1'!$AK$42,'ESTACIÓN 1'!$AM$42,'ESTACIÓN 1'!$AO$42,'ESTACIÓN 1'!$AQ$42,'ESTACIÓN 1'!$AS$42,'ESTACIÓN 1'!$AU$42,'ESTACIÓN 1'!$AW$42,'ESTACIÓN 1'!$AY$42)</c:f>
              <c:numCache>
                <c:formatCode>General</c:formatCode>
                <c:ptCount val="24"/>
                <c:pt idx="0">
                  <c:v>-1.164728333333333</c:v>
                </c:pt>
                <c:pt idx="1">
                  <c:v>-1.08787</c:v>
                </c:pt>
                <c:pt idx="2">
                  <c:v>-1.04859</c:v>
                </c:pt>
                <c:pt idx="3">
                  <c:v>-1.01887</c:v>
                </c:pt>
                <c:pt idx="4">
                  <c:v>-1.0029985</c:v>
                </c:pt>
                <c:pt idx="5">
                  <c:v>-1.0092395</c:v>
                </c:pt>
                <c:pt idx="6">
                  <c:v>-1.096466666666666</c:v>
                </c:pt>
                <c:pt idx="7">
                  <c:v>-1.16967</c:v>
                </c:pt>
                <c:pt idx="8">
                  <c:v>-1.055435</c:v>
                </c:pt>
                <c:pt idx="9">
                  <c:v>-0.994343666666667</c:v>
                </c:pt>
                <c:pt idx="10">
                  <c:v>-0.950245333333333</c:v>
                </c:pt>
                <c:pt idx="11">
                  <c:v>-0.946196833333333</c:v>
                </c:pt>
                <c:pt idx="12">
                  <c:v>-0.977655166666667</c:v>
                </c:pt>
                <c:pt idx="13">
                  <c:v>-1.02029</c:v>
                </c:pt>
                <c:pt idx="14">
                  <c:v>-1.043875</c:v>
                </c:pt>
                <c:pt idx="15">
                  <c:v>-1.055451666666667</c:v>
                </c:pt>
                <c:pt idx="16">
                  <c:v>-1.060565</c:v>
                </c:pt>
                <c:pt idx="17">
                  <c:v>-1.052203333333333</c:v>
                </c:pt>
                <c:pt idx="18">
                  <c:v>-1.019663333333333</c:v>
                </c:pt>
                <c:pt idx="19">
                  <c:v>-1.038559166666667</c:v>
                </c:pt>
                <c:pt idx="20">
                  <c:v>-1.559181666666667</c:v>
                </c:pt>
                <c:pt idx="21">
                  <c:v>-1.755238333333333</c:v>
                </c:pt>
                <c:pt idx="22">
                  <c:v>-1.633998333333333</c:v>
                </c:pt>
                <c:pt idx="23">
                  <c:v>-1.343435</c:v>
                </c:pt>
              </c:numCache>
            </c:numRef>
          </c:yVal>
          <c:smooth val="0"/>
        </c:ser>
        <c:ser>
          <c:idx val="1"/>
          <c:order val="1"/>
          <c:tx>
            <c:v>4/20/15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1'!$E$43,'ESTACIÓN 1'!$G$43,'ESTACIÓN 1'!$I$43,'ESTACIÓN 1'!$K$43,'ESTACIÓN 1'!$M$43,'ESTACIÓN 1'!$O$43,'ESTACIÓN 1'!$Q$43,'ESTACIÓN 1'!$S$43,'ESTACIÓN 1'!$U$43,'ESTACIÓN 1'!$W$43,'ESTACIÓN 1'!$Y$43,'ESTACIÓN 1'!$AA$43,'ESTACIÓN 1'!$AC$43,'ESTACIÓN 1'!$AE$43,'ESTACIÓN 1'!$AG$43,'ESTACIÓN 1'!$AI$43,'ESTACIÓN 1'!$AK$43,'ESTACIÓN 1'!$AM$43,'ESTACIÓN 1'!$AO$43,'ESTACIÓN 1'!$AQ$43,'ESTACIÓN 1'!$AS$43,'ESTACIÓN 1'!$AU$43,'ESTACIÓN 1'!$AW$43,'ESTACIÓN 1'!$AY$43)</c:f>
              <c:numCache>
                <c:formatCode>General</c:formatCode>
                <c:ptCount val="24"/>
                <c:pt idx="0">
                  <c:v>-1.141253333333333</c:v>
                </c:pt>
                <c:pt idx="1">
                  <c:v>-1.070463333333333</c:v>
                </c:pt>
                <c:pt idx="2">
                  <c:v>-1.037225</c:v>
                </c:pt>
                <c:pt idx="3">
                  <c:v>-1.012441666666667</c:v>
                </c:pt>
                <c:pt idx="4">
                  <c:v>-0.996079333333333</c:v>
                </c:pt>
                <c:pt idx="5">
                  <c:v>-1.0065565</c:v>
                </c:pt>
                <c:pt idx="6">
                  <c:v>-1.100875</c:v>
                </c:pt>
                <c:pt idx="7">
                  <c:v>-1.137768333333333</c:v>
                </c:pt>
                <c:pt idx="8">
                  <c:v>-1.027101666666667</c:v>
                </c:pt>
                <c:pt idx="9">
                  <c:v>-0.967441333333333</c:v>
                </c:pt>
                <c:pt idx="10">
                  <c:v>-0.935284</c:v>
                </c:pt>
                <c:pt idx="11">
                  <c:v>-0.942579333333333</c:v>
                </c:pt>
                <c:pt idx="12">
                  <c:v>-0.973780833333333</c:v>
                </c:pt>
                <c:pt idx="13">
                  <c:v>-1.032205</c:v>
                </c:pt>
                <c:pt idx="14">
                  <c:v>-1.054855</c:v>
                </c:pt>
                <c:pt idx="15">
                  <c:v>-1.068266666666667</c:v>
                </c:pt>
                <c:pt idx="16">
                  <c:v>-1.070306666666667</c:v>
                </c:pt>
                <c:pt idx="17">
                  <c:v>-1.068275</c:v>
                </c:pt>
                <c:pt idx="18">
                  <c:v>-1.042985</c:v>
                </c:pt>
                <c:pt idx="19">
                  <c:v>-1.051265</c:v>
                </c:pt>
                <c:pt idx="20">
                  <c:v>-1.457591666666666</c:v>
                </c:pt>
                <c:pt idx="21">
                  <c:v>-1.760736666666667</c:v>
                </c:pt>
                <c:pt idx="22">
                  <c:v>-1.633271666666666</c:v>
                </c:pt>
                <c:pt idx="23">
                  <c:v>-1.330578333333333</c:v>
                </c:pt>
              </c:numCache>
            </c:numRef>
          </c:yVal>
          <c:smooth val="0"/>
        </c:ser>
        <c:ser>
          <c:idx val="2"/>
          <c:order val="2"/>
          <c:tx>
            <c:v>5/4/15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1'!$E$44,'ESTACIÓN 1'!$G$44,'ESTACIÓN 1'!$I$44,'ESTACIÓN 1'!$K$44,'ESTACIÓN 1'!$M$44,'ESTACIÓN 1'!$O$44,'ESTACIÓN 1'!$Q$44,'ESTACIÓN 1'!$S$44,'ESTACIÓN 1'!$U$44,'ESTACIÓN 1'!$W$44,'ESTACIÓN 1'!$Y$44,'ESTACIÓN 1'!$AA$44,'ESTACIÓN 1'!$AC$44,'ESTACIÓN 1'!$AE$44,'ESTACIÓN 1'!$AG$44,'ESTACIÓN 1'!$AI$44,'ESTACIÓN 1'!$AK$44,'ESTACIÓN 1'!$AM$44,'ESTACIÓN 1'!$AO$44,'ESTACIÓN 1'!$AQ$44,'ESTACIÓN 1'!$AS$44,'ESTACIÓN 1'!$AU$44,'ESTACIÓN 1'!$AW$44,'ESTACIÓN 1'!$AY$44)</c:f>
              <c:numCache>
                <c:formatCode>General</c:formatCode>
                <c:ptCount val="24"/>
                <c:pt idx="0">
                  <c:v>-1.392355</c:v>
                </c:pt>
                <c:pt idx="1">
                  <c:v>-1.305111666666667</c:v>
                </c:pt>
                <c:pt idx="2">
                  <c:v>-1.250676666666666</c:v>
                </c:pt>
                <c:pt idx="3">
                  <c:v>-1.220631666666667</c:v>
                </c:pt>
                <c:pt idx="4">
                  <c:v>-1.200945</c:v>
                </c:pt>
                <c:pt idx="5">
                  <c:v>-1.197961666666667</c:v>
                </c:pt>
                <c:pt idx="6">
                  <c:v>-1.240095</c:v>
                </c:pt>
                <c:pt idx="7">
                  <c:v>-1.221378333333333</c:v>
                </c:pt>
                <c:pt idx="8">
                  <c:v>-1.218828333333333</c:v>
                </c:pt>
                <c:pt idx="9">
                  <c:v>-1.1841</c:v>
                </c:pt>
                <c:pt idx="10">
                  <c:v>-1.135891666666667</c:v>
                </c:pt>
                <c:pt idx="11">
                  <c:v>-1.117153333333333</c:v>
                </c:pt>
                <c:pt idx="12">
                  <c:v>-1.137091666666666</c:v>
                </c:pt>
                <c:pt idx="13">
                  <c:v>-1.18732</c:v>
                </c:pt>
                <c:pt idx="14">
                  <c:v>-1.196931666666666</c:v>
                </c:pt>
                <c:pt idx="15">
                  <c:v>-1.21734</c:v>
                </c:pt>
                <c:pt idx="16">
                  <c:v>-1.229846666666667</c:v>
                </c:pt>
                <c:pt idx="17">
                  <c:v>-1.22968</c:v>
                </c:pt>
                <c:pt idx="18">
                  <c:v>-1.20852</c:v>
                </c:pt>
                <c:pt idx="19">
                  <c:v>-1.244143333333333</c:v>
                </c:pt>
                <c:pt idx="20">
                  <c:v>-1.754741666666667</c:v>
                </c:pt>
                <c:pt idx="21">
                  <c:v>-2.008128333333334</c:v>
                </c:pt>
                <c:pt idx="22">
                  <c:v>-1.858491666666667</c:v>
                </c:pt>
                <c:pt idx="23">
                  <c:v>-1.546603333333333</c:v>
                </c:pt>
              </c:numCache>
            </c:numRef>
          </c:yVal>
          <c:smooth val="0"/>
        </c:ser>
        <c:ser>
          <c:idx val="3"/>
          <c:order val="3"/>
          <c:tx>
            <c:v>5/11/15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1'!$E$45,'ESTACIÓN 1'!$G$45,'ESTACIÓN 1'!$I$45,'ESTACIÓN 1'!$K$45,'ESTACIÓN 1'!$M$45,'ESTACIÓN 1'!$O$45,'ESTACIÓN 1'!$Q$45,'ESTACIÓN 1'!$S$45,'ESTACIÓN 1'!$U$45,'ESTACIÓN 1'!$W$45,'ESTACIÓN 1'!$Y$45,'ESTACIÓN 1'!$AA$45,'ESTACIÓN 1'!$AC$45,'ESTACIÓN 1'!$AE$45,'ESTACIÓN 1'!$AG$45,'ESTACIÓN 1'!$AI$45,'ESTACIÓN 1'!$AK$45,'ESTACIÓN 1'!$AM$45,'ESTACIÓN 1'!$AO$45,'ESTACIÓN 1'!$AQ$45,'ESTACIÓN 1'!$AS$45,'ESTACIÓN 1'!$AU$45,'ESTACIÓN 1'!$AW$45,'ESTACIÓN 1'!$AY$45)</c:f>
              <c:numCache>
                <c:formatCode>General</c:formatCode>
                <c:ptCount val="24"/>
                <c:pt idx="0">
                  <c:v>-1.436038333333333</c:v>
                </c:pt>
                <c:pt idx="1">
                  <c:v>-1.350461666666667</c:v>
                </c:pt>
                <c:pt idx="2">
                  <c:v>-1.279215</c:v>
                </c:pt>
                <c:pt idx="3">
                  <c:v>-1.247413333333333</c:v>
                </c:pt>
                <c:pt idx="4">
                  <c:v>-1.221156666666667</c:v>
                </c:pt>
                <c:pt idx="5">
                  <c:v>-1.219118333333333</c:v>
                </c:pt>
                <c:pt idx="6">
                  <c:v>-1.284833333333333</c:v>
                </c:pt>
                <c:pt idx="7">
                  <c:v>-1.281626666666667</c:v>
                </c:pt>
                <c:pt idx="8">
                  <c:v>-1.247181666666667</c:v>
                </c:pt>
                <c:pt idx="9">
                  <c:v>-1.206775</c:v>
                </c:pt>
                <c:pt idx="10">
                  <c:v>-1.173976666666667</c:v>
                </c:pt>
                <c:pt idx="11">
                  <c:v>-1.170998333333333</c:v>
                </c:pt>
                <c:pt idx="12">
                  <c:v>-1.18486</c:v>
                </c:pt>
                <c:pt idx="13">
                  <c:v>-1.222698333333333</c:v>
                </c:pt>
                <c:pt idx="14">
                  <c:v>-1.191819333333333</c:v>
                </c:pt>
                <c:pt idx="15">
                  <c:v>-1.250105</c:v>
                </c:pt>
                <c:pt idx="16">
                  <c:v>-1.26825</c:v>
                </c:pt>
                <c:pt idx="17">
                  <c:v>-1.267033333333333</c:v>
                </c:pt>
                <c:pt idx="18">
                  <c:v>-1.24813</c:v>
                </c:pt>
                <c:pt idx="19">
                  <c:v>-1.2962</c:v>
                </c:pt>
                <c:pt idx="20">
                  <c:v>-1.756855</c:v>
                </c:pt>
                <c:pt idx="21">
                  <c:v>-1.998128333333333</c:v>
                </c:pt>
                <c:pt idx="22">
                  <c:v>-1.883228333333333</c:v>
                </c:pt>
                <c:pt idx="23">
                  <c:v>-1.618771666666667</c:v>
                </c:pt>
              </c:numCache>
            </c:numRef>
          </c:yVal>
          <c:smooth val="0"/>
        </c:ser>
        <c:ser>
          <c:idx val="4"/>
          <c:order val="4"/>
          <c:tx>
            <c:v>5/18/15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1'!$E$46,'ESTACIÓN 1'!$G$46,'ESTACIÓN 1'!$I$46,'ESTACIÓN 1'!$K$46,'ESTACIÓN 1'!$M$46,'ESTACIÓN 1'!$O$46,'ESTACIÓN 1'!$Q$46,'ESTACIÓN 1'!$S$46,'ESTACIÓN 1'!$U$46,'ESTACIÓN 1'!$W$46,'ESTACIÓN 1'!$Y$46,'ESTACIÓN 1'!$AA$46,'ESTACIÓN 1'!$AC$46,'ESTACIÓN 1'!$AE$46,'ESTACIÓN 1'!$AG$46,'ESTACIÓN 1'!$AI$46,'ESTACIÓN 1'!$AK$46,'ESTACIÓN 1'!$AM$46,'ESTACIÓN 1'!$AO$46,'ESTACIÓN 1'!$AQ$46,'ESTACIÓN 1'!$AS$46,'ESTACIÓN 1'!$AU$46,'ESTACIÓN 1'!$AW$46,'ESTACIÓN 1'!$AY$46)</c:f>
              <c:numCache>
                <c:formatCode>General</c:formatCode>
                <c:ptCount val="24"/>
                <c:pt idx="0">
                  <c:v>-1.379395</c:v>
                </c:pt>
                <c:pt idx="1">
                  <c:v>-1.299638333333333</c:v>
                </c:pt>
                <c:pt idx="2">
                  <c:v>-1.268561666666667</c:v>
                </c:pt>
                <c:pt idx="3">
                  <c:v>-1.244171666666667</c:v>
                </c:pt>
                <c:pt idx="4">
                  <c:v>-1.233726666666667</c:v>
                </c:pt>
                <c:pt idx="5">
                  <c:v>-1.240535</c:v>
                </c:pt>
                <c:pt idx="6">
                  <c:v>-1.25818</c:v>
                </c:pt>
                <c:pt idx="8">
                  <c:v>-1.260843333333334</c:v>
                </c:pt>
                <c:pt idx="9">
                  <c:v>-1.194748333333333</c:v>
                </c:pt>
                <c:pt idx="10">
                  <c:v>-1.166825</c:v>
                </c:pt>
                <c:pt idx="11">
                  <c:v>-1.16065</c:v>
                </c:pt>
                <c:pt idx="12">
                  <c:v>-1.185208333333333</c:v>
                </c:pt>
                <c:pt idx="13">
                  <c:v>-1.192315</c:v>
                </c:pt>
                <c:pt idx="14">
                  <c:v>-1.251163333333333</c:v>
                </c:pt>
                <c:pt idx="15">
                  <c:v>-1.257553333333333</c:v>
                </c:pt>
                <c:pt idx="16">
                  <c:v>-1.281995</c:v>
                </c:pt>
                <c:pt idx="17">
                  <c:v>-1.266925</c:v>
                </c:pt>
                <c:pt idx="18">
                  <c:v>-1.239983333333333</c:v>
                </c:pt>
                <c:pt idx="19">
                  <c:v>-1.285855</c:v>
                </c:pt>
                <c:pt idx="20">
                  <c:v>-1.679946666666667</c:v>
                </c:pt>
                <c:pt idx="21">
                  <c:v>-1.95855</c:v>
                </c:pt>
                <c:pt idx="22">
                  <c:v>-1.822588333333333</c:v>
                </c:pt>
                <c:pt idx="23">
                  <c:v>-1.505193333333333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80960"/>
        <c:axId val="2138197584"/>
      </c:scatterChart>
      <c:valAx>
        <c:axId val="21384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197584"/>
        <c:crosses val="autoZero"/>
        <c:crossBetween val="midCat"/>
      </c:valAx>
      <c:valAx>
        <c:axId val="21381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8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4/17/15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1'!$E$47,'ESTACIÓN 1'!$G$47,'ESTACIÓN 1'!$I$47,'ESTACIÓN 1'!$K$47,'ESTACIÓN 1'!$M$47,'ESTACIÓN 1'!$O$47,'ESTACIÓN 1'!$Q$47,'ESTACIÓN 1'!$S$47,'ESTACIÓN 1'!$U$47,'ESTACIÓN 1'!$W$47,'ESTACIÓN 1'!$Y$47,'ESTACIÓN 1'!$AA$47,'ESTACIÓN 1'!$AC$47,'ESTACIÓN 1'!$AE$47,'ESTACIÓN 1'!$AG$47,'ESTACIÓN 1'!$AI$47,'ESTACIÓN 1'!$AK$47,'ESTACIÓN 1'!$AM$47,'ESTACIÓN 1'!$AO$47,'ESTACIÓN 1'!$AQ$47,'ESTACIÓN 1'!$AS$47,'ESTACIÓN 1'!$AU$47,'ESTACIÓN 1'!$AW$47,'ESTACIÓN 1'!$AY$47)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1"/>
          <c:order val="1"/>
          <c:tx>
            <c:v>4/24/15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1'!$E$48,'ESTACIÓN 1'!$G$48,'ESTACIÓN 1'!$I$48,'ESTACIÓN 1'!$K$48,'ESTACIÓN 1'!$M$48,'ESTACIÓN 1'!$O$48,'ESTACIÓN 1'!$Q$48,'ESTACIÓN 1'!$S$48,'ESTACIÓN 1'!$U$48,'ESTACIÓN 1'!$W$48,'ESTACIÓN 1'!$Y$48,'ESTACIÓN 1'!$AA$48,'ESTACIÓN 1'!$AC$48,'ESTACIÓN 1'!$AE$48,'ESTACIÓN 1'!$AG$48,'ESTACIÓN 1'!$AI$48,'ESTACIÓN 1'!$AK$48,'ESTACIÓN 1'!$AM$48,'ESTACIÓN 1'!$AO$48,'ESTACIÓN 1'!$AQ$48,'ESTACIÓN 1'!$AS$48,'ESTACIÓN 1'!$AU$48,'ESTACIÓN 1'!$AW$48,'ESTACIÓN 1'!$AY$48)</c:f>
              <c:numCache>
                <c:formatCode>General</c:formatCode>
                <c:ptCount val="24"/>
                <c:pt idx="0">
                  <c:v>-1.393343333333333</c:v>
                </c:pt>
                <c:pt idx="1">
                  <c:v>-1.298195</c:v>
                </c:pt>
                <c:pt idx="2">
                  <c:v>-1.265111666666667</c:v>
                </c:pt>
                <c:pt idx="3">
                  <c:v>-1.232513333333333</c:v>
                </c:pt>
                <c:pt idx="4">
                  <c:v>-1.212346666666667</c:v>
                </c:pt>
                <c:pt idx="5">
                  <c:v>-1.20634</c:v>
                </c:pt>
                <c:pt idx="6">
                  <c:v>-1.297046666666667</c:v>
                </c:pt>
                <c:pt idx="7">
                  <c:v>-1.315218333333333</c:v>
                </c:pt>
                <c:pt idx="8">
                  <c:v>-1.237238333333333</c:v>
                </c:pt>
                <c:pt idx="9">
                  <c:v>-1.166501666666667</c:v>
                </c:pt>
                <c:pt idx="10">
                  <c:v>-1.119873333333333</c:v>
                </c:pt>
                <c:pt idx="11">
                  <c:v>-1.123566666666667</c:v>
                </c:pt>
                <c:pt idx="12">
                  <c:v>-1.16522</c:v>
                </c:pt>
                <c:pt idx="13">
                  <c:v>-1.203838333333333</c:v>
                </c:pt>
                <c:pt idx="14">
                  <c:v>-1.227673333333333</c:v>
                </c:pt>
                <c:pt idx="15">
                  <c:v>-1.23992</c:v>
                </c:pt>
                <c:pt idx="16">
                  <c:v>-1.255048333333333</c:v>
                </c:pt>
                <c:pt idx="17">
                  <c:v>-1.250755</c:v>
                </c:pt>
                <c:pt idx="18">
                  <c:v>-1.218765</c:v>
                </c:pt>
                <c:pt idx="19">
                  <c:v>-1.243655</c:v>
                </c:pt>
                <c:pt idx="20">
                  <c:v>-1.779783333333333</c:v>
                </c:pt>
                <c:pt idx="21">
                  <c:v>-2.02729</c:v>
                </c:pt>
                <c:pt idx="22">
                  <c:v>-1.892403333333333</c:v>
                </c:pt>
                <c:pt idx="23">
                  <c:v>-1.61343</c:v>
                </c:pt>
              </c:numCache>
            </c:numRef>
          </c:yVal>
          <c:smooth val="0"/>
        </c:ser>
        <c:ser>
          <c:idx val="2"/>
          <c:order val="2"/>
          <c:tx>
            <c:v>5/8/15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1'!$E$49,'ESTACIÓN 1'!$G$49,'ESTACIÓN 1'!$I$49,'ESTACIÓN 1'!$K$49,'ESTACIÓN 1'!$M$49,'ESTACIÓN 1'!$O$49,'ESTACIÓN 1'!$Q$49,'ESTACIÓN 1'!$S$49,'ESTACIÓN 1'!$U$49,'ESTACIÓN 1'!$W$49,'ESTACIÓN 1'!$Y$49,'ESTACIÓN 1'!$AA$49,'ESTACIÓN 1'!$AC$49,'ESTACIÓN 1'!$AE$49,'ESTACIÓN 1'!$AG$49,'ESTACIÓN 1'!$AI$49,'ESTACIÓN 1'!$AK$49,'ESTACIÓN 1'!$AM$49,'ESTACIÓN 1'!$AO$49,'ESTACIÓN 1'!$AQ$49,'ESTACIÓN 1'!$AS$49,'ESTACIÓN 1'!$AU$49,'ESTACIÓN 1'!$AW$49,'ESTACIÓN 1'!$AY$49)</c:f>
              <c:numCache>
                <c:formatCode>General</c:formatCode>
                <c:ptCount val="24"/>
                <c:pt idx="0">
                  <c:v>-1.406886666666667</c:v>
                </c:pt>
                <c:pt idx="1">
                  <c:v>-1.314698333333333</c:v>
                </c:pt>
                <c:pt idx="2">
                  <c:v>-1.263518333333333</c:v>
                </c:pt>
                <c:pt idx="3">
                  <c:v>-1.233595</c:v>
                </c:pt>
                <c:pt idx="4">
                  <c:v>-1.213855</c:v>
                </c:pt>
                <c:pt idx="5">
                  <c:v>-1.216926666666666</c:v>
                </c:pt>
                <c:pt idx="6">
                  <c:v>-1.297135</c:v>
                </c:pt>
                <c:pt idx="7">
                  <c:v>-1.287293333333333</c:v>
                </c:pt>
                <c:pt idx="8">
                  <c:v>-1.241968333333333</c:v>
                </c:pt>
                <c:pt idx="9">
                  <c:v>-1.193118333333333</c:v>
                </c:pt>
                <c:pt idx="10">
                  <c:v>-1.148375</c:v>
                </c:pt>
                <c:pt idx="11">
                  <c:v>-1.140053333333333</c:v>
                </c:pt>
                <c:pt idx="12">
                  <c:v>-1.167186666666667</c:v>
                </c:pt>
                <c:pt idx="13">
                  <c:v>-1.208068333333333</c:v>
                </c:pt>
                <c:pt idx="14">
                  <c:v>-1.195621666666667</c:v>
                </c:pt>
                <c:pt idx="15">
                  <c:v>-1.20456</c:v>
                </c:pt>
                <c:pt idx="16">
                  <c:v>-1.265141666666667</c:v>
                </c:pt>
                <c:pt idx="17">
                  <c:v>-1.25835</c:v>
                </c:pt>
                <c:pt idx="18">
                  <c:v>-1.216626666666667</c:v>
                </c:pt>
                <c:pt idx="19">
                  <c:v>-1.237845</c:v>
                </c:pt>
                <c:pt idx="20">
                  <c:v>-1.714606666666667</c:v>
                </c:pt>
                <c:pt idx="21">
                  <c:v>-1.99142</c:v>
                </c:pt>
                <c:pt idx="22">
                  <c:v>-1.863061666666667</c:v>
                </c:pt>
                <c:pt idx="23">
                  <c:v>-1.59971</c:v>
                </c:pt>
              </c:numCache>
            </c:numRef>
          </c:yVal>
          <c:smooth val="0"/>
        </c:ser>
        <c:ser>
          <c:idx val="3"/>
          <c:order val="3"/>
          <c:tx>
            <c:v>5/15/15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1'!$E$50,'ESTACIÓN 1'!$G$50,'ESTACIÓN 1'!$I$50,'ESTACIÓN 1'!$K$50,'ESTACIÓN 1'!$M$50,'ESTACIÓN 1'!$O$50,'ESTACIÓN 1'!$Q$50,'ESTACIÓN 1'!$S$50,'ESTACIÓN 1'!$U$50,'ESTACIÓN 1'!$W$50,'ESTACIÓN 1'!$Y$50,'ESTACIÓN 1'!$AA$50,'ESTACIÓN 1'!$AC$50,'ESTACIÓN 1'!$AE$50,'ESTACIÓN 1'!$AG$50,'ESTACIÓN 1'!$AI$50,'ESTACIÓN 1'!$AK$50,'ESTACIÓN 1'!$AM$50,'ESTACIÓN 1'!$AO$50,'ESTACIÓN 1'!$AQ$50,'ESTACIÓN 1'!$AS$50,'ESTACIÓN 1'!$AU$50,'ESTACIÓN 1'!$AW$50,'ESTACIÓN 1'!$AY$50)</c:f>
              <c:numCache>
                <c:formatCode>General</c:formatCode>
                <c:ptCount val="24"/>
                <c:pt idx="0">
                  <c:v>-1.38399</c:v>
                </c:pt>
                <c:pt idx="1">
                  <c:v>-1.317368333333333</c:v>
                </c:pt>
                <c:pt idx="2">
                  <c:v>-1.275575</c:v>
                </c:pt>
                <c:pt idx="3">
                  <c:v>-1.251291666666667</c:v>
                </c:pt>
                <c:pt idx="4">
                  <c:v>-1.22841</c:v>
                </c:pt>
                <c:pt idx="5">
                  <c:v>-1.223456666666667</c:v>
                </c:pt>
                <c:pt idx="6">
                  <c:v>-1.262238333333333</c:v>
                </c:pt>
                <c:pt idx="7">
                  <c:v>-1.257683333333333</c:v>
                </c:pt>
                <c:pt idx="8">
                  <c:v>-1.275758333333334</c:v>
                </c:pt>
                <c:pt idx="9">
                  <c:v>-1.246536666666667</c:v>
                </c:pt>
                <c:pt idx="10">
                  <c:v>-1.210211666666667</c:v>
                </c:pt>
                <c:pt idx="11">
                  <c:v>-1.18131</c:v>
                </c:pt>
                <c:pt idx="12">
                  <c:v>-1.17616</c:v>
                </c:pt>
                <c:pt idx="13">
                  <c:v>-1.205615</c:v>
                </c:pt>
                <c:pt idx="14">
                  <c:v>-1.213031666666667</c:v>
                </c:pt>
                <c:pt idx="15">
                  <c:v>-1.236516666666667</c:v>
                </c:pt>
                <c:pt idx="16">
                  <c:v>-1.260506666666666</c:v>
                </c:pt>
                <c:pt idx="17">
                  <c:v>-1.263735</c:v>
                </c:pt>
                <c:pt idx="18">
                  <c:v>-1.228651666666667</c:v>
                </c:pt>
                <c:pt idx="19">
                  <c:v>-1.319441666666667</c:v>
                </c:pt>
                <c:pt idx="20">
                  <c:v>-1.729036666666666</c:v>
                </c:pt>
                <c:pt idx="21">
                  <c:v>-1.911356666666667</c:v>
                </c:pt>
                <c:pt idx="22">
                  <c:v>-1.77463</c:v>
                </c:pt>
                <c:pt idx="23">
                  <c:v>-1.538671666666667</c:v>
                </c:pt>
              </c:numCache>
            </c:numRef>
          </c:yVal>
          <c:smooth val="0"/>
        </c:ser>
        <c:ser>
          <c:idx val="4"/>
          <c:order val="4"/>
          <c:tx>
            <c:v>5/22/15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1'!$E$51,'ESTACIÓN 1'!$G$51,'ESTACIÓN 1'!$I$51,'ESTACIÓN 1'!$K$51,'ESTACIÓN 1'!$M$51,'ESTACIÓN 1'!$O$51,'ESTACIÓN 1'!$Q$51,'ESTACIÓN 1'!$S$51,'ESTACIÓN 1'!$U$51,'ESTACIÓN 1'!$W$51,'ESTACIÓN 1'!$Y$51,'ESTACIÓN 1'!$AA$51,'ESTACIÓN 1'!$AC$51,'ESTACIÓN 1'!$AE$51,'ESTACIÓN 1'!$AG$51,'ESTACIÓN 1'!$AI$51,'ESTACIÓN 1'!$AK$51,'ESTACIÓN 1'!$AM$51,'ESTACIÓN 1'!$AO$51,'ESTACIÓN 1'!$AQ$51,'ESTACIÓN 1'!$AS$51,'ESTACIÓN 1'!$AU$51,'ESTACIÓN 1'!$AW$51,'ESTACIÓN 1'!$AY$51)</c:f>
              <c:numCache>
                <c:formatCode>General</c:formatCode>
                <c:ptCount val="24"/>
                <c:pt idx="0">
                  <c:v>-1.355025</c:v>
                </c:pt>
                <c:pt idx="1">
                  <c:v>-1.269856666666667</c:v>
                </c:pt>
                <c:pt idx="2">
                  <c:v>-1.2422</c:v>
                </c:pt>
                <c:pt idx="3">
                  <c:v>-1.223375</c:v>
                </c:pt>
                <c:pt idx="4">
                  <c:v>-1.215628333333333</c:v>
                </c:pt>
                <c:pt idx="5">
                  <c:v>-1.221238333333333</c:v>
                </c:pt>
                <c:pt idx="6">
                  <c:v>-1.284751666666667</c:v>
                </c:pt>
                <c:pt idx="7">
                  <c:v>-1.326635</c:v>
                </c:pt>
                <c:pt idx="8">
                  <c:v>-1.310656666666667</c:v>
                </c:pt>
                <c:pt idx="9">
                  <c:v>-1.234943333333333</c:v>
                </c:pt>
                <c:pt idx="10">
                  <c:v>-1.166661666666667</c:v>
                </c:pt>
                <c:pt idx="11">
                  <c:v>-1.127385</c:v>
                </c:pt>
                <c:pt idx="12">
                  <c:v>-1.132676666666667</c:v>
                </c:pt>
                <c:pt idx="13">
                  <c:v>-1.141518333333333</c:v>
                </c:pt>
                <c:pt idx="14">
                  <c:v>-1.143066666666666</c:v>
                </c:pt>
                <c:pt idx="15">
                  <c:v>-1.165378333333333</c:v>
                </c:pt>
                <c:pt idx="16">
                  <c:v>-1.191571666666667</c:v>
                </c:pt>
                <c:pt idx="17">
                  <c:v>-1.197481666666666</c:v>
                </c:pt>
                <c:pt idx="18">
                  <c:v>-1.170818333333333</c:v>
                </c:pt>
                <c:pt idx="19">
                  <c:v>-1.206393333333333</c:v>
                </c:pt>
                <c:pt idx="20">
                  <c:v>-1.64882</c:v>
                </c:pt>
                <c:pt idx="21">
                  <c:v>-1.8874</c:v>
                </c:pt>
                <c:pt idx="22">
                  <c:v>-1.745025</c:v>
                </c:pt>
                <c:pt idx="23">
                  <c:v>-1.494005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666176"/>
        <c:axId val="-2107663248"/>
      </c:scatterChart>
      <c:valAx>
        <c:axId val="-210766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663248"/>
        <c:crosses val="autoZero"/>
        <c:crossBetween val="midCat"/>
      </c:valAx>
      <c:valAx>
        <c:axId val="-210766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66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1'!$E$52,'ESTACIÓN 1'!$G$52,'ESTACIÓN 1'!$I$52,'ESTACIÓN 1'!$K$52,'ESTACIÓN 1'!$M$52,'ESTACIÓN 1'!$O$52,'ESTACIÓN 1'!$Q$52,'ESTACIÓN 1'!$S$52,'ESTACIÓN 1'!$U$52,'ESTACIÓN 1'!$W$52,'ESTACIÓN 1'!$Y$52,'ESTACIÓN 1'!$AA$52,'ESTACIÓN 1'!$AC$52,'ESTACIÓN 1'!$AE$52,'ESTACIÓN 1'!$AG$52,'ESTACIÓN 1'!$AI$52,'ESTACIÓN 1'!$AK$52,'ESTACIÓN 1'!$AM$52,'ESTACIÓN 1'!$AO$52,'ESTACIÓN 1'!$AQ$52,'ESTACIÓN 1'!$AS$52,'ESTACIÓN 1'!$AU$52,'ESTACIÓN 1'!$AW$52,'ESTACIÓN 1'!$AY$52)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1'!$E$53,'ESTACIÓN 1'!$G$53,'ESTACIÓN 1'!$I$53,'ESTACIÓN 1'!$K$53,'ESTACIÓN 1'!$M$53,'ESTACIÓN 1'!$O$53,'ESTACIÓN 1'!$Q$53,'ESTACIÓN 1'!$S$53,'ESTACIÓN 1'!$U$53,'ESTACIÓN 1'!$W$53,'ESTACIÓN 1'!$Y$53,'ESTACIÓN 1'!$AA$53,'ESTACIÓN 1'!$AC$53,'ESTACIÓN 1'!$AE$53,'ESTACIÓN 1'!$AG$53,'ESTACIÓN 1'!$AI$53,'ESTACIÓN 1'!$AK$53,'ESTACIÓN 1'!$AM$53,'ESTACIÓN 1'!$AO$53,'ESTACIÓN 1'!$AQ$53,'ESTACIÓN 1'!$AS$53,'ESTACIÓN 1'!$AU$53,'ESTACIÓN 1'!$AW$53,'ESTACIÓN 1'!$AY$53)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2"/>
          <c:order val="2"/>
          <c:tx>
            <c:v/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1'!$E$54,'ESTACIÓN 1'!$G$54,'ESTACIÓN 1'!$I$54,'ESTACIÓN 1'!$K$54,'ESTACIÓN 1'!$M$54,'ESTACIÓN 1'!$O$54,'ESTACIÓN 1'!$Q$54,'ESTACIÓN 1'!$S$54,'ESTACIÓN 1'!$U$54,'ESTACIÓN 1'!$W$54,'ESTACIÓN 1'!$Y$54,'ESTACIÓN 1'!$AA$54,'ESTACIÓN 1'!$AC$54,'ESTACIÓN 1'!$AE$54,'ESTACIÓN 1'!$AG$54,'ESTACIÓN 1'!$AI$54,'ESTACIÓN 1'!$AK$54,'ESTACIÓN 1'!$AM$54,'ESTACIÓN 1'!$AO$54,'ESTACIÓN 1'!$AQ$54,'ESTACIÓN 1'!$AS$54,'ESTACIÓN 1'!$AU$54,'ESTACIÓN 1'!$AW$54,'ESTACIÓN 1'!$AY$54)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3"/>
          <c:order val="3"/>
          <c:tx>
            <c:v/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1'!$E$55,'ESTACIÓN 1'!$G$55,'ESTACIÓN 1'!$I$55,'ESTACIÓN 1'!$K$55,'ESTACIÓN 1'!$M$55,'ESTACIÓN 1'!$O$55,'ESTACIÓN 1'!$Q$55,'ESTACIÓN 1'!$S$55,'ESTACIÓN 1'!$U$55,'ESTACIÓN 1'!$W$55,'ESTACIÓN 1'!$Y$55,'ESTACIÓN 1'!$AA$55,'ESTACIÓN 1'!$AC$55,'ESTACIÓN 1'!$AE$55,'ESTACIÓN 1'!$AG$55,'ESTACIÓN 1'!$AI$55,'ESTACIÓN 1'!$AK$55,'ESTACIÓN 1'!$AM$55,'ESTACIÓN 1'!$AO$55,'ESTACIÓN 1'!$AQ$55,'ESTACIÓN 1'!$AS$55,'ESTACIÓN 1'!$AU$55,'ESTACIÓN 1'!$AW$55,'ESTACIÓN 1'!$AY$55)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4"/>
          <c:order val="4"/>
          <c:tx>
            <c:v/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1'!$E$56,'ESTACIÓN 1'!$G$56,'ESTACIÓN 1'!$I$56,'ESTACIÓN 1'!$K$56,'ESTACIÓN 1'!$M$56,'ESTACIÓN 1'!$O$56,'ESTACIÓN 1'!$Q$56,'ESTACIÓN 1'!$S$56,'ESTACIÓN 1'!$U$56,'ESTACIÓN 1'!$W$56,'ESTACIÓN 1'!$Y$56,'ESTACIÓN 1'!$AA$56,'ESTACIÓN 1'!$AC$56,'ESTACIÓN 1'!$AE$56,'ESTACIÓN 1'!$AG$56,'ESTACIÓN 1'!$AI$56,'ESTACIÓN 1'!$AK$56,'ESTACIÓN 1'!$AM$56,'ESTACIÓN 1'!$AO$56,'ESTACIÓN 1'!$AQ$56,'ESTACIÓN 1'!$AS$56,'ESTACIÓN 1'!$AU$56,'ESTACIÓN 1'!$AW$56,'ESTACIÓN 1'!$AY$56)</c:f>
              <c:numCache>
                <c:formatCode>General</c:formatCode>
                <c:ptCount val="2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145200"/>
        <c:axId val="-2108142368"/>
      </c:scatterChart>
      <c:valAx>
        <c:axId val="-210814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8142368"/>
        <c:crosses val="autoZero"/>
        <c:crossBetween val="midCat"/>
      </c:valAx>
      <c:valAx>
        <c:axId val="-21081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814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1</xdr:row>
          <xdr:rowOff>38100</xdr:rowOff>
        </xdr:from>
        <xdr:to>
          <xdr:col>17</xdr:col>
          <xdr:colOff>444500</xdr:colOff>
          <xdr:row>6</xdr:row>
          <xdr:rowOff>12700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 CONSULTAS AL SIMOCE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2</xdr:row>
          <xdr:rowOff>25400</xdr:rowOff>
        </xdr:from>
        <xdr:to>
          <xdr:col>13</xdr:col>
          <xdr:colOff>508000</xdr:colOff>
          <xdr:row>6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CONSULTAS AL SIMOCE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7</xdr:row>
          <xdr:rowOff>177800</xdr:rowOff>
        </xdr:from>
        <xdr:to>
          <xdr:col>12</xdr:col>
          <xdr:colOff>482600</xdr:colOff>
          <xdr:row>11</xdr:row>
          <xdr:rowOff>12700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ESTACIÓN, GRÁFICA, PROMEDIO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3</xdr:row>
          <xdr:rowOff>50800</xdr:rowOff>
        </xdr:from>
        <xdr:to>
          <xdr:col>15</xdr:col>
          <xdr:colOff>368300</xdr:colOff>
          <xdr:row>9</xdr:row>
          <xdr:rowOff>139700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VOLVER A PROMEDIAR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31</xdr:row>
      <xdr:rowOff>0</xdr:rowOff>
    </xdr:from>
    <xdr:to>
      <xdr:col>10</xdr:col>
      <xdr:colOff>0</xdr:colOff>
      <xdr:row>46</xdr:row>
      <xdr:rowOff>0</xdr:rowOff>
    </xdr:to>
    <xdr:graphicFrame macro="">
      <xdr:nvGraphicFramePr>
        <xdr:cNvPr id="35938" name="Chart 359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35939" name="Chart 359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76</xdr:row>
      <xdr:rowOff>0</xdr:rowOff>
    </xdr:to>
    <xdr:graphicFrame macro="">
      <xdr:nvGraphicFramePr>
        <xdr:cNvPr id="35940" name="Chart 359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10</xdr:col>
      <xdr:colOff>0</xdr:colOff>
      <xdr:row>91</xdr:row>
      <xdr:rowOff>0</xdr:rowOff>
    </xdr:to>
    <xdr:graphicFrame macro="">
      <xdr:nvGraphicFramePr>
        <xdr:cNvPr id="35941" name="Chart 359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10</xdr:col>
      <xdr:colOff>0</xdr:colOff>
      <xdr:row>106</xdr:row>
      <xdr:rowOff>0</xdr:rowOff>
    </xdr:to>
    <xdr:graphicFrame macro="">
      <xdr:nvGraphicFramePr>
        <xdr:cNvPr id="35942" name="Chart 359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106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35943" name="Chart 359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136</xdr:row>
      <xdr:rowOff>0</xdr:rowOff>
    </xdr:to>
    <xdr:graphicFrame macro="">
      <xdr:nvGraphicFramePr>
        <xdr:cNvPr id="35944" name="Chart 359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136</xdr:row>
      <xdr:rowOff>0</xdr:rowOff>
    </xdr:from>
    <xdr:to>
      <xdr:col>10</xdr:col>
      <xdr:colOff>0</xdr:colOff>
      <xdr:row>151</xdr:row>
      <xdr:rowOff>0</xdr:rowOff>
    </xdr:to>
    <xdr:graphicFrame macro="">
      <xdr:nvGraphicFramePr>
        <xdr:cNvPr id="35945" name="Chart 359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151</xdr:row>
      <xdr:rowOff>0</xdr:rowOff>
    </xdr:from>
    <xdr:to>
      <xdr:col>10</xdr:col>
      <xdr:colOff>0</xdr:colOff>
      <xdr:row>166</xdr:row>
      <xdr:rowOff>0</xdr:rowOff>
    </xdr:to>
    <xdr:graphicFrame macro="">
      <xdr:nvGraphicFramePr>
        <xdr:cNvPr id="35946" name="Chart 359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166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35947" name="Chart 359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196</xdr:row>
      <xdr:rowOff>0</xdr:rowOff>
    </xdr:to>
    <xdr:graphicFrame macro="">
      <xdr:nvGraphicFramePr>
        <xdr:cNvPr id="35948" name="Chart 35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tabColor rgb="FFFF0066"/>
  </sheetPr>
  <dimension ref="A1:Q186"/>
  <sheetViews>
    <sheetView zoomScale="81" zoomScaleNormal="80" zoomScalePageLayoutView="80" workbookViewId="0">
      <selection activeCell="G22" sqref="G22"/>
    </sheetView>
  </sheetViews>
  <sheetFormatPr baseColWidth="10" defaultColWidth="11.5" defaultRowHeight="15" x14ac:dyDescent="0.2"/>
  <cols>
    <col min="2" max="2" width="17.5" style="29" customWidth="1"/>
    <col min="4" max="4" width="11.5" style="6"/>
    <col min="5" max="5" width="14.5" customWidth="1"/>
    <col min="7" max="8" width="11.5" style="6"/>
    <col min="17" max="17" width="12.83203125" customWidth="1"/>
  </cols>
  <sheetData>
    <row r="1" spans="1:9" x14ac:dyDescent="0.2">
      <c r="A1" s="27" t="s">
        <v>1972</v>
      </c>
      <c r="B1" s="30" t="s">
        <v>0</v>
      </c>
      <c r="C1" s="27" t="s">
        <v>12</v>
      </c>
      <c r="D1" s="27" t="s">
        <v>1973</v>
      </c>
      <c r="E1" s="27" t="s">
        <v>1</v>
      </c>
      <c r="F1" s="27"/>
      <c r="G1" s="27" t="s">
        <v>1974</v>
      </c>
      <c r="H1" s="27" t="s">
        <v>259</v>
      </c>
      <c r="I1" s="19"/>
    </row>
    <row r="2" spans="1:9" x14ac:dyDescent="0.2">
      <c r="A2" s="6">
        <v>1</v>
      </c>
      <c r="B2" s="47" t="s">
        <v>13</v>
      </c>
      <c r="C2" s="6" t="s">
        <v>2236</v>
      </c>
      <c r="D2" s="17" t="s">
        <v>1266</v>
      </c>
      <c r="E2" s="36">
        <v>42109</v>
      </c>
      <c r="F2" s="22"/>
      <c r="G2" s="22">
        <v>1</v>
      </c>
      <c r="H2" s="22">
        <v>3</v>
      </c>
      <c r="I2" s="17"/>
    </row>
    <row r="3" spans="1:9" s="17" customFormat="1" x14ac:dyDescent="0.2">
      <c r="B3" s="47"/>
      <c r="C3" s="6"/>
      <c r="E3" s="36"/>
      <c r="F3" s="22"/>
      <c r="G3" s="22"/>
      <c r="H3" s="22"/>
    </row>
    <row r="4" spans="1:9" x14ac:dyDescent="0.2">
      <c r="A4" s="22">
        <f>A2</f>
        <v>1</v>
      </c>
      <c r="B4" s="31" t="str">
        <f>B2</f>
        <v>AAA</v>
      </c>
      <c r="C4" s="22" t="str">
        <f>C2</f>
        <v>AAA42015</v>
      </c>
      <c r="D4" s="22" t="str">
        <f>D2</f>
        <v>DDSE</v>
      </c>
      <c r="E4" s="36">
        <v>42116</v>
      </c>
      <c r="F4" s="22"/>
      <c r="G4" s="22">
        <v>1</v>
      </c>
      <c r="H4" s="22">
        <f>H2</f>
        <v>3</v>
      </c>
    </row>
    <row r="5" spans="1:9" s="17" customFormat="1" x14ac:dyDescent="0.2">
      <c r="A5" s="22">
        <f>A2</f>
        <v>1</v>
      </c>
      <c r="B5" s="31" t="str">
        <f>B2</f>
        <v>AAA</v>
      </c>
      <c r="C5" s="22" t="str">
        <f>C2</f>
        <v>AAA42015</v>
      </c>
      <c r="D5" s="22" t="str">
        <f>D2</f>
        <v>DDSE</v>
      </c>
      <c r="E5" s="36">
        <v>42130</v>
      </c>
      <c r="F5" s="22"/>
      <c r="G5" s="22">
        <v>1</v>
      </c>
      <c r="H5" s="22">
        <f>H2</f>
        <v>3</v>
      </c>
    </row>
    <row r="6" spans="1:9" s="17" customFormat="1" x14ac:dyDescent="0.2">
      <c r="A6" s="22">
        <f>A2</f>
        <v>1</v>
      </c>
      <c r="B6" s="31" t="str">
        <f>B2</f>
        <v>AAA</v>
      </c>
      <c r="C6" s="22" t="str">
        <f>C2</f>
        <v>AAA42015</v>
      </c>
      <c r="D6" s="22" t="str">
        <f>D2</f>
        <v>DDSE</v>
      </c>
      <c r="E6" s="36">
        <v>42137</v>
      </c>
      <c r="F6" s="22"/>
      <c r="G6" s="22">
        <v>1</v>
      </c>
      <c r="H6" s="22">
        <f>H2</f>
        <v>3</v>
      </c>
    </row>
    <row r="7" spans="1:9" s="17" customFormat="1" x14ac:dyDescent="0.2">
      <c r="A7" s="22">
        <f>A2</f>
        <v>1</v>
      </c>
      <c r="B7" s="31" t="str">
        <f>B2</f>
        <v>AAA</v>
      </c>
      <c r="C7" s="22" t="str">
        <f>C2</f>
        <v>AAA42015</v>
      </c>
      <c r="D7" s="22" t="str">
        <f>D2</f>
        <v>DDSE</v>
      </c>
      <c r="E7" s="36">
        <v>42144</v>
      </c>
      <c r="F7" s="22"/>
      <c r="G7" s="22">
        <v>1</v>
      </c>
      <c r="H7" s="22">
        <f>H2</f>
        <v>3</v>
      </c>
    </row>
    <row r="8" spans="1:9" s="17" customFormat="1" x14ac:dyDescent="0.2">
      <c r="A8" s="23">
        <f>A2</f>
        <v>1</v>
      </c>
      <c r="B8" s="32" t="str">
        <f>B2</f>
        <v>AAA</v>
      </c>
      <c r="C8" s="23" t="str">
        <f>C2</f>
        <v>AAA42015</v>
      </c>
      <c r="D8" s="23" t="str">
        <f>D2</f>
        <v>DDSE</v>
      </c>
      <c r="E8" s="37">
        <v>42113</v>
      </c>
      <c r="F8" s="23"/>
      <c r="G8" s="23">
        <v>2</v>
      </c>
      <c r="H8" s="23">
        <f>H2</f>
        <v>3</v>
      </c>
    </row>
    <row r="9" spans="1:9" s="17" customFormat="1" x14ac:dyDescent="0.2">
      <c r="A9" s="23">
        <f>A2</f>
        <v>1</v>
      </c>
      <c r="B9" s="32" t="str">
        <f>B2</f>
        <v>AAA</v>
      </c>
      <c r="C9" s="23" t="str">
        <f>C2</f>
        <v>AAA42015</v>
      </c>
      <c r="D9" s="23" t="str">
        <f>D2</f>
        <v>DDSE</v>
      </c>
      <c r="E9" s="37">
        <v>42120</v>
      </c>
      <c r="F9" s="23"/>
      <c r="G9" s="23">
        <v>2</v>
      </c>
      <c r="H9" s="23">
        <v>1</v>
      </c>
    </row>
    <row r="10" spans="1:9" s="17" customFormat="1" x14ac:dyDescent="0.2">
      <c r="A10" s="23">
        <f>A2</f>
        <v>1</v>
      </c>
      <c r="B10" s="32" t="str">
        <f>B2</f>
        <v>AAA</v>
      </c>
      <c r="C10" s="23" t="str">
        <f>C2</f>
        <v>AAA42015</v>
      </c>
      <c r="D10" s="23" t="str">
        <f>D2</f>
        <v>DDSE</v>
      </c>
      <c r="E10" s="37">
        <v>42134</v>
      </c>
      <c r="F10" s="23"/>
      <c r="G10" s="23">
        <v>2</v>
      </c>
      <c r="H10" s="23">
        <f>H2</f>
        <v>3</v>
      </c>
    </row>
    <row r="11" spans="1:9" s="17" customFormat="1" x14ac:dyDescent="0.2">
      <c r="A11" s="23">
        <f>A2</f>
        <v>1</v>
      </c>
      <c r="B11" s="32" t="str">
        <f>B2</f>
        <v>AAA</v>
      </c>
      <c r="C11" s="23" t="str">
        <f>C2</f>
        <v>AAA42015</v>
      </c>
      <c r="D11" s="23" t="str">
        <f>D2</f>
        <v>DDSE</v>
      </c>
      <c r="E11" s="37">
        <v>42141</v>
      </c>
      <c r="F11" s="23"/>
      <c r="G11" s="23">
        <v>2</v>
      </c>
      <c r="H11" s="23">
        <f>H2</f>
        <v>3</v>
      </c>
    </row>
    <row r="12" spans="1:9" s="17" customFormat="1" x14ac:dyDescent="0.2">
      <c r="A12" s="23">
        <f>A2</f>
        <v>1</v>
      </c>
      <c r="B12" s="32" t="str">
        <f>B2</f>
        <v>AAA</v>
      </c>
      <c r="C12" s="23" t="str">
        <f>C2</f>
        <v>AAA42015</v>
      </c>
      <c r="D12" s="23" t="str">
        <f>D2</f>
        <v>DDSE</v>
      </c>
      <c r="E12" s="37">
        <v>42148</v>
      </c>
      <c r="F12" s="23"/>
      <c r="G12" s="23">
        <v>2</v>
      </c>
      <c r="H12" s="23">
        <f>H2</f>
        <v>3</v>
      </c>
    </row>
    <row r="13" spans="1:9" s="19" customFormat="1" x14ac:dyDescent="0.2">
      <c r="A13" s="26">
        <f>A2</f>
        <v>1</v>
      </c>
      <c r="B13" s="33" t="str">
        <f>B2</f>
        <v>AAA</v>
      </c>
      <c r="C13" s="26" t="str">
        <f>C2</f>
        <v>AAA42015</v>
      </c>
      <c r="D13" s="26" t="str">
        <f>D2</f>
        <v>DDSE</v>
      </c>
      <c r="E13" s="38">
        <v>42112</v>
      </c>
      <c r="F13" s="26"/>
      <c r="G13" s="26">
        <v>3</v>
      </c>
      <c r="H13" s="26">
        <f>H2</f>
        <v>3</v>
      </c>
    </row>
    <row r="14" spans="1:9" s="17" customFormat="1" x14ac:dyDescent="0.2">
      <c r="A14" s="26">
        <f>A2</f>
        <v>1</v>
      </c>
      <c r="B14" s="33" t="str">
        <f>B2</f>
        <v>AAA</v>
      </c>
      <c r="C14" s="26" t="str">
        <f>C2</f>
        <v>AAA42015</v>
      </c>
      <c r="D14" s="26" t="str">
        <f>D2</f>
        <v>DDSE</v>
      </c>
      <c r="E14" s="38">
        <v>42119</v>
      </c>
      <c r="F14" s="26"/>
      <c r="G14" s="26">
        <v>3</v>
      </c>
      <c r="H14" s="26">
        <f>H2</f>
        <v>3</v>
      </c>
    </row>
    <row r="15" spans="1:9" s="17" customFormat="1" x14ac:dyDescent="0.2">
      <c r="A15" s="26">
        <f>A2</f>
        <v>1</v>
      </c>
      <c r="B15" s="33" t="str">
        <f>B2</f>
        <v>AAA</v>
      </c>
      <c r="C15" s="26" t="str">
        <f>C2</f>
        <v>AAA42015</v>
      </c>
      <c r="D15" s="26" t="str">
        <f>D2</f>
        <v>DDSE</v>
      </c>
      <c r="E15" s="38">
        <v>42133</v>
      </c>
      <c r="F15" s="26"/>
      <c r="G15" s="26">
        <v>3</v>
      </c>
      <c r="H15" s="26">
        <f>H2</f>
        <v>3</v>
      </c>
    </row>
    <row r="16" spans="1:9" s="17" customFormat="1" x14ac:dyDescent="0.2">
      <c r="A16" s="26">
        <f>A2</f>
        <v>1</v>
      </c>
      <c r="B16" s="33" t="str">
        <f>B2</f>
        <v>AAA</v>
      </c>
      <c r="C16" s="26" t="str">
        <f>C2</f>
        <v>AAA42015</v>
      </c>
      <c r="D16" s="26" t="str">
        <f>D2</f>
        <v>DDSE</v>
      </c>
      <c r="E16" s="38">
        <v>42140</v>
      </c>
      <c r="F16" s="26"/>
      <c r="G16" s="26">
        <v>3</v>
      </c>
      <c r="H16" s="26">
        <f>H2</f>
        <v>3</v>
      </c>
    </row>
    <row r="17" spans="1:17" s="17" customFormat="1" x14ac:dyDescent="0.2">
      <c r="A17" s="26">
        <f>A2</f>
        <v>1</v>
      </c>
      <c r="B17" s="33" t="str">
        <f>B2</f>
        <v>AAA</v>
      </c>
      <c r="C17" s="26" t="str">
        <f>C2</f>
        <v>AAA42015</v>
      </c>
      <c r="D17" s="26" t="str">
        <f>D2</f>
        <v>DDSE</v>
      </c>
      <c r="E17" s="38">
        <v>42147</v>
      </c>
      <c r="F17" s="26"/>
      <c r="G17" s="26">
        <v>3</v>
      </c>
      <c r="H17" s="26">
        <f>H2</f>
        <v>3</v>
      </c>
    </row>
    <row r="18" spans="1:17" s="17" customFormat="1" x14ac:dyDescent="0.2">
      <c r="A18" s="25">
        <f>A2</f>
        <v>1</v>
      </c>
      <c r="B18" s="34" t="str">
        <f>B2</f>
        <v>AAA</v>
      </c>
      <c r="C18" s="25" t="str">
        <f>C2</f>
        <v>AAA42015</v>
      </c>
      <c r="D18" s="25" t="str">
        <f>D2</f>
        <v>DDSE</v>
      </c>
      <c r="E18" s="39">
        <v>42107</v>
      </c>
      <c r="F18" s="25"/>
      <c r="G18" s="25">
        <v>4</v>
      </c>
      <c r="H18" s="25">
        <f>H2</f>
        <v>3</v>
      </c>
    </row>
    <row r="19" spans="1:17" s="17" customFormat="1" x14ac:dyDescent="0.2">
      <c r="A19" s="25">
        <f>A2</f>
        <v>1</v>
      </c>
      <c r="B19" s="34" t="str">
        <f>B2</f>
        <v>AAA</v>
      </c>
      <c r="C19" s="25" t="str">
        <f>C2</f>
        <v>AAA42015</v>
      </c>
      <c r="D19" s="25" t="str">
        <f>D2</f>
        <v>DDSE</v>
      </c>
      <c r="E19" s="39">
        <v>42114</v>
      </c>
      <c r="F19" s="25"/>
      <c r="G19" s="25">
        <v>4</v>
      </c>
      <c r="H19" s="25">
        <f>H2</f>
        <v>3</v>
      </c>
    </row>
    <row r="20" spans="1:17" s="17" customFormat="1" x14ac:dyDescent="0.2">
      <c r="A20" s="25">
        <f>A2</f>
        <v>1</v>
      </c>
      <c r="B20" s="34" t="str">
        <f>B2</f>
        <v>AAA</v>
      </c>
      <c r="C20" s="25" t="str">
        <f>C2</f>
        <v>AAA42015</v>
      </c>
      <c r="D20" s="25" t="str">
        <f>D2</f>
        <v>DDSE</v>
      </c>
      <c r="E20" s="39">
        <v>42128</v>
      </c>
      <c r="F20" s="25"/>
      <c r="G20" s="25">
        <v>4</v>
      </c>
      <c r="H20" s="25">
        <v>1</v>
      </c>
    </row>
    <row r="21" spans="1:17" s="17" customFormat="1" x14ac:dyDescent="0.2">
      <c r="A21" s="25">
        <f>A2</f>
        <v>1</v>
      </c>
      <c r="B21" s="34" t="str">
        <f>B2</f>
        <v>AAA</v>
      </c>
      <c r="C21" s="25" t="str">
        <f>C2</f>
        <v>AAA42015</v>
      </c>
      <c r="D21" s="25" t="str">
        <f>D2</f>
        <v>DDSE</v>
      </c>
      <c r="E21" s="39">
        <v>42135</v>
      </c>
      <c r="F21" s="25"/>
      <c r="G21" s="25">
        <v>4</v>
      </c>
      <c r="H21" s="25">
        <f>H2</f>
        <v>3</v>
      </c>
    </row>
    <row r="22" spans="1:17" s="17" customFormat="1" x14ac:dyDescent="0.2">
      <c r="A22" s="25">
        <f>A2</f>
        <v>1</v>
      </c>
      <c r="B22" s="34" t="str">
        <f>B2</f>
        <v>AAA</v>
      </c>
      <c r="C22" s="25" t="str">
        <f>C2</f>
        <v>AAA42015</v>
      </c>
      <c r="D22" s="25" t="str">
        <f>D2</f>
        <v>DDSE</v>
      </c>
      <c r="E22" s="39">
        <v>42142</v>
      </c>
      <c r="F22" s="25"/>
      <c r="G22" s="25">
        <v>4</v>
      </c>
      <c r="H22" s="25">
        <f>H2</f>
        <v>3</v>
      </c>
    </row>
    <row r="23" spans="1:17" s="17" customFormat="1" x14ac:dyDescent="0.2">
      <c r="A23" s="24">
        <f>A2</f>
        <v>1</v>
      </c>
      <c r="B23" s="35" t="str">
        <f>B2</f>
        <v>AAA</v>
      </c>
      <c r="C23" s="24" t="str">
        <f>C2</f>
        <v>AAA42015</v>
      </c>
      <c r="D23" s="24" t="str">
        <f>D2</f>
        <v>DDSE</v>
      </c>
      <c r="E23" s="40">
        <v>42111</v>
      </c>
      <c r="F23" s="24"/>
      <c r="G23" s="24">
        <v>5</v>
      </c>
      <c r="H23" s="24">
        <f>H2</f>
        <v>3</v>
      </c>
    </row>
    <row r="24" spans="1:17" s="17" customFormat="1" x14ac:dyDescent="0.2">
      <c r="A24" s="24">
        <f>A2</f>
        <v>1</v>
      </c>
      <c r="B24" s="35" t="str">
        <f>B2</f>
        <v>AAA</v>
      </c>
      <c r="C24" s="24" t="str">
        <f>C2</f>
        <v>AAA42015</v>
      </c>
      <c r="D24" s="24" t="str">
        <f>D2</f>
        <v>DDSE</v>
      </c>
      <c r="E24" s="40">
        <v>42118</v>
      </c>
      <c r="F24" s="24"/>
      <c r="G24" s="24">
        <v>5</v>
      </c>
      <c r="H24" s="24">
        <f>H2</f>
        <v>3</v>
      </c>
    </row>
    <row r="25" spans="1:17" s="17" customFormat="1" x14ac:dyDescent="0.2">
      <c r="A25" s="24">
        <f>A2</f>
        <v>1</v>
      </c>
      <c r="B25" s="35" t="str">
        <f>B2</f>
        <v>AAA</v>
      </c>
      <c r="C25" s="24" t="str">
        <f>C2</f>
        <v>AAA42015</v>
      </c>
      <c r="D25" s="24" t="str">
        <f>D2</f>
        <v>DDSE</v>
      </c>
      <c r="E25" s="40">
        <v>42132</v>
      </c>
      <c r="F25" s="24"/>
      <c r="G25" s="24">
        <v>5</v>
      </c>
      <c r="H25" s="24">
        <f>H2</f>
        <v>3</v>
      </c>
    </row>
    <row r="26" spans="1:17" s="17" customFormat="1" x14ac:dyDescent="0.2">
      <c r="A26" s="24">
        <f>A2</f>
        <v>1</v>
      </c>
      <c r="B26" s="35" t="str">
        <f>B2</f>
        <v>AAA</v>
      </c>
      <c r="C26" s="24" t="str">
        <f>C2</f>
        <v>AAA42015</v>
      </c>
      <c r="D26" s="24" t="str">
        <f>D2</f>
        <v>DDSE</v>
      </c>
      <c r="E26" s="40">
        <v>42139</v>
      </c>
      <c r="F26" s="24"/>
      <c r="G26" s="24">
        <v>5</v>
      </c>
      <c r="H26" s="24">
        <f>H2</f>
        <v>3</v>
      </c>
    </row>
    <row r="27" spans="1:17" s="17" customFormat="1" x14ac:dyDescent="0.2">
      <c r="A27" s="24">
        <f>A2</f>
        <v>1</v>
      </c>
      <c r="B27" s="35" t="str">
        <f>B2</f>
        <v>AAA</v>
      </c>
      <c r="C27" s="24" t="str">
        <f>C2</f>
        <v>AAA42015</v>
      </c>
      <c r="D27" s="24" t="str">
        <f>D2</f>
        <v>DDSE</v>
      </c>
      <c r="E27" s="40">
        <v>42146</v>
      </c>
      <c r="F27" s="24"/>
      <c r="G27" s="24">
        <v>5</v>
      </c>
      <c r="H27" s="24">
        <f>H2</f>
        <v>3</v>
      </c>
      <c r="K27" s="19"/>
      <c r="L27" s="19"/>
      <c r="M27" s="19"/>
      <c r="N27" s="19"/>
    </row>
    <row r="28" spans="1:17" s="17" customFormat="1" x14ac:dyDescent="0.2">
      <c r="A28" s="22">
        <f>A2</f>
        <v>1</v>
      </c>
      <c r="B28" s="31" t="str">
        <f>B2</f>
        <v>AAA</v>
      </c>
      <c r="C28" s="22" t="str">
        <f>C2</f>
        <v>AAA42015</v>
      </c>
      <c r="D28" s="22" t="str">
        <f>D2</f>
        <v>DDSE</v>
      </c>
      <c r="E28" s="36">
        <v>42207</v>
      </c>
      <c r="F28" s="22"/>
      <c r="G28" s="22">
        <v>1</v>
      </c>
      <c r="H28" s="22">
        <v>2</v>
      </c>
      <c r="K28" s="21"/>
      <c r="L28" s="28"/>
      <c r="M28" s="21"/>
      <c r="N28" s="19"/>
      <c r="O28" s="19"/>
      <c r="P28" s="21"/>
      <c r="Q28" s="20"/>
    </row>
    <row r="29" spans="1:17" x14ac:dyDescent="0.2">
      <c r="A29" s="22">
        <f>A28</f>
        <v>1</v>
      </c>
      <c r="B29" s="31" t="str">
        <f>B28</f>
        <v>AAA</v>
      </c>
      <c r="C29" s="22" t="str">
        <f>C28</f>
        <v>AAA42015</v>
      </c>
      <c r="D29" s="22" t="str">
        <f>D28</f>
        <v>DDSE</v>
      </c>
      <c r="E29" s="36">
        <v>42214</v>
      </c>
      <c r="F29" s="22"/>
      <c r="G29" s="22">
        <v>1</v>
      </c>
      <c r="H29" s="22">
        <f>H28</f>
        <v>2</v>
      </c>
      <c r="I29" s="17"/>
      <c r="K29" s="21"/>
      <c r="L29" s="28"/>
      <c r="M29" s="21"/>
      <c r="N29" s="19"/>
      <c r="O29" s="19"/>
      <c r="P29" s="21"/>
      <c r="Q29" s="20"/>
    </row>
    <row r="30" spans="1:17" x14ac:dyDescent="0.2">
      <c r="A30" s="22">
        <f>A28</f>
        <v>1</v>
      </c>
      <c r="B30" s="31" t="str">
        <f>B28</f>
        <v>AAA</v>
      </c>
      <c r="C30" s="22" t="str">
        <f>C28</f>
        <v>AAA42015</v>
      </c>
      <c r="D30" s="22" t="str">
        <f>D28</f>
        <v>DDSE</v>
      </c>
      <c r="E30" s="36">
        <v>42221</v>
      </c>
      <c r="F30" s="22"/>
      <c r="G30" s="22">
        <v>1</v>
      </c>
      <c r="H30" s="22">
        <f>H28</f>
        <v>2</v>
      </c>
      <c r="I30" s="17"/>
      <c r="K30" s="21"/>
      <c r="L30" s="28"/>
      <c r="M30" s="21"/>
      <c r="N30" s="19"/>
      <c r="O30" s="19"/>
      <c r="P30" s="21"/>
      <c r="Q30" s="20"/>
    </row>
    <row r="31" spans="1:17" x14ac:dyDescent="0.2">
      <c r="A31" s="22">
        <f>A28</f>
        <v>1</v>
      </c>
      <c r="B31" s="31" t="str">
        <f>B28</f>
        <v>AAA</v>
      </c>
      <c r="C31" s="22" t="str">
        <f>C28</f>
        <v>AAA42015</v>
      </c>
      <c r="D31" s="22" t="str">
        <f>D28</f>
        <v>DDSE</v>
      </c>
      <c r="E31" s="36">
        <v>42228</v>
      </c>
      <c r="F31" s="22"/>
      <c r="G31" s="22">
        <v>1</v>
      </c>
      <c r="H31" s="22">
        <f>H28</f>
        <v>2</v>
      </c>
      <c r="I31" s="17"/>
      <c r="K31" s="21"/>
      <c r="L31" s="28"/>
      <c r="M31" s="21"/>
      <c r="N31" s="19"/>
      <c r="O31" s="19"/>
      <c r="P31" s="21"/>
      <c r="Q31" s="20"/>
    </row>
    <row r="32" spans="1:17" x14ac:dyDescent="0.2">
      <c r="A32" s="22">
        <f>A28</f>
        <v>1</v>
      </c>
      <c r="B32" s="31" t="str">
        <f>B28</f>
        <v>AAA</v>
      </c>
      <c r="C32" s="22" t="str">
        <f>C28</f>
        <v>AAA42015</v>
      </c>
      <c r="D32" s="22" t="str">
        <f>D28</f>
        <v>DDSE</v>
      </c>
      <c r="E32" s="36">
        <v>42235</v>
      </c>
      <c r="F32" s="22"/>
      <c r="G32" s="22">
        <v>1</v>
      </c>
      <c r="H32" s="22">
        <f>H28</f>
        <v>2</v>
      </c>
      <c r="I32" s="17"/>
      <c r="K32" s="21"/>
      <c r="L32" s="28"/>
      <c r="M32" s="21"/>
      <c r="N32" s="19"/>
      <c r="O32" s="17"/>
      <c r="P32" s="6"/>
      <c r="Q32" s="18"/>
    </row>
    <row r="33" spans="1:17" x14ac:dyDescent="0.2">
      <c r="A33" s="23">
        <f>A28</f>
        <v>1</v>
      </c>
      <c r="B33" s="32" t="str">
        <f>B28</f>
        <v>AAA</v>
      </c>
      <c r="C33" s="23" t="str">
        <f>C28</f>
        <v>AAA42015</v>
      </c>
      <c r="D33" s="23" t="str">
        <f>D28</f>
        <v>DDSE</v>
      </c>
      <c r="E33" s="37">
        <v>42211</v>
      </c>
      <c r="F33" s="23"/>
      <c r="G33" s="23">
        <v>2</v>
      </c>
      <c r="H33" s="23">
        <f>H28</f>
        <v>2</v>
      </c>
      <c r="I33" s="17"/>
      <c r="K33" s="21"/>
      <c r="L33" s="28"/>
      <c r="M33" s="21"/>
      <c r="N33" s="19"/>
      <c r="O33" s="17"/>
      <c r="P33" s="6"/>
      <c r="Q33" s="18"/>
    </row>
    <row r="34" spans="1:17" x14ac:dyDescent="0.2">
      <c r="A34" s="23">
        <f>A2</f>
        <v>1</v>
      </c>
      <c r="B34" s="32" t="str">
        <f>B28</f>
        <v>AAA</v>
      </c>
      <c r="C34" s="23" t="str">
        <f>C28</f>
        <v>AAA42015</v>
      </c>
      <c r="D34" s="23" t="str">
        <f>D28</f>
        <v>DDSE</v>
      </c>
      <c r="E34" s="37">
        <v>42218</v>
      </c>
      <c r="F34" s="23"/>
      <c r="G34" s="23">
        <v>2</v>
      </c>
      <c r="H34" s="23">
        <f>H28</f>
        <v>2</v>
      </c>
      <c r="I34" s="17"/>
      <c r="K34" s="21"/>
      <c r="L34" s="28"/>
      <c r="M34" s="21"/>
      <c r="N34" s="19"/>
      <c r="O34" s="17"/>
      <c r="P34" s="6"/>
      <c r="Q34" s="18"/>
    </row>
    <row r="35" spans="1:17" x14ac:dyDescent="0.2">
      <c r="A35" s="23">
        <f>A28</f>
        <v>1</v>
      </c>
      <c r="B35" s="32" t="str">
        <f>B28</f>
        <v>AAA</v>
      </c>
      <c r="C35" s="23" t="str">
        <f>C28</f>
        <v>AAA42015</v>
      </c>
      <c r="D35" s="23" t="str">
        <f>D28</f>
        <v>DDSE</v>
      </c>
      <c r="E35" s="37">
        <v>42225</v>
      </c>
      <c r="F35" s="23"/>
      <c r="G35" s="23">
        <v>2</v>
      </c>
      <c r="H35" s="23">
        <f>H28</f>
        <v>2</v>
      </c>
      <c r="I35" s="17"/>
      <c r="K35" s="21"/>
      <c r="L35" s="28"/>
      <c r="M35" s="21"/>
      <c r="N35" s="19"/>
      <c r="O35" s="17"/>
      <c r="P35" s="6"/>
      <c r="Q35" s="18"/>
    </row>
    <row r="36" spans="1:17" x14ac:dyDescent="0.2">
      <c r="A36" s="23">
        <f>A28</f>
        <v>1</v>
      </c>
      <c r="B36" s="32" t="str">
        <f>B28</f>
        <v>AAA</v>
      </c>
      <c r="C36" s="23" t="str">
        <f>C28</f>
        <v>AAA42015</v>
      </c>
      <c r="D36" s="23" t="str">
        <f>D28</f>
        <v>DDSE</v>
      </c>
      <c r="E36" s="37">
        <v>42232</v>
      </c>
      <c r="F36" s="23"/>
      <c r="G36" s="23">
        <v>2</v>
      </c>
      <c r="H36" s="23">
        <f>H28</f>
        <v>2</v>
      </c>
      <c r="I36" s="17"/>
      <c r="J36" s="17"/>
      <c r="K36" s="21"/>
      <c r="L36" s="28"/>
      <c r="M36" s="21"/>
      <c r="N36" s="19"/>
      <c r="O36" s="17"/>
      <c r="P36" s="6"/>
      <c r="Q36" s="18"/>
    </row>
    <row r="37" spans="1:17" x14ac:dyDescent="0.2">
      <c r="A37" s="23">
        <f>A28</f>
        <v>1</v>
      </c>
      <c r="B37" s="32" t="str">
        <f>B28</f>
        <v>AAA</v>
      </c>
      <c r="C37" s="23" t="str">
        <f>C28</f>
        <v>AAA42015</v>
      </c>
      <c r="D37" s="23" t="str">
        <f>D28</f>
        <v>DDSE</v>
      </c>
      <c r="E37" s="37">
        <v>42239</v>
      </c>
      <c r="F37" s="23"/>
      <c r="G37" s="23">
        <v>2</v>
      </c>
      <c r="H37" s="23">
        <f>H28</f>
        <v>2</v>
      </c>
      <c r="K37" s="21"/>
      <c r="L37" s="28"/>
      <c r="M37" s="21"/>
      <c r="N37" s="19"/>
      <c r="O37" s="17"/>
      <c r="P37" s="6"/>
      <c r="Q37" s="18"/>
    </row>
    <row r="38" spans="1:17" x14ac:dyDescent="0.2">
      <c r="A38" s="26">
        <f>A28</f>
        <v>1</v>
      </c>
      <c r="B38" s="33" t="str">
        <f>B28</f>
        <v>AAA</v>
      </c>
      <c r="C38" s="26" t="str">
        <f>C28</f>
        <v>AAA42015</v>
      </c>
      <c r="D38" s="26" t="str">
        <f>D28</f>
        <v>DDSE</v>
      </c>
      <c r="E38" s="38">
        <v>42210</v>
      </c>
      <c r="F38" s="26"/>
      <c r="G38" s="26">
        <v>3</v>
      </c>
      <c r="H38" s="26">
        <f>H28</f>
        <v>2</v>
      </c>
      <c r="K38" s="21"/>
      <c r="L38" s="28"/>
      <c r="M38" s="21"/>
      <c r="N38" s="19"/>
      <c r="O38" s="17"/>
      <c r="P38" s="6"/>
      <c r="Q38" s="18"/>
    </row>
    <row r="39" spans="1:17" x14ac:dyDescent="0.2">
      <c r="A39" s="26">
        <f>A28</f>
        <v>1</v>
      </c>
      <c r="B39" s="33" t="str">
        <f>B28</f>
        <v>AAA</v>
      </c>
      <c r="C39" s="26" t="str">
        <f>C28</f>
        <v>AAA42015</v>
      </c>
      <c r="D39" s="26" t="str">
        <f>D28</f>
        <v>DDSE</v>
      </c>
      <c r="E39" s="38">
        <v>42217</v>
      </c>
      <c r="F39" s="26"/>
      <c r="G39" s="26">
        <v>3</v>
      </c>
      <c r="H39" s="26">
        <f>H28</f>
        <v>2</v>
      </c>
      <c r="K39" s="21"/>
      <c r="L39" s="28"/>
      <c r="M39" s="21"/>
      <c r="N39" s="19"/>
      <c r="O39" s="17"/>
      <c r="P39" s="6"/>
      <c r="Q39" s="18"/>
    </row>
    <row r="40" spans="1:17" x14ac:dyDescent="0.2">
      <c r="A40" s="26">
        <f>A28</f>
        <v>1</v>
      </c>
      <c r="B40" s="33" t="str">
        <f>B28</f>
        <v>AAA</v>
      </c>
      <c r="C40" s="26" t="str">
        <f>C28</f>
        <v>AAA42015</v>
      </c>
      <c r="D40" s="26" t="str">
        <f>D28</f>
        <v>DDSE</v>
      </c>
      <c r="E40" s="38">
        <v>42224</v>
      </c>
      <c r="F40" s="26"/>
      <c r="G40" s="26">
        <v>3</v>
      </c>
      <c r="H40" s="26">
        <f>H28</f>
        <v>2</v>
      </c>
      <c r="K40" s="21"/>
      <c r="L40" s="28"/>
      <c r="M40" s="21"/>
      <c r="N40" s="19"/>
      <c r="O40" s="17"/>
      <c r="P40" s="6"/>
      <c r="Q40" s="18"/>
    </row>
    <row r="41" spans="1:17" x14ac:dyDescent="0.2">
      <c r="A41" s="26">
        <f>A28</f>
        <v>1</v>
      </c>
      <c r="B41" s="33" t="str">
        <f>B28</f>
        <v>AAA</v>
      </c>
      <c r="C41" s="26" t="str">
        <f>C28</f>
        <v>AAA42015</v>
      </c>
      <c r="D41" s="26" t="str">
        <f>D28</f>
        <v>DDSE</v>
      </c>
      <c r="E41" s="38">
        <v>42231</v>
      </c>
      <c r="F41" s="26"/>
      <c r="G41" s="26">
        <v>3</v>
      </c>
      <c r="H41" s="26">
        <f>H28</f>
        <v>2</v>
      </c>
      <c r="K41" s="21"/>
      <c r="L41" s="28"/>
      <c r="M41" s="21"/>
      <c r="N41" s="19"/>
      <c r="O41" s="17"/>
      <c r="P41" s="6"/>
      <c r="Q41" s="18"/>
    </row>
    <row r="42" spans="1:17" x14ac:dyDescent="0.2">
      <c r="A42" s="26">
        <f>A28</f>
        <v>1</v>
      </c>
      <c r="B42" s="33" t="str">
        <f>B28</f>
        <v>AAA</v>
      </c>
      <c r="C42" s="26" t="str">
        <f>C28</f>
        <v>AAA42015</v>
      </c>
      <c r="D42" s="26" t="str">
        <f>D28</f>
        <v>DDSE</v>
      </c>
      <c r="E42" s="38">
        <v>42146</v>
      </c>
      <c r="F42" s="26"/>
      <c r="G42" s="26">
        <v>3</v>
      </c>
      <c r="H42" s="26">
        <f>H28</f>
        <v>2</v>
      </c>
      <c r="K42" s="21"/>
      <c r="L42" s="28"/>
      <c r="M42" s="21"/>
      <c r="N42" s="19"/>
      <c r="O42" s="17"/>
      <c r="P42" s="6"/>
      <c r="Q42" s="18"/>
    </row>
    <row r="43" spans="1:17" x14ac:dyDescent="0.2">
      <c r="A43" s="25">
        <f>A28</f>
        <v>1</v>
      </c>
      <c r="B43" s="34" t="str">
        <f>B28</f>
        <v>AAA</v>
      </c>
      <c r="C43" s="25" t="str">
        <f>C28</f>
        <v>AAA42015</v>
      </c>
      <c r="D43" s="25" t="str">
        <f>D28</f>
        <v>DDSE</v>
      </c>
      <c r="E43" s="39">
        <v>42205</v>
      </c>
      <c r="F43" s="25"/>
      <c r="G43" s="25">
        <v>4</v>
      </c>
      <c r="H43" s="25">
        <f>H28</f>
        <v>2</v>
      </c>
      <c r="K43" s="21"/>
      <c r="L43" s="28"/>
      <c r="M43" s="21"/>
      <c r="N43" s="19"/>
      <c r="O43" s="17"/>
      <c r="P43" s="6"/>
      <c r="Q43" s="18"/>
    </row>
    <row r="44" spans="1:17" x14ac:dyDescent="0.2">
      <c r="A44" s="25">
        <f>A28</f>
        <v>1</v>
      </c>
      <c r="B44" s="34" t="str">
        <f>B28</f>
        <v>AAA</v>
      </c>
      <c r="C44" s="25" t="str">
        <f>C28</f>
        <v>AAA42015</v>
      </c>
      <c r="D44" s="25" t="str">
        <f>D28</f>
        <v>DDSE</v>
      </c>
      <c r="E44" s="39">
        <v>42212</v>
      </c>
      <c r="F44" s="25"/>
      <c r="G44" s="25">
        <v>4</v>
      </c>
      <c r="H44" s="25">
        <f>H28</f>
        <v>2</v>
      </c>
      <c r="K44" s="21"/>
      <c r="L44" s="28"/>
      <c r="M44" s="21"/>
      <c r="N44" s="19"/>
      <c r="O44" s="17"/>
      <c r="P44" s="6"/>
      <c r="Q44" s="18"/>
    </row>
    <row r="45" spans="1:17" x14ac:dyDescent="0.2">
      <c r="A45" s="25">
        <f>A28</f>
        <v>1</v>
      </c>
      <c r="B45" s="34" t="str">
        <f>B28</f>
        <v>AAA</v>
      </c>
      <c r="C45" s="25" t="str">
        <f>C28</f>
        <v>AAA42015</v>
      </c>
      <c r="D45" s="25" t="str">
        <f>D28</f>
        <v>DDSE</v>
      </c>
      <c r="E45" s="39">
        <v>42219</v>
      </c>
      <c r="F45" s="25"/>
      <c r="G45" s="25">
        <v>4</v>
      </c>
      <c r="H45" s="25">
        <f>H28</f>
        <v>2</v>
      </c>
      <c r="K45" s="21"/>
      <c r="L45" s="28"/>
      <c r="M45" s="21"/>
      <c r="N45" s="19"/>
      <c r="O45" s="17"/>
      <c r="P45" s="6"/>
      <c r="Q45" s="18"/>
    </row>
    <row r="46" spans="1:17" x14ac:dyDescent="0.2">
      <c r="A46" s="25">
        <f>A28</f>
        <v>1</v>
      </c>
      <c r="B46" s="34" t="str">
        <f>B28</f>
        <v>AAA</v>
      </c>
      <c r="C46" s="25" t="str">
        <f>C28</f>
        <v>AAA42015</v>
      </c>
      <c r="D46" s="25" t="str">
        <f>D28</f>
        <v>DDSE</v>
      </c>
      <c r="E46" s="39">
        <v>42226</v>
      </c>
      <c r="F46" s="25"/>
      <c r="G46" s="25">
        <v>4</v>
      </c>
      <c r="H46" s="25">
        <f>H28</f>
        <v>2</v>
      </c>
      <c r="K46" s="21"/>
      <c r="L46" s="28"/>
      <c r="M46" s="21"/>
      <c r="N46" s="19"/>
      <c r="O46" s="17"/>
      <c r="P46" s="6"/>
      <c r="Q46" s="18"/>
    </row>
    <row r="47" spans="1:17" x14ac:dyDescent="0.2">
      <c r="A47" s="25">
        <f>A28</f>
        <v>1</v>
      </c>
      <c r="B47" s="34" t="str">
        <f>B28</f>
        <v>AAA</v>
      </c>
      <c r="C47" s="25" t="str">
        <f>C28</f>
        <v>AAA42015</v>
      </c>
      <c r="D47" s="25" t="str">
        <f>D28</f>
        <v>DDSE</v>
      </c>
      <c r="E47" s="39">
        <v>42233</v>
      </c>
      <c r="F47" s="25"/>
      <c r="G47" s="25">
        <v>4</v>
      </c>
      <c r="H47" s="25">
        <f>H28</f>
        <v>2</v>
      </c>
      <c r="K47" s="21"/>
      <c r="L47" s="28"/>
      <c r="M47" s="21"/>
      <c r="N47" s="19"/>
      <c r="O47" s="17"/>
      <c r="P47" s="6"/>
      <c r="Q47" s="18"/>
    </row>
    <row r="48" spans="1:17" x14ac:dyDescent="0.2">
      <c r="A48" s="24">
        <f>A28</f>
        <v>1</v>
      </c>
      <c r="B48" s="35" t="str">
        <f>B28</f>
        <v>AAA</v>
      </c>
      <c r="C48" s="24" t="str">
        <f>C28</f>
        <v>AAA42015</v>
      </c>
      <c r="D48" s="24" t="str">
        <f>D28</f>
        <v>DDSE</v>
      </c>
      <c r="E48" s="40">
        <v>42209</v>
      </c>
      <c r="F48" s="24"/>
      <c r="G48" s="24">
        <v>5</v>
      </c>
      <c r="H48" s="24">
        <f>H28</f>
        <v>2</v>
      </c>
      <c r="K48" s="21"/>
      <c r="L48" s="28"/>
      <c r="M48" s="21"/>
      <c r="N48" s="19"/>
      <c r="O48" s="17"/>
      <c r="P48" s="6"/>
      <c r="Q48" s="18"/>
    </row>
    <row r="49" spans="1:17" x14ac:dyDescent="0.2">
      <c r="A49" s="24">
        <f>A28</f>
        <v>1</v>
      </c>
      <c r="B49" s="35" t="str">
        <f>B28</f>
        <v>AAA</v>
      </c>
      <c r="C49" s="24" t="str">
        <f>C28</f>
        <v>AAA42015</v>
      </c>
      <c r="D49" s="24" t="str">
        <f>D28</f>
        <v>DDSE</v>
      </c>
      <c r="E49" s="40">
        <v>42216</v>
      </c>
      <c r="F49" s="24"/>
      <c r="G49" s="24">
        <v>5</v>
      </c>
      <c r="H49" s="24">
        <f>H28</f>
        <v>2</v>
      </c>
      <c r="K49" s="21"/>
      <c r="L49" s="28"/>
      <c r="M49" s="21"/>
      <c r="N49" s="19"/>
      <c r="O49" s="17"/>
      <c r="P49" s="6"/>
      <c r="Q49" s="18"/>
    </row>
    <row r="50" spans="1:17" x14ac:dyDescent="0.2">
      <c r="A50" s="24">
        <f>A28</f>
        <v>1</v>
      </c>
      <c r="B50" s="35" t="str">
        <f>B28</f>
        <v>AAA</v>
      </c>
      <c r="C50" s="24" t="str">
        <f>C28</f>
        <v>AAA42015</v>
      </c>
      <c r="D50" s="24" t="str">
        <f>D28</f>
        <v>DDSE</v>
      </c>
      <c r="E50" s="40">
        <v>42223</v>
      </c>
      <c r="F50" s="24"/>
      <c r="G50" s="24">
        <v>5</v>
      </c>
      <c r="H50" s="24">
        <f>H28</f>
        <v>2</v>
      </c>
      <c r="K50" s="21"/>
      <c r="L50" s="28"/>
      <c r="M50" s="21"/>
      <c r="N50" s="19"/>
      <c r="O50" s="17"/>
      <c r="P50" s="6"/>
      <c r="Q50" s="18"/>
    </row>
    <row r="51" spans="1:17" x14ac:dyDescent="0.2">
      <c r="A51" s="24">
        <f>A28</f>
        <v>1</v>
      </c>
      <c r="B51" s="35" t="str">
        <f>B28</f>
        <v>AAA</v>
      </c>
      <c r="C51" s="24" t="str">
        <f>C28</f>
        <v>AAA42015</v>
      </c>
      <c r="D51" s="24" t="str">
        <f>D28</f>
        <v>DDSE</v>
      </c>
      <c r="E51" s="40">
        <v>42230</v>
      </c>
      <c r="F51" s="24"/>
      <c r="G51" s="24">
        <v>5</v>
      </c>
      <c r="H51" s="24">
        <f>H28</f>
        <v>2</v>
      </c>
      <c r="K51" s="21"/>
      <c r="L51" s="28"/>
      <c r="M51" s="21"/>
      <c r="N51" s="19"/>
      <c r="O51" s="17"/>
      <c r="P51" s="6"/>
      <c r="Q51" s="18"/>
    </row>
    <row r="52" spans="1:17" x14ac:dyDescent="0.2">
      <c r="A52" s="24">
        <f>A28</f>
        <v>1</v>
      </c>
      <c r="B52" s="35" t="str">
        <f>B28</f>
        <v>AAA</v>
      </c>
      <c r="C52" s="24" t="str">
        <f>C28</f>
        <v>AAA42015</v>
      </c>
      <c r="D52" s="24" t="str">
        <f>D28</f>
        <v>DDSE</v>
      </c>
      <c r="E52" s="40">
        <v>42237</v>
      </c>
      <c r="F52" s="24"/>
      <c r="G52" s="24">
        <v>5</v>
      </c>
      <c r="H52" s="24">
        <f>H28</f>
        <v>2</v>
      </c>
      <c r="K52" s="21"/>
      <c r="L52" s="28"/>
      <c r="M52" s="21"/>
      <c r="N52" s="19"/>
      <c r="O52" s="17"/>
      <c r="P52" s="6"/>
      <c r="Q52" s="18"/>
    </row>
    <row r="53" spans="1:17" x14ac:dyDescent="0.2">
      <c r="A53" s="22">
        <f>A2</f>
        <v>1</v>
      </c>
      <c r="B53" s="31" t="str">
        <f>B2</f>
        <v>AAA</v>
      </c>
      <c r="C53" s="22" t="str">
        <f>C2</f>
        <v>AAA42015</v>
      </c>
      <c r="D53" s="22" t="str">
        <f>D2</f>
        <v>DDSE</v>
      </c>
      <c r="E53" s="36">
        <v>42298</v>
      </c>
      <c r="F53" s="22"/>
      <c r="G53" s="22">
        <v>1</v>
      </c>
      <c r="H53" s="22">
        <v>3</v>
      </c>
      <c r="K53" s="21"/>
      <c r="L53" s="28"/>
      <c r="M53" s="21"/>
      <c r="N53" s="19"/>
      <c r="O53" s="17"/>
      <c r="P53" s="6"/>
      <c r="Q53" s="18"/>
    </row>
    <row r="54" spans="1:17" x14ac:dyDescent="0.2">
      <c r="A54" s="22">
        <f>A53</f>
        <v>1</v>
      </c>
      <c r="B54" s="31" t="str">
        <f>B53</f>
        <v>AAA</v>
      </c>
      <c r="C54" s="22" t="str">
        <f>C53</f>
        <v>AAA42015</v>
      </c>
      <c r="D54" s="22" t="str">
        <f>D53</f>
        <v>DDSE</v>
      </c>
      <c r="E54" s="36">
        <v>42305</v>
      </c>
      <c r="F54" s="22"/>
      <c r="G54" s="22">
        <v>1</v>
      </c>
      <c r="H54" s="22">
        <f>H53</f>
        <v>3</v>
      </c>
      <c r="K54" s="21"/>
      <c r="L54" s="28"/>
      <c r="M54" s="21"/>
      <c r="N54" s="19"/>
      <c r="O54" s="17"/>
      <c r="P54" s="6"/>
      <c r="Q54" s="18"/>
    </row>
    <row r="55" spans="1:17" x14ac:dyDescent="0.2">
      <c r="A55" s="22">
        <f>A53</f>
        <v>1</v>
      </c>
      <c r="B55" s="31" t="str">
        <f>B53</f>
        <v>AAA</v>
      </c>
      <c r="C55" s="22" t="str">
        <f>C53</f>
        <v>AAA42015</v>
      </c>
      <c r="D55" s="22" t="str">
        <f>D53</f>
        <v>DDSE</v>
      </c>
      <c r="E55" s="36">
        <v>42312</v>
      </c>
      <c r="F55" s="22"/>
      <c r="G55" s="22">
        <v>1</v>
      </c>
      <c r="H55" s="22">
        <f>H53</f>
        <v>3</v>
      </c>
      <c r="K55" s="21"/>
      <c r="L55" s="28"/>
      <c r="M55" s="21"/>
      <c r="N55" s="19"/>
      <c r="O55" s="17"/>
      <c r="P55" s="6"/>
      <c r="Q55" s="18"/>
    </row>
    <row r="56" spans="1:17" x14ac:dyDescent="0.2">
      <c r="A56" s="22">
        <f>A53</f>
        <v>1</v>
      </c>
      <c r="B56" s="31" t="str">
        <f>B53</f>
        <v>AAA</v>
      </c>
      <c r="C56" s="22" t="str">
        <f>C53</f>
        <v>AAA42015</v>
      </c>
      <c r="D56" s="22" t="str">
        <f>D53</f>
        <v>DDSE</v>
      </c>
      <c r="E56" s="36">
        <v>42319</v>
      </c>
      <c r="F56" s="22"/>
      <c r="G56" s="22">
        <v>1</v>
      </c>
      <c r="H56" s="22">
        <f>H53</f>
        <v>3</v>
      </c>
      <c r="K56" s="21"/>
      <c r="L56" s="28"/>
      <c r="M56" s="21"/>
      <c r="N56" s="19"/>
      <c r="O56" s="17"/>
      <c r="P56" s="6"/>
      <c r="Q56" s="18"/>
    </row>
    <row r="57" spans="1:17" x14ac:dyDescent="0.2">
      <c r="A57" s="22">
        <f>A53</f>
        <v>1</v>
      </c>
      <c r="B57" s="31" t="str">
        <f>B53</f>
        <v>AAA</v>
      </c>
      <c r="C57" s="22" t="str">
        <f>C53</f>
        <v>AAA42015</v>
      </c>
      <c r="D57" s="22" t="str">
        <f>D53</f>
        <v>DDSE</v>
      </c>
      <c r="E57" s="36">
        <v>42333</v>
      </c>
      <c r="F57" s="22"/>
      <c r="G57" s="22">
        <v>1</v>
      </c>
      <c r="H57" s="22">
        <f>H53</f>
        <v>3</v>
      </c>
      <c r="K57" s="21"/>
      <c r="L57" s="28"/>
      <c r="M57" s="21"/>
      <c r="N57" s="19"/>
      <c r="O57" s="17"/>
      <c r="P57" s="6"/>
      <c r="Q57" s="18"/>
    </row>
    <row r="58" spans="1:17" x14ac:dyDescent="0.2">
      <c r="A58" s="23">
        <f>A53</f>
        <v>1</v>
      </c>
      <c r="B58" s="32" t="str">
        <f>B53</f>
        <v>AAA</v>
      </c>
      <c r="C58" s="23" t="str">
        <f>C53</f>
        <v>AAA42015</v>
      </c>
      <c r="D58" s="23" t="str">
        <f>D53</f>
        <v>DDSE</v>
      </c>
      <c r="E58" s="37">
        <v>42302</v>
      </c>
      <c r="F58" s="23"/>
      <c r="G58" s="23">
        <v>2</v>
      </c>
      <c r="H58" s="23">
        <f>H53</f>
        <v>3</v>
      </c>
      <c r="K58" s="21"/>
      <c r="L58" s="28"/>
      <c r="M58" s="21"/>
      <c r="N58" s="19"/>
      <c r="O58" s="17"/>
      <c r="P58" s="6"/>
      <c r="Q58" s="18"/>
    </row>
    <row r="59" spans="1:17" x14ac:dyDescent="0.2">
      <c r="A59" s="23">
        <f>A2</f>
        <v>1</v>
      </c>
      <c r="B59" s="32" t="str">
        <f>B53</f>
        <v>AAA</v>
      </c>
      <c r="C59" s="23" t="str">
        <f>C53</f>
        <v>AAA42015</v>
      </c>
      <c r="D59" s="23" t="str">
        <f>D53</f>
        <v>DDSE</v>
      </c>
      <c r="E59" s="37">
        <v>42309</v>
      </c>
      <c r="F59" s="23"/>
      <c r="G59" s="23">
        <v>2</v>
      </c>
      <c r="H59" s="23">
        <f>H53</f>
        <v>3</v>
      </c>
      <c r="K59" s="21"/>
      <c r="L59" s="28"/>
      <c r="M59" s="21"/>
      <c r="N59" s="19"/>
      <c r="O59" s="17"/>
      <c r="P59" s="6"/>
      <c r="Q59" s="18"/>
    </row>
    <row r="60" spans="1:17" x14ac:dyDescent="0.2">
      <c r="A60" s="23">
        <f>A53</f>
        <v>1</v>
      </c>
      <c r="B60" s="32" t="str">
        <f>B53</f>
        <v>AAA</v>
      </c>
      <c r="C60" s="23" t="str">
        <f>C53</f>
        <v>AAA42015</v>
      </c>
      <c r="D60" s="23" t="str">
        <f>D53</f>
        <v>DDSE</v>
      </c>
      <c r="E60" s="37">
        <v>42316</v>
      </c>
      <c r="F60" s="23"/>
      <c r="G60" s="23">
        <v>2</v>
      </c>
      <c r="H60" s="23">
        <f>H53</f>
        <v>3</v>
      </c>
      <c r="K60" s="21"/>
      <c r="L60" s="28"/>
      <c r="M60" s="21"/>
      <c r="N60" s="19"/>
      <c r="O60" s="17"/>
      <c r="P60" s="6"/>
      <c r="Q60" s="18"/>
    </row>
    <row r="61" spans="1:17" x14ac:dyDescent="0.2">
      <c r="A61" s="23">
        <f>A53</f>
        <v>1</v>
      </c>
      <c r="B61" s="32" t="str">
        <f>B53</f>
        <v>AAA</v>
      </c>
      <c r="C61" s="23" t="str">
        <f>C53</f>
        <v>AAA42015</v>
      </c>
      <c r="D61" s="23" t="str">
        <f>D53</f>
        <v>DDSE</v>
      </c>
      <c r="E61" s="37">
        <v>42323</v>
      </c>
      <c r="F61" s="23"/>
      <c r="G61" s="23">
        <v>2</v>
      </c>
      <c r="H61" s="23">
        <f>H53</f>
        <v>3</v>
      </c>
      <c r="K61" s="21"/>
      <c r="L61" s="28"/>
      <c r="M61" s="21"/>
      <c r="N61" s="19"/>
      <c r="O61" s="17"/>
      <c r="P61" s="6"/>
      <c r="Q61" s="18"/>
    </row>
    <row r="62" spans="1:17" x14ac:dyDescent="0.2">
      <c r="A62" s="23">
        <f>A53</f>
        <v>1</v>
      </c>
      <c r="B62" s="32" t="str">
        <f>B53</f>
        <v>AAA</v>
      </c>
      <c r="C62" s="23" t="str">
        <f>C53</f>
        <v>AAA42015</v>
      </c>
      <c r="D62" s="23" t="str">
        <f>D53</f>
        <v>DDSE</v>
      </c>
      <c r="E62" s="37">
        <v>42337</v>
      </c>
      <c r="F62" s="23"/>
      <c r="G62" s="23">
        <v>2</v>
      </c>
      <c r="H62" s="23">
        <f>H53</f>
        <v>3</v>
      </c>
      <c r="K62" s="21"/>
      <c r="L62" s="28"/>
      <c r="M62" s="21"/>
      <c r="N62" s="19"/>
      <c r="O62" s="17"/>
      <c r="P62" s="6"/>
      <c r="Q62" s="18"/>
    </row>
    <row r="63" spans="1:17" x14ac:dyDescent="0.2">
      <c r="A63" s="26">
        <f>A53</f>
        <v>1</v>
      </c>
      <c r="B63" s="33" t="str">
        <f>B53</f>
        <v>AAA</v>
      </c>
      <c r="C63" s="26" t="str">
        <f>C53</f>
        <v>AAA42015</v>
      </c>
      <c r="D63" s="26" t="str">
        <f>D53</f>
        <v>DDSE</v>
      </c>
      <c r="E63" s="38">
        <v>42301</v>
      </c>
      <c r="F63" s="26"/>
      <c r="G63" s="26">
        <v>3</v>
      </c>
      <c r="H63" s="26">
        <f>H53</f>
        <v>3</v>
      </c>
      <c r="K63" s="21"/>
      <c r="L63" s="28"/>
      <c r="M63" s="21"/>
      <c r="N63" s="19"/>
      <c r="O63" s="17"/>
      <c r="P63" s="6"/>
      <c r="Q63" s="18"/>
    </row>
    <row r="64" spans="1:17" x14ac:dyDescent="0.2">
      <c r="A64" s="26">
        <f>A53</f>
        <v>1</v>
      </c>
      <c r="B64" s="33" t="str">
        <f>B53</f>
        <v>AAA</v>
      </c>
      <c r="C64" s="26" t="str">
        <f>C53</f>
        <v>AAA42015</v>
      </c>
      <c r="D64" s="26" t="str">
        <f>D53</f>
        <v>DDSE</v>
      </c>
      <c r="E64" s="38">
        <v>42308</v>
      </c>
      <c r="F64" s="26"/>
      <c r="G64" s="26">
        <v>3</v>
      </c>
      <c r="H64" s="26">
        <f>H53</f>
        <v>3</v>
      </c>
      <c r="K64" s="21"/>
      <c r="L64" s="28"/>
      <c r="M64" s="21"/>
      <c r="N64" s="19"/>
      <c r="O64" s="17"/>
      <c r="P64" s="6"/>
      <c r="Q64" s="18"/>
    </row>
    <row r="65" spans="1:17" x14ac:dyDescent="0.2">
      <c r="A65" s="26">
        <f>A53</f>
        <v>1</v>
      </c>
      <c r="B65" s="33" t="str">
        <f>B53</f>
        <v>AAA</v>
      </c>
      <c r="C65" s="26" t="str">
        <f>C53</f>
        <v>AAA42015</v>
      </c>
      <c r="D65" s="26" t="str">
        <f>D53</f>
        <v>DDSE</v>
      </c>
      <c r="E65" s="38">
        <v>42315</v>
      </c>
      <c r="F65" s="26"/>
      <c r="G65" s="26">
        <v>3</v>
      </c>
      <c r="H65" s="26">
        <f>H53</f>
        <v>3</v>
      </c>
      <c r="K65" s="21"/>
      <c r="L65" s="28"/>
      <c r="M65" s="21"/>
      <c r="N65" s="19"/>
      <c r="O65" s="17"/>
      <c r="P65" s="6"/>
      <c r="Q65" s="18"/>
    </row>
    <row r="66" spans="1:17" x14ac:dyDescent="0.2">
      <c r="A66" s="26">
        <f>A53</f>
        <v>1</v>
      </c>
      <c r="B66" s="33" t="str">
        <f>B53</f>
        <v>AAA</v>
      </c>
      <c r="C66" s="26" t="str">
        <f>C53</f>
        <v>AAA42015</v>
      </c>
      <c r="D66" s="26" t="str">
        <f>D53</f>
        <v>DDSE</v>
      </c>
      <c r="E66" s="38">
        <v>42322</v>
      </c>
      <c r="F66" s="26"/>
      <c r="G66" s="26">
        <v>3</v>
      </c>
      <c r="H66" s="26">
        <f>H53</f>
        <v>3</v>
      </c>
      <c r="K66" s="21"/>
      <c r="L66" s="28"/>
      <c r="M66" s="21"/>
      <c r="N66" s="19"/>
      <c r="O66" s="17"/>
      <c r="P66" s="6"/>
      <c r="Q66" s="18"/>
    </row>
    <row r="67" spans="1:17" x14ac:dyDescent="0.2">
      <c r="A67" s="26">
        <f>A53</f>
        <v>1</v>
      </c>
      <c r="B67" s="33" t="str">
        <f>B53</f>
        <v>AAA</v>
      </c>
      <c r="C67" s="26" t="str">
        <f>C53</f>
        <v>AAA42015</v>
      </c>
      <c r="D67" s="26" t="str">
        <f>D53</f>
        <v>DDSE</v>
      </c>
      <c r="E67" s="38">
        <v>42336</v>
      </c>
      <c r="F67" s="26"/>
      <c r="G67" s="26">
        <v>3</v>
      </c>
      <c r="H67" s="26">
        <f>H53</f>
        <v>3</v>
      </c>
      <c r="K67" s="21"/>
      <c r="L67" s="28"/>
      <c r="M67" s="21"/>
      <c r="N67" s="19"/>
      <c r="O67" s="17"/>
      <c r="P67" s="6"/>
      <c r="Q67" s="18"/>
    </row>
    <row r="68" spans="1:17" x14ac:dyDescent="0.2">
      <c r="A68" s="25">
        <f>A53</f>
        <v>1</v>
      </c>
      <c r="B68" s="34" t="str">
        <f>B53</f>
        <v>AAA</v>
      </c>
      <c r="C68" s="25" t="str">
        <f>C53</f>
        <v>AAA42015</v>
      </c>
      <c r="D68" s="25" t="str">
        <f>D53</f>
        <v>DDSE</v>
      </c>
      <c r="E68" s="39">
        <v>42296</v>
      </c>
      <c r="F68" s="25"/>
      <c r="G68" s="25">
        <v>4</v>
      </c>
      <c r="H68" s="25">
        <f>H53</f>
        <v>3</v>
      </c>
      <c r="K68" s="21"/>
      <c r="L68" s="28"/>
      <c r="M68" s="21"/>
      <c r="N68" s="19"/>
      <c r="O68" s="17"/>
      <c r="P68" s="6"/>
      <c r="Q68" s="18"/>
    </row>
    <row r="69" spans="1:17" x14ac:dyDescent="0.2">
      <c r="A69" s="25">
        <f>A53</f>
        <v>1</v>
      </c>
      <c r="B69" s="34" t="str">
        <f>B53</f>
        <v>AAA</v>
      </c>
      <c r="C69" s="25" t="str">
        <f>C53</f>
        <v>AAA42015</v>
      </c>
      <c r="D69" s="25" t="str">
        <f>D53</f>
        <v>DDSE</v>
      </c>
      <c r="E69" s="39">
        <v>42303</v>
      </c>
      <c r="F69" s="25"/>
      <c r="G69" s="25">
        <v>4</v>
      </c>
      <c r="H69" s="25">
        <f>H53</f>
        <v>3</v>
      </c>
      <c r="K69" s="21"/>
      <c r="L69" s="28"/>
      <c r="M69" s="21"/>
      <c r="N69" s="19"/>
      <c r="O69" s="17"/>
      <c r="P69" s="6"/>
      <c r="Q69" s="18"/>
    </row>
    <row r="70" spans="1:17" x14ac:dyDescent="0.2">
      <c r="A70" s="25">
        <f>A53</f>
        <v>1</v>
      </c>
      <c r="B70" s="34" t="str">
        <f>B53</f>
        <v>AAA</v>
      </c>
      <c r="C70" s="25" t="str">
        <f>C53</f>
        <v>AAA42015</v>
      </c>
      <c r="D70" s="25" t="str">
        <f>D53</f>
        <v>DDSE</v>
      </c>
      <c r="E70" s="39">
        <v>42310</v>
      </c>
      <c r="F70" s="25"/>
      <c r="G70" s="25">
        <v>4</v>
      </c>
      <c r="H70" s="25">
        <f>H53</f>
        <v>3</v>
      </c>
      <c r="K70" s="21"/>
      <c r="L70" s="28"/>
      <c r="M70" s="21"/>
      <c r="N70" s="19"/>
      <c r="O70" s="17"/>
      <c r="P70" s="6"/>
      <c r="Q70" s="18"/>
    </row>
    <row r="71" spans="1:17" x14ac:dyDescent="0.2">
      <c r="A71" s="25">
        <f>A53</f>
        <v>1</v>
      </c>
      <c r="B71" s="34" t="str">
        <f>B53</f>
        <v>AAA</v>
      </c>
      <c r="C71" s="25" t="str">
        <f>C53</f>
        <v>AAA42015</v>
      </c>
      <c r="D71" s="25" t="str">
        <f>D53</f>
        <v>DDSE</v>
      </c>
      <c r="E71" s="39">
        <v>42317</v>
      </c>
      <c r="F71" s="25"/>
      <c r="G71" s="25">
        <v>4</v>
      </c>
      <c r="H71" s="25">
        <f>H53</f>
        <v>3</v>
      </c>
      <c r="K71" s="21"/>
      <c r="L71" s="28"/>
      <c r="M71" s="21"/>
      <c r="N71" s="19"/>
      <c r="O71" s="17"/>
      <c r="P71" s="6"/>
      <c r="Q71" s="18"/>
    </row>
    <row r="72" spans="1:17" x14ac:dyDescent="0.2">
      <c r="A72" s="25">
        <f>A53</f>
        <v>1</v>
      </c>
      <c r="B72" s="34" t="str">
        <f>B53</f>
        <v>AAA</v>
      </c>
      <c r="C72" s="25" t="str">
        <f>C53</f>
        <v>AAA42015</v>
      </c>
      <c r="D72" s="25" t="str">
        <f>D53</f>
        <v>DDSE</v>
      </c>
      <c r="E72" s="39">
        <v>42331</v>
      </c>
      <c r="F72" s="25"/>
      <c r="G72" s="25">
        <v>4</v>
      </c>
      <c r="H72" s="25">
        <f>H53</f>
        <v>3</v>
      </c>
      <c r="K72" s="21"/>
      <c r="L72" s="28"/>
      <c r="M72" s="21"/>
      <c r="N72" s="19"/>
      <c r="O72" s="17"/>
      <c r="P72" s="6"/>
      <c r="Q72" s="18"/>
    </row>
    <row r="73" spans="1:17" x14ac:dyDescent="0.2">
      <c r="A73" s="24">
        <f>A53</f>
        <v>1</v>
      </c>
      <c r="B73" s="35" t="str">
        <f>B53</f>
        <v>AAA</v>
      </c>
      <c r="C73" s="24" t="str">
        <f>C53</f>
        <v>AAA42015</v>
      </c>
      <c r="D73" s="24" t="str">
        <f>D53</f>
        <v>DDSE</v>
      </c>
      <c r="E73" s="40">
        <v>42300</v>
      </c>
      <c r="F73" s="24"/>
      <c r="G73" s="24">
        <v>5</v>
      </c>
      <c r="H73" s="24">
        <f>H53</f>
        <v>3</v>
      </c>
      <c r="K73" s="21"/>
      <c r="L73" s="28"/>
      <c r="M73" s="21"/>
      <c r="N73" s="19"/>
      <c r="O73" s="17"/>
      <c r="P73" s="6"/>
      <c r="Q73" s="18"/>
    </row>
    <row r="74" spans="1:17" x14ac:dyDescent="0.2">
      <c r="A74" s="24">
        <f>A53</f>
        <v>1</v>
      </c>
      <c r="B74" s="35" t="str">
        <f>B53</f>
        <v>AAA</v>
      </c>
      <c r="C74" s="24" t="str">
        <f>C53</f>
        <v>AAA42015</v>
      </c>
      <c r="D74" s="24" t="str">
        <f>D53</f>
        <v>DDSE</v>
      </c>
      <c r="E74" s="40">
        <v>42307</v>
      </c>
      <c r="F74" s="24"/>
      <c r="G74" s="24">
        <v>5</v>
      </c>
      <c r="H74" s="24">
        <f>H53</f>
        <v>3</v>
      </c>
      <c r="K74" s="21"/>
      <c r="L74" s="28"/>
      <c r="M74" s="21"/>
      <c r="N74" s="19"/>
      <c r="O74" s="17"/>
      <c r="P74" s="6"/>
      <c r="Q74" s="18"/>
    </row>
    <row r="75" spans="1:17" x14ac:dyDescent="0.2">
      <c r="A75" s="24">
        <f>A53</f>
        <v>1</v>
      </c>
      <c r="B75" s="35" t="str">
        <f>B53</f>
        <v>AAA</v>
      </c>
      <c r="C75" s="24" t="str">
        <f>C53</f>
        <v>AAA42015</v>
      </c>
      <c r="D75" s="24" t="str">
        <f>D53</f>
        <v>DDSE</v>
      </c>
      <c r="E75" s="40">
        <v>42314</v>
      </c>
      <c r="F75" s="24"/>
      <c r="G75" s="24">
        <v>5</v>
      </c>
      <c r="H75" s="24">
        <f>H53</f>
        <v>3</v>
      </c>
      <c r="K75" s="21"/>
      <c r="L75" s="28"/>
      <c r="M75" s="21"/>
      <c r="N75" s="19"/>
      <c r="O75" s="17"/>
      <c r="P75" s="6"/>
      <c r="Q75" s="18"/>
    </row>
    <row r="76" spans="1:17" x14ac:dyDescent="0.2">
      <c r="A76" s="24">
        <f>A53</f>
        <v>1</v>
      </c>
      <c r="B76" s="35" t="str">
        <f>B53</f>
        <v>AAA</v>
      </c>
      <c r="C76" s="24" t="str">
        <f>C53</f>
        <v>AAA42015</v>
      </c>
      <c r="D76" s="24" t="str">
        <f>D53</f>
        <v>DDSE</v>
      </c>
      <c r="E76" s="40">
        <v>42321</v>
      </c>
      <c r="F76" s="24"/>
      <c r="G76" s="24">
        <v>5</v>
      </c>
      <c r="H76" s="24">
        <f>H53</f>
        <v>3</v>
      </c>
      <c r="K76" s="21"/>
      <c r="L76" s="28"/>
      <c r="M76" s="21"/>
      <c r="N76" s="19"/>
      <c r="O76" s="17"/>
      <c r="P76" s="6"/>
      <c r="Q76" s="18"/>
    </row>
    <row r="77" spans="1:17" x14ac:dyDescent="0.2">
      <c r="A77" s="24">
        <f>A53</f>
        <v>1</v>
      </c>
      <c r="B77" s="35" t="str">
        <f>B53</f>
        <v>AAA</v>
      </c>
      <c r="C77" s="24" t="str">
        <f>C53</f>
        <v>AAA42015</v>
      </c>
      <c r="D77" s="24" t="str">
        <f>D53</f>
        <v>DDSE</v>
      </c>
      <c r="E77" s="40">
        <v>42335</v>
      </c>
      <c r="F77" s="24"/>
      <c r="G77" s="24">
        <v>5</v>
      </c>
      <c r="H77" s="24">
        <f>H53</f>
        <v>3</v>
      </c>
      <c r="K77" s="21"/>
      <c r="L77" s="28"/>
      <c r="M77" s="21"/>
      <c r="N77" s="19"/>
      <c r="O77" s="17"/>
      <c r="P77" s="6"/>
      <c r="Q77" s="18"/>
    </row>
    <row r="78" spans="1:17" x14ac:dyDescent="0.2">
      <c r="A78" s="22">
        <f>A2</f>
        <v>1</v>
      </c>
      <c r="B78" s="31" t="str">
        <f>B2</f>
        <v>AAA</v>
      </c>
      <c r="C78" s="22" t="str">
        <f>C2</f>
        <v>AAA42015</v>
      </c>
      <c r="D78" s="22" t="str">
        <f>D2</f>
        <v>DDSE</v>
      </c>
      <c r="E78" s="36">
        <v>42389</v>
      </c>
      <c r="F78" s="22"/>
      <c r="G78" s="22">
        <v>1</v>
      </c>
      <c r="H78" s="22">
        <v>4</v>
      </c>
      <c r="K78" s="21"/>
      <c r="L78" s="28"/>
      <c r="M78" s="21"/>
      <c r="N78" s="19"/>
      <c r="O78" s="17"/>
      <c r="P78" s="6"/>
      <c r="Q78" s="18"/>
    </row>
    <row r="79" spans="1:17" x14ac:dyDescent="0.2">
      <c r="A79" s="22">
        <f>A78</f>
        <v>1</v>
      </c>
      <c r="B79" s="31" t="str">
        <f>B78</f>
        <v>AAA</v>
      </c>
      <c r="C79" s="22" t="str">
        <f>C78</f>
        <v>AAA42015</v>
      </c>
      <c r="D79" s="22" t="str">
        <f>D78</f>
        <v>DDSE</v>
      </c>
      <c r="E79" s="36">
        <v>42396</v>
      </c>
      <c r="F79" s="22"/>
      <c r="G79" s="22">
        <v>1</v>
      </c>
      <c r="H79" s="22">
        <f>H78</f>
        <v>4</v>
      </c>
      <c r="K79" s="21"/>
      <c r="L79" s="28"/>
      <c r="M79" s="21"/>
      <c r="N79" s="19"/>
      <c r="O79" s="17"/>
      <c r="P79" s="6"/>
      <c r="Q79" s="18"/>
    </row>
    <row r="80" spans="1:17" x14ac:dyDescent="0.2">
      <c r="A80" s="22">
        <f>A78</f>
        <v>1</v>
      </c>
      <c r="B80" s="31" t="str">
        <f>B78</f>
        <v>AAA</v>
      </c>
      <c r="C80" s="22" t="str">
        <f>C78</f>
        <v>AAA42015</v>
      </c>
      <c r="D80" s="22" t="str">
        <f>D78</f>
        <v>DDSE</v>
      </c>
      <c r="E80" s="36">
        <v>42410</v>
      </c>
      <c r="F80" s="22"/>
      <c r="G80" s="22">
        <v>1</v>
      </c>
      <c r="H80" s="22">
        <f>H78</f>
        <v>4</v>
      </c>
      <c r="K80" s="21"/>
      <c r="L80" s="28"/>
      <c r="M80" s="21"/>
      <c r="N80" s="19"/>
      <c r="O80" s="17"/>
      <c r="P80" s="6"/>
      <c r="Q80" s="18"/>
    </row>
    <row r="81" spans="1:17" x14ac:dyDescent="0.2">
      <c r="A81" s="22">
        <f>A78</f>
        <v>1</v>
      </c>
      <c r="B81" s="31" t="str">
        <f>B78</f>
        <v>AAA</v>
      </c>
      <c r="C81" s="22" t="str">
        <f>C78</f>
        <v>AAA42015</v>
      </c>
      <c r="D81" s="22" t="str">
        <f>D78</f>
        <v>DDSE</v>
      </c>
      <c r="E81" s="36">
        <v>42417</v>
      </c>
      <c r="F81" s="22"/>
      <c r="G81" s="22">
        <v>1</v>
      </c>
      <c r="H81" s="22">
        <f>H78</f>
        <v>4</v>
      </c>
      <c r="K81" s="21"/>
      <c r="L81" s="28"/>
      <c r="M81" s="21"/>
      <c r="N81" s="19"/>
      <c r="O81" s="17"/>
      <c r="P81" s="6"/>
      <c r="Q81" s="18"/>
    </row>
    <row r="82" spans="1:17" x14ac:dyDescent="0.2">
      <c r="A82" s="22">
        <f>A78</f>
        <v>1</v>
      </c>
      <c r="B82" s="31" t="str">
        <f>B78</f>
        <v>AAA</v>
      </c>
      <c r="C82" s="22" t="str">
        <f>C78</f>
        <v>AAA42015</v>
      </c>
      <c r="D82" s="22" t="str">
        <f>D78</f>
        <v>DDSE</v>
      </c>
      <c r="E82" s="36">
        <v>42424</v>
      </c>
      <c r="F82" s="22"/>
      <c r="G82" s="22">
        <v>1</v>
      </c>
      <c r="H82" s="22">
        <f>H78</f>
        <v>4</v>
      </c>
      <c r="K82" s="21"/>
      <c r="L82" s="28"/>
      <c r="M82" s="21"/>
      <c r="N82" s="19"/>
      <c r="O82" s="17"/>
      <c r="P82" s="6"/>
      <c r="Q82" s="18"/>
    </row>
    <row r="83" spans="1:17" x14ac:dyDescent="0.2">
      <c r="A83" s="23">
        <f>A78</f>
        <v>1</v>
      </c>
      <c r="B83" s="32" t="str">
        <f>B78</f>
        <v>AAA</v>
      </c>
      <c r="C83" s="23" t="str">
        <f>C78</f>
        <v>AAA42015</v>
      </c>
      <c r="D83" s="23" t="str">
        <f>D78</f>
        <v>DDSE</v>
      </c>
      <c r="E83" s="37">
        <v>42393</v>
      </c>
      <c r="F83" s="23"/>
      <c r="G83" s="23">
        <v>2</v>
      </c>
      <c r="H83" s="23">
        <f>H78</f>
        <v>4</v>
      </c>
      <c r="K83" s="21"/>
      <c r="L83" s="28"/>
      <c r="M83" s="21"/>
      <c r="N83" s="19"/>
      <c r="O83" s="17"/>
      <c r="P83" s="6"/>
      <c r="Q83" s="18"/>
    </row>
    <row r="84" spans="1:17" x14ac:dyDescent="0.2">
      <c r="A84" s="23">
        <f>A2</f>
        <v>1</v>
      </c>
      <c r="B84" s="32" t="str">
        <f>B78</f>
        <v>AAA</v>
      </c>
      <c r="C84" s="23" t="str">
        <f>C78</f>
        <v>AAA42015</v>
      </c>
      <c r="D84" s="23" t="str">
        <f>D78</f>
        <v>DDSE</v>
      </c>
      <c r="E84" s="37">
        <v>42400</v>
      </c>
      <c r="F84" s="23"/>
      <c r="G84" s="23">
        <v>2</v>
      </c>
      <c r="H84" s="23">
        <f>H78</f>
        <v>4</v>
      </c>
      <c r="K84" s="21"/>
      <c r="L84" s="28"/>
      <c r="M84" s="21"/>
      <c r="N84" s="19"/>
      <c r="O84" s="17"/>
      <c r="P84" s="6"/>
      <c r="Q84" s="18"/>
    </row>
    <row r="85" spans="1:17" x14ac:dyDescent="0.2">
      <c r="A85" s="23">
        <f>A78</f>
        <v>1</v>
      </c>
      <c r="B85" s="32" t="str">
        <f>B78</f>
        <v>AAA</v>
      </c>
      <c r="C85" s="23" t="str">
        <f>C78</f>
        <v>AAA42015</v>
      </c>
      <c r="D85" s="23" t="str">
        <f>D78</f>
        <v>DDSE</v>
      </c>
      <c r="E85" s="37">
        <v>42414</v>
      </c>
      <c r="F85" s="23"/>
      <c r="G85" s="23">
        <v>2</v>
      </c>
      <c r="H85" s="23">
        <f>H78</f>
        <v>4</v>
      </c>
      <c r="K85" s="21"/>
      <c r="L85" s="28"/>
      <c r="M85" s="21"/>
      <c r="N85" s="19"/>
      <c r="O85" s="17"/>
      <c r="P85" s="6"/>
      <c r="Q85" s="18"/>
    </row>
    <row r="86" spans="1:17" x14ac:dyDescent="0.2">
      <c r="A86" s="23">
        <f>A78</f>
        <v>1</v>
      </c>
      <c r="B86" s="32" t="str">
        <f>B78</f>
        <v>AAA</v>
      </c>
      <c r="C86" s="23" t="str">
        <f>C78</f>
        <v>AAA42015</v>
      </c>
      <c r="D86" s="23" t="str">
        <f>D78</f>
        <v>DDSE</v>
      </c>
      <c r="E86" s="37">
        <v>42421</v>
      </c>
      <c r="F86" s="23"/>
      <c r="G86" s="23">
        <v>2</v>
      </c>
      <c r="H86" s="23">
        <f>H78</f>
        <v>4</v>
      </c>
      <c r="K86" s="21"/>
      <c r="L86" s="28"/>
      <c r="M86" s="21"/>
      <c r="N86" s="19"/>
      <c r="O86" s="17"/>
      <c r="P86" s="6"/>
      <c r="Q86" s="18"/>
    </row>
    <row r="87" spans="1:17" x14ac:dyDescent="0.2">
      <c r="A87" s="23">
        <f>A78</f>
        <v>1</v>
      </c>
      <c r="B87" s="32" t="str">
        <f>B78</f>
        <v>AAA</v>
      </c>
      <c r="C87" s="23" t="str">
        <f>C78</f>
        <v>AAA42015</v>
      </c>
      <c r="D87" s="23" t="str">
        <f>D78</f>
        <v>DDSE</v>
      </c>
      <c r="E87" s="37">
        <v>42428</v>
      </c>
      <c r="F87" s="23"/>
      <c r="G87" s="23">
        <v>2</v>
      </c>
      <c r="H87" s="23">
        <f>H78</f>
        <v>4</v>
      </c>
      <c r="K87" s="21"/>
      <c r="L87" s="28"/>
      <c r="M87" s="21"/>
      <c r="N87" s="19"/>
      <c r="O87" s="17"/>
      <c r="P87" s="6"/>
      <c r="Q87" s="18"/>
    </row>
    <row r="88" spans="1:17" x14ac:dyDescent="0.2">
      <c r="A88" s="26">
        <f>A78</f>
        <v>1</v>
      </c>
      <c r="B88" s="33" t="str">
        <f>B78</f>
        <v>AAA</v>
      </c>
      <c r="C88" s="26" t="str">
        <f>C78</f>
        <v>AAA42015</v>
      </c>
      <c r="D88" s="26" t="str">
        <f>D78</f>
        <v>DDSE</v>
      </c>
      <c r="E88" s="38">
        <v>42392</v>
      </c>
      <c r="F88" s="26"/>
      <c r="G88" s="26">
        <v>3</v>
      </c>
      <c r="H88" s="26">
        <f>H78</f>
        <v>4</v>
      </c>
      <c r="K88" s="21"/>
      <c r="L88" s="28"/>
      <c r="M88" s="21"/>
      <c r="N88" s="19"/>
      <c r="O88" s="17"/>
      <c r="P88" s="6"/>
      <c r="Q88" s="18"/>
    </row>
    <row r="89" spans="1:17" x14ac:dyDescent="0.2">
      <c r="A89" s="26">
        <f>A78</f>
        <v>1</v>
      </c>
      <c r="B89" s="33" t="str">
        <f>B78</f>
        <v>AAA</v>
      </c>
      <c r="C89" s="26" t="str">
        <f>C78</f>
        <v>AAA42015</v>
      </c>
      <c r="D89" s="26" t="str">
        <f>D78</f>
        <v>DDSE</v>
      </c>
      <c r="E89" s="38">
        <v>42399</v>
      </c>
      <c r="F89" s="26"/>
      <c r="G89" s="26">
        <v>3</v>
      </c>
      <c r="H89" s="26">
        <f>H78</f>
        <v>4</v>
      </c>
      <c r="K89" s="21"/>
      <c r="L89" s="28"/>
      <c r="M89" s="21"/>
      <c r="N89" s="19"/>
      <c r="O89" s="17"/>
      <c r="P89" s="6"/>
      <c r="Q89" s="18"/>
    </row>
    <row r="90" spans="1:17" x14ac:dyDescent="0.2">
      <c r="A90" s="26">
        <f>A78</f>
        <v>1</v>
      </c>
      <c r="B90" s="33" t="str">
        <f>B78</f>
        <v>AAA</v>
      </c>
      <c r="C90" s="26" t="str">
        <f>C78</f>
        <v>AAA42015</v>
      </c>
      <c r="D90" s="26" t="str">
        <f>D78</f>
        <v>DDSE</v>
      </c>
      <c r="E90" s="38">
        <v>42413</v>
      </c>
      <c r="F90" s="26"/>
      <c r="G90" s="26">
        <v>3</v>
      </c>
      <c r="H90" s="26">
        <f>H78</f>
        <v>4</v>
      </c>
      <c r="K90" s="21"/>
      <c r="L90" s="28"/>
      <c r="M90" s="21"/>
      <c r="N90" s="19"/>
      <c r="O90" s="17"/>
      <c r="P90" s="6"/>
      <c r="Q90" s="18"/>
    </row>
    <row r="91" spans="1:17" x14ac:dyDescent="0.2">
      <c r="A91" s="26">
        <f>A78</f>
        <v>1</v>
      </c>
      <c r="B91" s="33" t="str">
        <f>B78</f>
        <v>AAA</v>
      </c>
      <c r="C91" s="26" t="str">
        <f>C78</f>
        <v>AAA42015</v>
      </c>
      <c r="D91" s="26" t="str">
        <f>D78</f>
        <v>DDSE</v>
      </c>
      <c r="E91" s="38">
        <v>42420</v>
      </c>
      <c r="F91" s="26"/>
      <c r="G91" s="26">
        <v>3</v>
      </c>
      <c r="H91" s="26">
        <f>H78</f>
        <v>4</v>
      </c>
      <c r="K91" s="21"/>
      <c r="L91" s="28"/>
      <c r="M91" s="21"/>
      <c r="N91" s="19"/>
      <c r="O91" s="17"/>
      <c r="P91" s="6"/>
      <c r="Q91" s="18"/>
    </row>
    <row r="92" spans="1:17" x14ac:dyDescent="0.2">
      <c r="A92" s="26">
        <f>A78</f>
        <v>1</v>
      </c>
      <c r="B92" s="33" t="str">
        <f>B78</f>
        <v>AAA</v>
      </c>
      <c r="C92" s="26" t="str">
        <f>C78</f>
        <v>AAA42015</v>
      </c>
      <c r="D92" s="26" t="str">
        <f>D78</f>
        <v>DDSE</v>
      </c>
      <c r="E92" s="38">
        <v>42427</v>
      </c>
      <c r="F92" s="26"/>
      <c r="G92" s="26">
        <v>3</v>
      </c>
      <c r="H92" s="26">
        <f>H78</f>
        <v>4</v>
      </c>
      <c r="K92" s="21"/>
      <c r="L92" s="28"/>
      <c r="M92" s="21"/>
      <c r="N92" s="19"/>
      <c r="O92" s="17"/>
      <c r="P92" s="6"/>
      <c r="Q92" s="18"/>
    </row>
    <row r="93" spans="1:17" x14ac:dyDescent="0.2">
      <c r="A93" s="25">
        <f>A78</f>
        <v>1</v>
      </c>
      <c r="B93" s="34" t="str">
        <f>B78</f>
        <v>AAA</v>
      </c>
      <c r="C93" s="25" t="str">
        <f>C78</f>
        <v>AAA42015</v>
      </c>
      <c r="D93" s="25" t="str">
        <f>D78</f>
        <v>DDSE</v>
      </c>
      <c r="E93" s="39">
        <v>42387</v>
      </c>
      <c r="F93" s="25"/>
      <c r="G93" s="25">
        <v>4</v>
      </c>
      <c r="H93" s="25">
        <f>H78</f>
        <v>4</v>
      </c>
      <c r="K93" s="21"/>
      <c r="L93" s="28"/>
      <c r="M93" s="21"/>
      <c r="N93" s="19"/>
      <c r="O93" s="17"/>
      <c r="P93" s="6"/>
      <c r="Q93" s="18"/>
    </row>
    <row r="94" spans="1:17" x14ac:dyDescent="0.2">
      <c r="A94" s="25">
        <f>A78</f>
        <v>1</v>
      </c>
      <c r="B94" s="34" t="str">
        <f>B78</f>
        <v>AAA</v>
      </c>
      <c r="C94" s="25" t="str">
        <f>C78</f>
        <v>AAA42015</v>
      </c>
      <c r="D94" s="25" t="str">
        <f>D78</f>
        <v>DDSE</v>
      </c>
      <c r="E94" s="39">
        <v>42394</v>
      </c>
      <c r="F94" s="25"/>
      <c r="G94" s="25">
        <v>4</v>
      </c>
      <c r="H94" s="25">
        <f>H78</f>
        <v>4</v>
      </c>
      <c r="K94" s="21"/>
      <c r="L94" s="28"/>
      <c r="M94" s="21"/>
      <c r="N94" s="19"/>
      <c r="O94" s="17"/>
      <c r="P94" s="6"/>
      <c r="Q94" s="18"/>
    </row>
    <row r="95" spans="1:17" x14ac:dyDescent="0.2">
      <c r="A95" s="25">
        <f>A78</f>
        <v>1</v>
      </c>
      <c r="B95" s="34" t="str">
        <f>B78</f>
        <v>AAA</v>
      </c>
      <c r="C95" s="25" t="str">
        <f>C78</f>
        <v>AAA42015</v>
      </c>
      <c r="D95" s="25" t="str">
        <f>D78</f>
        <v>DDSE</v>
      </c>
      <c r="E95" s="39">
        <v>42712</v>
      </c>
      <c r="F95" s="25"/>
      <c r="G95" s="25">
        <v>4</v>
      </c>
      <c r="H95" s="25">
        <f>H78</f>
        <v>4</v>
      </c>
      <c r="K95" s="21"/>
      <c r="L95" s="28"/>
      <c r="M95" s="21"/>
      <c r="N95" s="19"/>
      <c r="O95" s="17"/>
      <c r="P95" s="6"/>
      <c r="Q95" s="18"/>
    </row>
    <row r="96" spans="1:17" x14ac:dyDescent="0.2">
      <c r="A96" s="25">
        <f>A78</f>
        <v>1</v>
      </c>
      <c r="B96" s="34" t="str">
        <f>B78</f>
        <v>AAA</v>
      </c>
      <c r="C96" s="25" t="str">
        <f>C78</f>
        <v>AAA42015</v>
      </c>
      <c r="D96" s="25" t="str">
        <f>D78</f>
        <v>DDSE</v>
      </c>
      <c r="E96" s="39">
        <v>42415</v>
      </c>
      <c r="F96" s="25"/>
      <c r="G96" s="25">
        <v>4</v>
      </c>
      <c r="H96" s="25">
        <f>H78</f>
        <v>4</v>
      </c>
      <c r="K96" s="21"/>
      <c r="L96" s="28"/>
      <c r="M96" s="21"/>
      <c r="N96" s="19"/>
      <c r="O96" s="17"/>
      <c r="P96" s="6"/>
      <c r="Q96" s="18"/>
    </row>
    <row r="97" spans="1:17" x14ac:dyDescent="0.2">
      <c r="A97" s="25">
        <f>A78</f>
        <v>1</v>
      </c>
      <c r="B97" s="34" t="str">
        <f>B78</f>
        <v>AAA</v>
      </c>
      <c r="C97" s="25" t="str">
        <f>C78</f>
        <v>AAA42015</v>
      </c>
      <c r="D97" s="25" t="str">
        <f>D78</f>
        <v>DDSE</v>
      </c>
      <c r="E97" s="39">
        <v>42422</v>
      </c>
      <c r="F97" s="25"/>
      <c r="G97" s="25">
        <v>4</v>
      </c>
      <c r="H97" s="25">
        <f>H78</f>
        <v>4</v>
      </c>
      <c r="K97" s="21"/>
      <c r="L97" s="28"/>
      <c r="M97" s="21"/>
      <c r="N97" s="19"/>
      <c r="O97" s="17"/>
      <c r="P97" s="6"/>
      <c r="Q97" s="18"/>
    </row>
    <row r="98" spans="1:17" x14ac:dyDescent="0.2">
      <c r="A98" s="24">
        <f>A78</f>
        <v>1</v>
      </c>
      <c r="B98" s="35" t="str">
        <f>B78</f>
        <v>AAA</v>
      </c>
      <c r="C98" s="24" t="str">
        <f>C78</f>
        <v>AAA42015</v>
      </c>
      <c r="D98" s="24" t="str">
        <f>D78</f>
        <v>DDSE</v>
      </c>
      <c r="E98" s="40">
        <v>42391</v>
      </c>
      <c r="F98" s="24"/>
      <c r="G98" s="24">
        <v>5</v>
      </c>
      <c r="H98" s="24">
        <f>H78</f>
        <v>4</v>
      </c>
      <c r="K98" s="21"/>
      <c r="L98" s="28"/>
      <c r="M98" s="21"/>
      <c r="N98" s="19"/>
      <c r="O98" s="17"/>
      <c r="P98" s="6"/>
      <c r="Q98" s="18"/>
    </row>
    <row r="99" spans="1:17" x14ac:dyDescent="0.2">
      <c r="A99" s="24">
        <f>A78</f>
        <v>1</v>
      </c>
      <c r="B99" s="35" t="str">
        <f>B78</f>
        <v>AAA</v>
      </c>
      <c r="C99" s="24" t="str">
        <f>C78</f>
        <v>AAA42015</v>
      </c>
      <c r="D99" s="24" t="str">
        <f>D78</f>
        <v>DDSE</v>
      </c>
      <c r="E99" s="40">
        <v>42398</v>
      </c>
      <c r="F99" s="24"/>
      <c r="G99" s="24">
        <v>5</v>
      </c>
      <c r="H99" s="24">
        <f>H78</f>
        <v>4</v>
      </c>
      <c r="K99" s="21"/>
      <c r="L99" s="28"/>
      <c r="M99" s="21"/>
      <c r="N99" s="19"/>
    </row>
    <row r="100" spans="1:17" x14ac:dyDescent="0.2">
      <c r="A100" s="24">
        <f>A78</f>
        <v>1</v>
      </c>
      <c r="B100" s="35" t="str">
        <f>B78</f>
        <v>AAA</v>
      </c>
      <c r="C100" s="24" t="str">
        <f>C78</f>
        <v>AAA42015</v>
      </c>
      <c r="D100" s="24" t="str">
        <f>D78</f>
        <v>DDSE</v>
      </c>
      <c r="E100" s="40">
        <v>42412</v>
      </c>
      <c r="F100" s="24"/>
      <c r="G100" s="24">
        <v>5</v>
      </c>
      <c r="H100" s="24">
        <f>H78</f>
        <v>4</v>
      </c>
      <c r="K100" s="21"/>
      <c r="L100" s="28"/>
      <c r="M100" s="21"/>
      <c r="N100" s="19"/>
    </row>
    <row r="101" spans="1:17" x14ac:dyDescent="0.2">
      <c r="A101" s="24">
        <f>A78</f>
        <v>1</v>
      </c>
      <c r="B101" s="35" t="str">
        <f>B78</f>
        <v>AAA</v>
      </c>
      <c r="C101" s="24" t="str">
        <f>C78</f>
        <v>AAA42015</v>
      </c>
      <c r="D101" s="24" t="str">
        <f>D78</f>
        <v>DDSE</v>
      </c>
      <c r="E101" s="40">
        <v>42419</v>
      </c>
      <c r="F101" s="24"/>
      <c r="G101" s="24">
        <v>5</v>
      </c>
      <c r="H101" s="24">
        <f>H78</f>
        <v>4</v>
      </c>
      <c r="K101" s="21"/>
      <c r="L101" s="28"/>
      <c r="M101" s="21"/>
      <c r="N101" s="19"/>
    </row>
    <row r="102" spans="1:17" x14ac:dyDescent="0.2">
      <c r="A102" s="24">
        <f>A78</f>
        <v>1</v>
      </c>
      <c r="B102" s="35" t="str">
        <f>B78</f>
        <v>AAA</v>
      </c>
      <c r="C102" s="24" t="str">
        <f>C78</f>
        <v>AAA42015</v>
      </c>
      <c r="D102" s="24" t="str">
        <f>D78</f>
        <v>DDSE</v>
      </c>
      <c r="E102" s="40">
        <v>42426</v>
      </c>
      <c r="F102" s="24"/>
      <c r="G102" s="24">
        <v>5</v>
      </c>
      <c r="H102" s="24">
        <f>H78</f>
        <v>4</v>
      </c>
      <c r="K102" s="21"/>
      <c r="L102" s="28"/>
      <c r="M102" s="21"/>
      <c r="N102" s="19"/>
    </row>
    <row r="103" spans="1:17" x14ac:dyDescent="0.2">
      <c r="A103" s="17"/>
      <c r="E103" s="18"/>
      <c r="F103" s="17"/>
      <c r="K103" s="21"/>
      <c r="L103" s="28"/>
      <c r="M103" s="21"/>
      <c r="N103" s="19"/>
    </row>
    <row r="104" spans="1:17" x14ac:dyDescent="0.2">
      <c r="A104" s="17"/>
      <c r="E104" s="18"/>
      <c r="F104" s="17"/>
      <c r="K104" s="21"/>
      <c r="L104" s="28"/>
      <c r="M104" s="21"/>
      <c r="N104" s="19"/>
    </row>
    <row r="105" spans="1:17" x14ac:dyDescent="0.2">
      <c r="A105" s="17"/>
      <c r="E105" s="18"/>
      <c r="F105" s="17"/>
      <c r="K105" s="21"/>
      <c r="L105" s="28"/>
      <c r="M105" s="21"/>
      <c r="N105" s="19"/>
    </row>
    <row r="106" spans="1:17" x14ac:dyDescent="0.2">
      <c r="A106" s="17"/>
      <c r="E106" s="18"/>
      <c r="F106" s="17"/>
      <c r="K106" s="21"/>
      <c r="L106" s="28"/>
      <c r="M106" s="21"/>
      <c r="N106" s="19"/>
    </row>
    <row r="107" spans="1:17" x14ac:dyDescent="0.2">
      <c r="A107" s="17"/>
      <c r="E107" s="18"/>
      <c r="F107" s="17"/>
      <c r="K107" s="21"/>
      <c r="L107" s="28"/>
      <c r="M107" s="21"/>
      <c r="N107" s="19"/>
    </row>
    <row r="108" spans="1:17" x14ac:dyDescent="0.2">
      <c r="A108" s="17"/>
      <c r="E108" s="18"/>
      <c r="F108" s="17"/>
      <c r="K108" s="21"/>
      <c r="L108" s="28"/>
      <c r="M108" s="21"/>
      <c r="N108" s="19"/>
    </row>
    <row r="109" spans="1:17" x14ac:dyDescent="0.2">
      <c r="A109" s="17"/>
      <c r="E109" s="18"/>
      <c r="F109" s="17"/>
      <c r="K109" s="21"/>
      <c r="L109" s="28"/>
      <c r="M109" s="21"/>
      <c r="N109" s="19"/>
    </row>
    <row r="110" spans="1:17" x14ac:dyDescent="0.2">
      <c r="A110" s="17"/>
      <c r="E110" s="18"/>
      <c r="F110" s="17"/>
      <c r="K110" s="21"/>
      <c r="L110" s="28"/>
      <c r="M110" s="21"/>
      <c r="N110" s="19"/>
    </row>
    <row r="111" spans="1:17" x14ac:dyDescent="0.2">
      <c r="A111" s="17"/>
      <c r="E111" s="18"/>
      <c r="F111" s="17"/>
      <c r="K111" s="21"/>
      <c r="L111" s="28"/>
      <c r="M111" s="21"/>
      <c r="N111" s="19"/>
    </row>
    <row r="112" spans="1:17" x14ac:dyDescent="0.2">
      <c r="A112" s="17"/>
      <c r="E112" s="18"/>
      <c r="F112" s="17"/>
      <c r="K112" s="21"/>
      <c r="L112" s="28"/>
      <c r="M112" s="21"/>
      <c r="N112" s="19"/>
    </row>
    <row r="113" spans="1:14" x14ac:dyDescent="0.2">
      <c r="A113" s="17"/>
      <c r="E113" s="18"/>
      <c r="F113" s="17"/>
      <c r="K113" s="21"/>
      <c r="L113" s="28"/>
      <c r="M113" s="21"/>
      <c r="N113" s="19"/>
    </row>
    <row r="114" spans="1:14" x14ac:dyDescent="0.2">
      <c r="A114" s="17"/>
      <c r="E114" s="18"/>
      <c r="F114" s="17"/>
      <c r="K114" s="21"/>
      <c r="L114" s="28"/>
      <c r="M114" s="21"/>
      <c r="N114" s="19"/>
    </row>
    <row r="115" spans="1:14" x14ac:dyDescent="0.2">
      <c r="A115" s="17"/>
      <c r="E115" s="18"/>
      <c r="F115" s="17"/>
      <c r="K115" s="21"/>
      <c r="L115" s="28"/>
      <c r="M115" s="21"/>
      <c r="N115" s="19"/>
    </row>
    <row r="116" spans="1:14" x14ac:dyDescent="0.2">
      <c r="A116" s="17"/>
      <c r="E116" s="18"/>
      <c r="F116" s="17"/>
      <c r="K116" s="21"/>
      <c r="L116" s="28"/>
      <c r="M116" s="21"/>
      <c r="N116" s="19"/>
    </row>
    <row r="117" spans="1:14" x14ac:dyDescent="0.2">
      <c r="A117" s="17"/>
      <c r="E117" s="18"/>
      <c r="F117" s="17"/>
      <c r="K117" s="21"/>
      <c r="L117" s="28"/>
      <c r="M117" s="21"/>
      <c r="N117" s="19"/>
    </row>
    <row r="118" spans="1:14" x14ac:dyDescent="0.2">
      <c r="A118" s="17"/>
      <c r="E118" s="18"/>
      <c r="F118" s="17"/>
      <c r="K118" s="21"/>
      <c r="L118" s="28"/>
      <c r="M118" s="21"/>
      <c r="N118" s="19"/>
    </row>
    <row r="119" spans="1:14" x14ac:dyDescent="0.2">
      <c r="A119" s="17"/>
      <c r="E119" s="18"/>
      <c r="F119" s="17"/>
      <c r="K119" s="21"/>
      <c r="L119" s="28"/>
      <c r="M119" s="21"/>
      <c r="N119" s="19"/>
    </row>
    <row r="120" spans="1:14" x14ac:dyDescent="0.2">
      <c r="A120" s="17"/>
      <c r="E120" s="18"/>
      <c r="F120" s="17"/>
      <c r="K120" s="21"/>
      <c r="L120" s="28"/>
      <c r="M120" s="21"/>
      <c r="N120" s="19"/>
    </row>
    <row r="121" spans="1:14" x14ac:dyDescent="0.2">
      <c r="A121" s="17"/>
      <c r="E121" s="18"/>
      <c r="F121" s="17"/>
      <c r="K121" s="21"/>
      <c r="L121" s="28"/>
      <c r="M121" s="21"/>
      <c r="N121" s="19"/>
    </row>
    <row r="122" spans="1:14" x14ac:dyDescent="0.2">
      <c r="A122" s="17"/>
      <c r="E122" s="18"/>
      <c r="F122" s="17"/>
      <c r="K122" s="21"/>
      <c r="L122" s="28"/>
      <c r="M122" s="21"/>
      <c r="N122" s="19"/>
    </row>
    <row r="123" spans="1:14" x14ac:dyDescent="0.2">
      <c r="A123" s="17"/>
      <c r="E123" s="18"/>
      <c r="F123" s="17"/>
      <c r="K123" s="21"/>
      <c r="L123" s="28"/>
      <c r="M123" s="21"/>
      <c r="N123" s="19"/>
    </row>
    <row r="124" spans="1:14" x14ac:dyDescent="0.2">
      <c r="A124" s="17"/>
      <c r="E124" s="18"/>
      <c r="F124" s="17"/>
      <c r="K124" s="21"/>
      <c r="L124" s="28"/>
      <c r="M124" s="21"/>
      <c r="N124" s="19"/>
    </row>
    <row r="125" spans="1:14" x14ac:dyDescent="0.2">
      <c r="A125" s="17"/>
      <c r="E125" s="18"/>
      <c r="F125" s="17"/>
    </row>
    <row r="126" spans="1:14" x14ac:dyDescent="0.2">
      <c r="A126" s="17"/>
      <c r="E126" s="18"/>
      <c r="F126" s="17"/>
    </row>
    <row r="127" spans="1:14" x14ac:dyDescent="0.2">
      <c r="A127" s="17"/>
      <c r="E127" s="18"/>
      <c r="F127" s="17"/>
    </row>
    <row r="128" spans="1:14" x14ac:dyDescent="0.2">
      <c r="A128" s="17"/>
      <c r="E128" s="18"/>
      <c r="F128" s="17"/>
    </row>
    <row r="129" spans="1:6" x14ac:dyDescent="0.2">
      <c r="A129" s="17"/>
      <c r="E129" s="18"/>
      <c r="F129" s="17"/>
    </row>
    <row r="130" spans="1:6" x14ac:dyDescent="0.2">
      <c r="A130" s="17"/>
      <c r="E130" s="18"/>
      <c r="F130" s="17"/>
    </row>
    <row r="131" spans="1:6" x14ac:dyDescent="0.2">
      <c r="A131" s="17"/>
      <c r="E131" s="18"/>
      <c r="F131" s="17"/>
    </row>
    <row r="132" spans="1:6" x14ac:dyDescent="0.2">
      <c r="A132" s="17"/>
      <c r="E132" s="18"/>
      <c r="F132" s="17"/>
    </row>
    <row r="133" spans="1:6" x14ac:dyDescent="0.2">
      <c r="A133" s="17"/>
      <c r="E133" s="18"/>
      <c r="F133" s="17"/>
    </row>
    <row r="134" spans="1:6" x14ac:dyDescent="0.2">
      <c r="A134" s="17"/>
      <c r="E134" s="18"/>
      <c r="F134" s="17"/>
    </row>
    <row r="135" spans="1:6" x14ac:dyDescent="0.2">
      <c r="A135" s="17"/>
      <c r="E135" s="18"/>
      <c r="F135" s="17"/>
    </row>
    <row r="136" spans="1:6" x14ac:dyDescent="0.2">
      <c r="A136" s="17"/>
      <c r="E136" s="18"/>
      <c r="F136" s="17"/>
    </row>
    <row r="137" spans="1:6" x14ac:dyDescent="0.2">
      <c r="A137" s="17"/>
      <c r="E137" s="18"/>
      <c r="F137" s="17"/>
    </row>
    <row r="138" spans="1:6" x14ac:dyDescent="0.2">
      <c r="A138" s="17"/>
      <c r="E138" s="18"/>
      <c r="F138" s="17"/>
    </row>
    <row r="139" spans="1:6" x14ac:dyDescent="0.2">
      <c r="A139" s="17"/>
      <c r="E139" s="18"/>
      <c r="F139" s="17"/>
    </row>
    <row r="140" spans="1:6" x14ac:dyDescent="0.2">
      <c r="A140" s="17"/>
      <c r="E140" s="18"/>
      <c r="F140" s="17"/>
    </row>
    <row r="141" spans="1:6" x14ac:dyDescent="0.2">
      <c r="A141" s="17"/>
      <c r="E141" s="18"/>
      <c r="F141" s="17"/>
    </row>
    <row r="142" spans="1:6" x14ac:dyDescent="0.2">
      <c r="A142" s="17"/>
      <c r="E142" s="18"/>
      <c r="F142" s="17"/>
    </row>
    <row r="143" spans="1:6" x14ac:dyDescent="0.2">
      <c r="A143" s="17"/>
      <c r="E143" s="18"/>
      <c r="F143" s="17"/>
    </row>
    <row r="144" spans="1:6" x14ac:dyDescent="0.2">
      <c r="A144" s="17"/>
      <c r="E144" s="18"/>
      <c r="F144" s="17"/>
    </row>
    <row r="145" spans="1:6" x14ac:dyDescent="0.2">
      <c r="A145" s="17"/>
      <c r="E145" s="18"/>
      <c r="F145" s="17"/>
    </row>
    <row r="146" spans="1:6" x14ac:dyDescent="0.2">
      <c r="A146" s="17"/>
      <c r="E146" s="18"/>
      <c r="F146" s="17"/>
    </row>
    <row r="147" spans="1:6" x14ac:dyDescent="0.2">
      <c r="A147" s="17"/>
      <c r="E147" s="18"/>
      <c r="F147" s="17"/>
    </row>
    <row r="148" spans="1:6" x14ac:dyDescent="0.2">
      <c r="A148" s="17"/>
      <c r="E148" s="18"/>
      <c r="F148" s="17"/>
    </row>
    <row r="149" spans="1:6" x14ac:dyDescent="0.2">
      <c r="A149" s="17"/>
      <c r="E149" s="18"/>
      <c r="F149" s="17"/>
    </row>
    <row r="150" spans="1:6" x14ac:dyDescent="0.2">
      <c r="A150" s="17"/>
      <c r="E150" s="18"/>
      <c r="F150" s="17"/>
    </row>
    <row r="151" spans="1:6" x14ac:dyDescent="0.2">
      <c r="A151" s="17"/>
      <c r="E151" s="18"/>
      <c r="F151" s="17"/>
    </row>
    <row r="152" spans="1:6" x14ac:dyDescent="0.2">
      <c r="A152" s="17"/>
      <c r="E152" s="18"/>
      <c r="F152" s="17"/>
    </row>
    <row r="153" spans="1:6" x14ac:dyDescent="0.2">
      <c r="A153" s="17"/>
      <c r="E153" s="18"/>
      <c r="F153" s="17"/>
    </row>
    <row r="154" spans="1:6" x14ac:dyDescent="0.2">
      <c r="A154" s="17"/>
      <c r="E154" s="18"/>
      <c r="F154" s="17"/>
    </row>
    <row r="155" spans="1:6" x14ac:dyDescent="0.2">
      <c r="A155" s="17"/>
      <c r="E155" s="18"/>
      <c r="F155" s="17"/>
    </row>
    <row r="156" spans="1:6" x14ac:dyDescent="0.2">
      <c r="A156" s="17"/>
      <c r="E156" s="18"/>
      <c r="F156" s="17"/>
    </row>
    <row r="157" spans="1:6" x14ac:dyDescent="0.2">
      <c r="A157" s="17"/>
      <c r="E157" s="18"/>
      <c r="F157" s="17"/>
    </row>
    <row r="158" spans="1:6" x14ac:dyDescent="0.2">
      <c r="A158" s="17"/>
      <c r="E158" s="18"/>
      <c r="F158" s="17"/>
    </row>
    <row r="159" spans="1:6" x14ac:dyDescent="0.2">
      <c r="A159" s="17"/>
      <c r="E159" s="18"/>
      <c r="F159" s="17"/>
    </row>
    <row r="160" spans="1:6" x14ac:dyDescent="0.2">
      <c r="A160" s="17"/>
      <c r="E160" s="18"/>
      <c r="F160" s="17"/>
    </row>
    <row r="161" spans="1:6" x14ac:dyDescent="0.2">
      <c r="A161" s="17"/>
      <c r="E161" s="18"/>
      <c r="F161" s="17"/>
    </row>
    <row r="162" spans="1:6" x14ac:dyDescent="0.2">
      <c r="A162" s="17"/>
      <c r="E162" s="18"/>
      <c r="F162" s="17"/>
    </row>
    <row r="163" spans="1:6" x14ac:dyDescent="0.2">
      <c r="E163" s="18"/>
      <c r="F163" s="17"/>
    </row>
    <row r="164" spans="1:6" x14ac:dyDescent="0.2">
      <c r="E164" s="18"/>
      <c r="F164" s="17"/>
    </row>
    <row r="165" spans="1:6" x14ac:dyDescent="0.2">
      <c r="E165" s="18"/>
      <c r="F165" s="17"/>
    </row>
    <row r="166" spans="1:6" x14ac:dyDescent="0.2">
      <c r="E166" s="18"/>
      <c r="F166" s="17"/>
    </row>
    <row r="167" spans="1:6" x14ac:dyDescent="0.2">
      <c r="E167" s="18"/>
      <c r="F167" s="17"/>
    </row>
    <row r="168" spans="1:6" x14ac:dyDescent="0.2">
      <c r="E168" s="18"/>
      <c r="F168" s="17"/>
    </row>
    <row r="169" spans="1:6" x14ac:dyDescent="0.2">
      <c r="E169" s="18"/>
      <c r="F169" s="17"/>
    </row>
    <row r="170" spans="1:6" x14ac:dyDescent="0.2">
      <c r="E170" s="18"/>
      <c r="F170" s="17"/>
    </row>
    <row r="171" spans="1:6" x14ac:dyDescent="0.2">
      <c r="E171" s="18"/>
      <c r="F171" s="17"/>
    </row>
    <row r="172" spans="1:6" x14ac:dyDescent="0.2">
      <c r="E172" s="18"/>
      <c r="F172" s="17"/>
    </row>
    <row r="173" spans="1:6" x14ac:dyDescent="0.2">
      <c r="E173" s="18"/>
      <c r="F173" s="17"/>
    </row>
    <row r="174" spans="1:6" x14ac:dyDescent="0.2">
      <c r="E174" s="18"/>
      <c r="F174" s="17"/>
    </row>
    <row r="175" spans="1:6" x14ac:dyDescent="0.2">
      <c r="E175" s="18"/>
      <c r="F175" s="17"/>
    </row>
    <row r="176" spans="1:6" x14ac:dyDescent="0.2">
      <c r="E176" s="18"/>
      <c r="F176" s="17"/>
    </row>
    <row r="177" spans="5:6" x14ac:dyDescent="0.2">
      <c r="E177" s="18"/>
      <c r="F177" s="17"/>
    </row>
    <row r="178" spans="5:6" x14ac:dyDescent="0.2">
      <c r="E178" s="18"/>
      <c r="F178" s="17"/>
    </row>
    <row r="179" spans="5:6" x14ac:dyDescent="0.2">
      <c r="E179" s="18"/>
      <c r="F179" s="17"/>
    </row>
    <row r="180" spans="5:6" x14ac:dyDescent="0.2">
      <c r="E180" s="18"/>
      <c r="F180" s="17"/>
    </row>
    <row r="181" spans="5:6" x14ac:dyDescent="0.2">
      <c r="E181" s="18"/>
      <c r="F181" s="17"/>
    </row>
    <row r="182" spans="5:6" x14ac:dyDescent="0.2">
      <c r="E182" s="18"/>
      <c r="F182" s="17"/>
    </row>
    <row r="183" spans="5:6" x14ac:dyDescent="0.2">
      <c r="E183" s="18"/>
      <c r="F183" s="17"/>
    </row>
    <row r="184" spans="5:6" x14ac:dyDescent="0.2">
      <c r="E184" s="18"/>
      <c r="F184" s="17"/>
    </row>
    <row r="185" spans="5:6" x14ac:dyDescent="0.2">
      <c r="E185" s="18"/>
      <c r="F185" s="17"/>
    </row>
    <row r="186" spans="5:6" x14ac:dyDescent="0.2">
      <c r="E186" s="18"/>
      <c r="F186" s="17"/>
    </row>
  </sheetData>
  <dataValidations count="10">
    <dataValidation type="whole" operator="equal" allowBlank="1" showInputMessage="1" showErrorMessage="1" errorTitle="no acepta valores fuera de rango" error="vuelve a intentar" promptTitle="tipo de dia" sqref="G18:G22 G43:G47 G68:G72 G93:G97">
      <formula1>4</formula1>
    </dataValidation>
    <dataValidation type="whole" operator="equal" allowBlank="1" showInputMessage="1" showErrorMessage="1" errorTitle="no acepta valores fuera de rango" error="vuelve a intentar" promptTitle="tipo de dia" sqref="G38:G42 G63:G67 G88:G92 G13:G17">
      <formula1>3</formula1>
    </dataValidation>
    <dataValidation type="whole" operator="equal" allowBlank="1" showInputMessage="1" showErrorMessage="1" errorTitle="no acepta valores fuera de rango" error="vuelve a intentar" promptTitle="tipo de dia" sqref="G8:G12 G33:G37 G58:G62 G83:G87">
      <formula1>2</formula1>
    </dataValidation>
    <dataValidation type="whole" operator="equal" allowBlank="1" showInputMessage="1" showErrorMessage="1" errorTitle="no acepta valores fuera de rango" error="vuelve a intentar" promptTitle="tipo de dia" sqref="G28:G32 G53:G57 G78:G82 G2:G7">
      <formula1>1</formula1>
    </dataValidation>
    <dataValidation type="whole" operator="equal" allowBlank="1" showInputMessage="1" showErrorMessage="1" errorTitle="no acepta valores fuera de rango" error="vuelve a intentar" promptTitle="tipo de dia" sqref="G23:G27 G48:G52 G73:G77 G98:G102">
      <formula1>5</formula1>
    </dataValidation>
    <dataValidation type="whole" operator="equal" allowBlank="1" showInputMessage="1" showErrorMessage="1" sqref="H28:H52">
      <formula1>2</formula1>
    </dataValidation>
    <dataValidation type="whole" operator="equal" allowBlank="1" showInputMessage="1" showErrorMessage="1" sqref="H53:H77 H2">
      <formula1>3</formula1>
    </dataValidation>
    <dataValidation type="whole" operator="equal" allowBlank="1" showInputMessage="1" showErrorMessage="1" sqref="H78:H102">
      <formula1>4</formula1>
    </dataValidation>
    <dataValidation type="whole" operator="equal" allowBlank="1" showInputMessage="1" showErrorMessage="1" sqref="H3:H27">
      <formula1>1</formula1>
    </dataValidation>
    <dataValidation allowBlank="1" showInputMessage="1" showErrorMessage="1" errorTitle="VALORES NO PERMITIDOS" error="VUELVE A INTENTAR" promptTitle="ESTACION" sqref="E2:E102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nsulta_SIMOCE">
                <anchor moveWithCells="1" sizeWithCells="1">
                  <from>
                    <xdr:col>9</xdr:col>
                    <xdr:colOff>368300</xdr:colOff>
                    <xdr:row>1</xdr:row>
                    <xdr:rowOff>38100</xdr:rowOff>
                  </from>
                  <to>
                    <xdr:col>17</xdr:col>
                    <xdr:colOff>444500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 enableFormatConditionsCalculation="0"/>
  <dimension ref="A1:F98"/>
  <sheetViews>
    <sheetView workbookViewId="0">
      <selection activeCell="H16" sqref="H16"/>
    </sheetView>
  </sheetViews>
  <sheetFormatPr baseColWidth="10" defaultRowHeight="15" x14ac:dyDescent="0.2"/>
  <cols>
    <col min="5" max="5" width="11.5" customWidth="1"/>
    <col min="6" max="6" width="12.5" style="6" customWidth="1"/>
  </cols>
  <sheetData>
    <row r="1" spans="1:6" x14ac:dyDescent="0.2">
      <c r="A1" s="27" t="s">
        <v>1972</v>
      </c>
      <c r="B1" s="27" t="s">
        <v>0</v>
      </c>
      <c r="C1" s="27" t="s">
        <v>12</v>
      </c>
      <c r="D1" s="27" t="s">
        <v>1973</v>
      </c>
    </row>
    <row r="2" spans="1:6" x14ac:dyDescent="0.2">
      <c r="A2" s="6">
        <v>1</v>
      </c>
      <c r="B2" s="29" t="s">
        <v>1268</v>
      </c>
      <c r="C2" s="6" t="s">
        <v>1980</v>
      </c>
      <c r="D2" s="17" t="s">
        <v>1484</v>
      </c>
    </row>
    <row r="3" spans="1:6" x14ac:dyDescent="0.2">
      <c r="A3" s="21">
        <v>1</v>
      </c>
      <c r="B3" s="28" t="s">
        <v>1986</v>
      </c>
      <c r="C3" s="6" t="s">
        <v>1987</v>
      </c>
      <c r="D3" s="17" t="s">
        <v>1484</v>
      </c>
    </row>
    <row r="4" spans="1:6" x14ac:dyDescent="0.2">
      <c r="A4" s="21">
        <v>1</v>
      </c>
      <c r="B4" s="28" t="s">
        <v>1270</v>
      </c>
      <c r="C4" s="6" t="s">
        <v>1988</v>
      </c>
      <c r="D4" s="17" t="s">
        <v>1484</v>
      </c>
    </row>
    <row r="5" spans="1:6" x14ac:dyDescent="0.2">
      <c r="A5" s="21">
        <v>1</v>
      </c>
      <c r="B5" s="28" t="s">
        <v>1272</v>
      </c>
      <c r="C5" s="6" t="s">
        <v>1989</v>
      </c>
      <c r="D5" s="17" t="s">
        <v>1484</v>
      </c>
    </row>
    <row r="6" spans="1:6" x14ac:dyDescent="0.2">
      <c r="A6" s="21">
        <v>1</v>
      </c>
      <c r="B6" s="28" t="s">
        <v>1272</v>
      </c>
      <c r="C6" s="6" t="s">
        <v>1990</v>
      </c>
      <c r="D6" s="17" t="s">
        <v>1484</v>
      </c>
    </row>
    <row r="7" spans="1:6" x14ac:dyDescent="0.2">
      <c r="A7" s="21">
        <v>1</v>
      </c>
      <c r="B7" s="28" t="s">
        <v>1274</v>
      </c>
      <c r="C7" s="6" t="s">
        <v>1991</v>
      </c>
      <c r="D7" s="17" t="s">
        <v>1484</v>
      </c>
    </row>
    <row r="8" spans="1:6" x14ac:dyDescent="0.2">
      <c r="A8" s="43">
        <v>1</v>
      </c>
      <c r="B8" s="44" t="s">
        <v>1975</v>
      </c>
      <c r="C8" s="43" t="s">
        <v>1992</v>
      </c>
      <c r="D8" s="42" t="s">
        <v>1484</v>
      </c>
    </row>
    <row r="9" spans="1:6" x14ac:dyDescent="0.2">
      <c r="A9" s="6">
        <v>1</v>
      </c>
      <c r="B9" s="28" t="s">
        <v>1276</v>
      </c>
      <c r="C9" s="6" t="s">
        <v>1993</v>
      </c>
      <c r="D9" s="17" t="s">
        <v>1484</v>
      </c>
    </row>
    <row r="10" spans="1:6" x14ac:dyDescent="0.2">
      <c r="A10" s="6">
        <v>1</v>
      </c>
      <c r="B10" s="28" t="s">
        <v>1278</v>
      </c>
      <c r="C10" s="6" t="s">
        <v>1994</v>
      </c>
      <c r="D10" s="17" t="s">
        <v>1484</v>
      </c>
    </row>
    <row r="11" spans="1:6" x14ac:dyDescent="0.2">
      <c r="A11" s="6">
        <v>1</v>
      </c>
      <c r="B11" s="28" t="s">
        <v>1280</v>
      </c>
      <c r="C11" s="6" t="s">
        <v>1995</v>
      </c>
      <c r="D11" s="17" t="s">
        <v>1484</v>
      </c>
    </row>
    <row r="12" spans="1:6" x14ac:dyDescent="0.2">
      <c r="A12" s="6">
        <v>1</v>
      </c>
      <c r="B12" s="28" t="s">
        <v>1282</v>
      </c>
      <c r="C12" s="6" t="s">
        <v>1996</v>
      </c>
      <c r="D12" s="17" t="s">
        <v>1484</v>
      </c>
    </row>
    <row r="13" spans="1:6" x14ac:dyDescent="0.2">
      <c r="A13" s="6">
        <v>1</v>
      </c>
      <c r="B13" s="28" t="s">
        <v>1284</v>
      </c>
      <c r="C13" s="6" t="s">
        <v>1997</v>
      </c>
      <c r="D13" s="17" t="s">
        <v>1484</v>
      </c>
    </row>
    <row r="14" spans="1:6" x14ac:dyDescent="0.2">
      <c r="A14" s="6">
        <v>1</v>
      </c>
      <c r="B14" s="28" t="s">
        <v>1976</v>
      </c>
      <c r="C14" s="6" t="s">
        <v>1998</v>
      </c>
      <c r="D14" s="17" t="s">
        <v>1484</v>
      </c>
    </row>
    <row r="15" spans="1:6" x14ac:dyDescent="0.2">
      <c r="A15" s="6">
        <v>1</v>
      </c>
      <c r="B15" s="28" t="s">
        <v>1286</v>
      </c>
      <c r="C15" s="6" t="s">
        <v>1999</v>
      </c>
      <c r="D15" s="17" t="s">
        <v>1484</v>
      </c>
    </row>
    <row r="16" spans="1:6" x14ac:dyDescent="0.2">
      <c r="A16" s="6">
        <v>1</v>
      </c>
      <c r="B16" s="28" t="s">
        <v>1288</v>
      </c>
      <c r="C16" s="6" t="s">
        <v>2000</v>
      </c>
      <c r="D16" s="17" t="s">
        <v>1484</v>
      </c>
      <c r="F16" s="43" t="s">
        <v>2639</v>
      </c>
    </row>
    <row r="17" spans="1:4" x14ac:dyDescent="0.2">
      <c r="A17" s="6">
        <v>2</v>
      </c>
      <c r="B17" s="28" t="s">
        <v>1977</v>
      </c>
      <c r="C17" s="6" t="s">
        <v>2002</v>
      </c>
      <c r="D17" s="17" t="s">
        <v>1484</v>
      </c>
    </row>
    <row r="18" spans="1:4" x14ac:dyDescent="0.2">
      <c r="A18" s="6">
        <v>2</v>
      </c>
      <c r="B18" s="28" t="s">
        <v>1290</v>
      </c>
      <c r="C18" s="6" t="s">
        <v>2003</v>
      </c>
      <c r="D18" s="17" t="s">
        <v>1484</v>
      </c>
    </row>
    <row r="19" spans="1:4" x14ac:dyDescent="0.2">
      <c r="A19" s="6">
        <v>2</v>
      </c>
      <c r="B19" s="28" t="s">
        <v>1290</v>
      </c>
      <c r="C19" s="6" t="s">
        <v>2004</v>
      </c>
      <c r="D19" s="17" t="s">
        <v>1484</v>
      </c>
    </row>
    <row r="20" spans="1:4" x14ac:dyDescent="0.2">
      <c r="A20" s="6">
        <v>2</v>
      </c>
      <c r="B20" s="28" t="s">
        <v>1292</v>
      </c>
      <c r="C20" s="6" t="s">
        <v>2005</v>
      </c>
      <c r="D20" s="17" t="s">
        <v>1484</v>
      </c>
    </row>
    <row r="21" spans="1:4" x14ac:dyDescent="0.2">
      <c r="A21" s="6">
        <v>2</v>
      </c>
      <c r="B21" s="28" t="s">
        <v>1292</v>
      </c>
      <c r="C21" s="6" t="s">
        <v>2006</v>
      </c>
      <c r="D21" s="17" t="s">
        <v>1484</v>
      </c>
    </row>
    <row r="22" spans="1:4" x14ac:dyDescent="0.2">
      <c r="A22" s="6">
        <v>2</v>
      </c>
      <c r="B22" s="28" t="s">
        <v>1978</v>
      </c>
      <c r="C22" s="6"/>
      <c r="D22" s="17" t="s">
        <v>1484</v>
      </c>
    </row>
    <row r="23" spans="1:4" x14ac:dyDescent="0.2">
      <c r="A23" s="6">
        <v>2</v>
      </c>
      <c r="B23" s="28" t="s">
        <v>1294</v>
      </c>
      <c r="C23" s="6" t="s">
        <v>2007</v>
      </c>
      <c r="D23" s="17" t="s">
        <v>1484</v>
      </c>
    </row>
    <row r="24" spans="1:4" x14ac:dyDescent="0.2">
      <c r="A24" s="6">
        <v>2</v>
      </c>
      <c r="B24" s="28" t="s">
        <v>1294</v>
      </c>
      <c r="C24" s="6" t="s">
        <v>2008</v>
      </c>
      <c r="D24" s="17" t="s">
        <v>1484</v>
      </c>
    </row>
    <row r="25" spans="1:4" x14ac:dyDescent="0.2">
      <c r="A25" s="6">
        <v>3</v>
      </c>
      <c r="B25" s="28" t="s">
        <v>1296</v>
      </c>
      <c r="C25" s="6" t="s">
        <v>2010</v>
      </c>
      <c r="D25" s="17" t="s">
        <v>1484</v>
      </c>
    </row>
    <row r="26" spans="1:4" x14ac:dyDescent="0.2">
      <c r="A26" s="6">
        <v>3</v>
      </c>
      <c r="B26" s="28" t="s">
        <v>1298</v>
      </c>
      <c r="C26" s="6" t="s">
        <v>2011</v>
      </c>
      <c r="D26" s="17" t="s">
        <v>1484</v>
      </c>
    </row>
    <row r="27" spans="1:4" x14ac:dyDescent="0.2">
      <c r="A27" s="6">
        <v>3</v>
      </c>
      <c r="B27" s="28" t="s">
        <v>1298</v>
      </c>
      <c r="C27" s="6" t="s">
        <v>2012</v>
      </c>
      <c r="D27" s="17" t="s">
        <v>1484</v>
      </c>
    </row>
    <row r="28" spans="1:4" x14ac:dyDescent="0.2">
      <c r="A28" s="6">
        <v>3</v>
      </c>
      <c r="B28" s="28" t="s">
        <v>1302</v>
      </c>
      <c r="C28" s="6" t="s">
        <v>2013</v>
      </c>
      <c r="D28" s="17" t="s">
        <v>1484</v>
      </c>
    </row>
    <row r="29" spans="1:4" x14ac:dyDescent="0.2">
      <c r="A29" s="6">
        <v>3</v>
      </c>
      <c r="B29" s="28" t="s">
        <v>1302</v>
      </c>
      <c r="C29" s="6" t="s">
        <v>2014</v>
      </c>
      <c r="D29" s="17" t="s">
        <v>1484</v>
      </c>
    </row>
    <row r="30" spans="1:4" x14ac:dyDescent="0.2">
      <c r="A30" s="6">
        <v>3</v>
      </c>
      <c r="B30" s="28" t="s">
        <v>1304</v>
      </c>
      <c r="C30" s="6" t="s">
        <v>2015</v>
      </c>
      <c r="D30" s="17" t="s">
        <v>1484</v>
      </c>
    </row>
    <row r="31" spans="1:4" x14ac:dyDescent="0.2">
      <c r="A31" s="6">
        <v>3</v>
      </c>
      <c r="B31" s="28" t="s">
        <v>1304</v>
      </c>
      <c r="C31" s="6" t="s">
        <v>2016</v>
      </c>
      <c r="D31" s="17" t="s">
        <v>1484</v>
      </c>
    </row>
    <row r="32" spans="1:4" x14ac:dyDescent="0.2">
      <c r="A32" s="6">
        <v>3</v>
      </c>
      <c r="B32" s="28" t="s">
        <v>1306</v>
      </c>
      <c r="C32" s="6" t="s">
        <v>2017</v>
      </c>
      <c r="D32" s="17" t="s">
        <v>1484</v>
      </c>
    </row>
    <row r="33" spans="1:4" x14ac:dyDescent="0.2">
      <c r="A33" s="6">
        <v>3</v>
      </c>
      <c r="B33" s="28" t="s">
        <v>1306</v>
      </c>
      <c r="C33" s="6" t="s">
        <v>2018</v>
      </c>
      <c r="D33" s="17" t="s">
        <v>1484</v>
      </c>
    </row>
    <row r="34" spans="1:4" x14ac:dyDescent="0.2">
      <c r="A34" s="6">
        <v>3</v>
      </c>
      <c r="B34" s="28" t="s">
        <v>1308</v>
      </c>
      <c r="C34" s="6" t="s">
        <v>2019</v>
      </c>
      <c r="D34" s="17" t="s">
        <v>1484</v>
      </c>
    </row>
    <row r="35" spans="1:4" x14ac:dyDescent="0.2">
      <c r="A35" s="6">
        <v>3</v>
      </c>
      <c r="B35" s="28" t="s">
        <v>1310</v>
      </c>
      <c r="C35" s="6" t="s">
        <v>2020</v>
      </c>
      <c r="D35" s="17" t="s">
        <v>1484</v>
      </c>
    </row>
    <row r="36" spans="1:4" x14ac:dyDescent="0.2">
      <c r="A36" s="6">
        <v>3</v>
      </c>
      <c r="B36" s="28" t="s">
        <v>1312</v>
      </c>
      <c r="C36" s="6" t="s">
        <v>2021</v>
      </c>
      <c r="D36" s="17" t="s">
        <v>1484</v>
      </c>
    </row>
    <row r="37" spans="1:4" x14ac:dyDescent="0.2">
      <c r="A37" s="6">
        <v>3</v>
      </c>
      <c r="B37" s="28" t="s">
        <v>1314</v>
      </c>
      <c r="C37" s="6" t="s">
        <v>2022</v>
      </c>
      <c r="D37" s="17" t="s">
        <v>1484</v>
      </c>
    </row>
    <row r="38" spans="1:4" x14ac:dyDescent="0.2">
      <c r="A38" s="6">
        <v>3</v>
      </c>
      <c r="B38" s="28" t="s">
        <v>1314</v>
      </c>
      <c r="C38" s="6" t="s">
        <v>2023</v>
      </c>
      <c r="D38" s="17" t="s">
        <v>1484</v>
      </c>
    </row>
    <row r="39" spans="1:4" x14ac:dyDescent="0.2">
      <c r="A39" s="6">
        <v>5</v>
      </c>
      <c r="B39" s="28" t="s">
        <v>1316</v>
      </c>
      <c r="C39" s="6" t="s">
        <v>2025</v>
      </c>
      <c r="D39" s="17" t="s">
        <v>1484</v>
      </c>
    </row>
    <row r="40" spans="1:4" x14ac:dyDescent="0.2">
      <c r="A40" s="6">
        <v>5</v>
      </c>
      <c r="B40" s="28" t="s">
        <v>1316</v>
      </c>
      <c r="C40" s="6" t="s">
        <v>2026</v>
      </c>
      <c r="D40" s="17" t="s">
        <v>1484</v>
      </c>
    </row>
    <row r="41" spans="1:4" x14ac:dyDescent="0.2">
      <c r="A41" s="6">
        <v>5</v>
      </c>
      <c r="B41" s="28" t="s">
        <v>1318</v>
      </c>
      <c r="C41" s="6" t="s">
        <v>2027</v>
      </c>
      <c r="D41" s="17" t="s">
        <v>1484</v>
      </c>
    </row>
    <row r="42" spans="1:4" x14ac:dyDescent="0.2">
      <c r="A42" s="6">
        <v>5</v>
      </c>
      <c r="B42" s="28" t="s">
        <v>262</v>
      </c>
      <c r="C42" s="6"/>
      <c r="D42" s="17" t="s">
        <v>1484</v>
      </c>
    </row>
    <row r="43" spans="1:4" x14ac:dyDescent="0.2">
      <c r="A43" s="6">
        <v>5</v>
      </c>
      <c r="B43" s="28" t="s">
        <v>1321</v>
      </c>
      <c r="C43" s="6" t="s">
        <v>2028</v>
      </c>
      <c r="D43" s="17" t="s">
        <v>1484</v>
      </c>
    </row>
    <row r="44" spans="1:4" x14ac:dyDescent="0.2">
      <c r="A44" s="6">
        <v>5</v>
      </c>
      <c r="B44" s="28" t="s">
        <v>1323</v>
      </c>
      <c r="C44" s="6" t="s">
        <v>2029</v>
      </c>
      <c r="D44" s="17" t="s">
        <v>1484</v>
      </c>
    </row>
    <row r="45" spans="1:4" x14ac:dyDescent="0.2">
      <c r="A45" s="6">
        <v>5</v>
      </c>
      <c r="B45" s="28" t="s">
        <v>1323</v>
      </c>
      <c r="C45" s="6" t="s">
        <v>2030</v>
      </c>
      <c r="D45" s="17" t="s">
        <v>1484</v>
      </c>
    </row>
    <row r="46" spans="1:4" x14ac:dyDescent="0.2">
      <c r="A46" s="6">
        <v>5</v>
      </c>
      <c r="B46" s="28" t="s">
        <v>1325</v>
      </c>
      <c r="C46" s="6" t="s">
        <v>2031</v>
      </c>
      <c r="D46" s="17" t="s">
        <v>1484</v>
      </c>
    </row>
    <row r="47" spans="1:4" x14ac:dyDescent="0.2">
      <c r="A47" s="6">
        <v>5</v>
      </c>
      <c r="B47" s="28" t="s">
        <v>399</v>
      </c>
      <c r="C47" s="6" t="s">
        <v>2032</v>
      </c>
      <c r="D47" s="17" t="s">
        <v>1484</v>
      </c>
    </row>
    <row r="48" spans="1:4" x14ac:dyDescent="0.2">
      <c r="A48" s="6">
        <v>5</v>
      </c>
      <c r="B48" s="28" t="s">
        <v>399</v>
      </c>
      <c r="C48" s="6" t="s">
        <v>2033</v>
      </c>
      <c r="D48" s="17" t="s">
        <v>1484</v>
      </c>
    </row>
    <row r="49" spans="1:4" x14ac:dyDescent="0.2">
      <c r="A49" s="6">
        <v>5</v>
      </c>
      <c r="B49" s="28" t="s">
        <v>1328</v>
      </c>
      <c r="C49" s="6" t="s">
        <v>2034</v>
      </c>
      <c r="D49" s="17" t="s">
        <v>1484</v>
      </c>
    </row>
    <row r="50" spans="1:4" x14ac:dyDescent="0.2">
      <c r="A50" s="6">
        <v>8</v>
      </c>
      <c r="B50" s="28" t="s">
        <v>1372</v>
      </c>
      <c r="C50" s="6" t="s">
        <v>2036</v>
      </c>
      <c r="D50" s="17" t="s">
        <v>1484</v>
      </c>
    </row>
    <row r="51" spans="1:4" x14ac:dyDescent="0.2">
      <c r="A51" s="6">
        <v>8</v>
      </c>
      <c r="B51" s="28" t="s">
        <v>1372</v>
      </c>
      <c r="C51" s="6" t="s">
        <v>2037</v>
      </c>
      <c r="D51" s="17" t="s">
        <v>1484</v>
      </c>
    </row>
    <row r="52" spans="1:4" x14ac:dyDescent="0.2">
      <c r="A52" s="6">
        <v>8</v>
      </c>
      <c r="B52" s="28" t="s">
        <v>1376</v>
      </c>
      <c r="C52" s="6" t="s">
        <v>2038</v>
      </c>
      <c r="D52" s="17" t="s">
        <v>1484</v>
      </c>
    </row>
    <row r="53" spans="1:4" x14ac:dyDescent="0.2">
      <c r="A53" s="6">
        <v>8</v>
      </c>
      <c r="B53" s="28" t="s">
        <v>1378</v>
      </c>
      <c r="C53" s="6" t="s">
        <v>2039</v>
      </c>
      <c r="D53" s="17" t="s">
        <v>1484</v>
      </c>
    </row>
    <row r="54" spans="1:4" x14ac:dyDescent="0.2">
      <c r="A54" s="6">
        <v>10</v>
      </c>
      <c r="B54" s="28" t="s">
        <v>1420</v>
      </c>
      <c r="C54" s="6" t="s">
        <v>2041</v>
      </c>
      <c r="D54" s="17" t="s">
        <v>1484</v>
      </c>
    </row>
    <row r="55" spans="1:4" x14ac:dyDescent="0.2">
      <c r="A55" s="6">
        <v>10</v>
      </c>
      <c r="B55" s="28" t="s">
        <v>1420</v>
      </c>
      <c r="C55" s="6" t="s">
        <v>2042</v>
      </c>
      <c r="D55" s="17" t="s">
        <v>1484</v>
      </c>
    </row>
    <row r="56" spans="1:4" x14ac:dyDescent="0.2">
      <c r="A56" s="6">
        <v>10</v>
      </c>
      <c r="B56" s="28" t="s">
        <v>1422</v>
      </c>
      <c r="C56" s="6" t="s">
        <v>2043</v>
      </c>
      <c r="D56" s="17" t="s">
        <v>1484</v>
      </c>
    </row>
    <row r="57" spans="1:4" x14ac:dyDescent="0.2">
      <c r="A57" s="6">
        <v>10</v>
      </c>
      <c r="B57" s="28" t="s">
        <v>1422</v>
      </c>
      <c r="C57" s="6" t="s">
        <v>2044</v>
      </c>
      <c r="D57" s="17" t="s">
        <v>1484</v>
      </c>
    </row>
    <row r="58" spans="1:4" x14ac:dyDescent="0.2">
      <c r="A58" s="6">
        <v>10</v>
      </c>
      <c r="B58" s="28" t="s">
        <v>1424</v>
      </c>
      <c r="C58" s="6" t="s">
        <v>2045</v>
      </c>
      <c r="D58" s="17" t="s">
        <v>1484</v>
      </c>
    </row>
    <row r="59" spans="1:4" x14ac:dyDescent="0.2">
      <c r="A59" s="6">
        <v>10</v>
      </c>
      <c r="B59" s="28" t="s">
        <v>1426</v>
      </c>
      <c r="C59" s="6" t="s">
        <v>2046</v>
      </c>
      <c r="D59" s="17" t="s">
        <v>1484</v>
      </c>
    </row>
    <row r="60" spans="1:4" x14ac:dyDescent="0.2">
      <c r="A60" s="6">
        <v>10</v>
      </c>
      <c r="B60" s="28" t="s">
        <v>1428</v>
      </c>
      <c r="C60" s="6" t="s">
        <v>2047</v>
      </c>
      <c r="D60" s="17" t="s">
        <v>1484</v>
      </c>
    </row>
    <row r="61" spans="1:4" x14ac:dyDescent="0.2">
      <c r="A61" s="6">
        <v>10</v>
      </c>
      <c r="B61" s="28" t="s">
        <v>1428</v>
      </c>
      <c r="C61" s="6" t="s">
        <v>2048</v>
      </c>
      <c r="D61" s="17" t="s">
        <v>1484</v>
      </c>
    </row>
    <row r="62" spans="1:4" x14ac:dyDescent="0.2">
      <c r="A62" s="6">
        <v>10</v>
      </c>
      <c r="B62" s="28" t="s">
        <v>1430</v>
      </c>
      <c r="C62" s="6" t="s">
        <v>2049</v>
      </c>
      <c r="D62" s="17" t="s">
        <v>1484</v>
      </c>
    </row>
    <row r="63" spans="1:4" x14ac:dyDescent="0.2">
      <c r="A63" s="6">
        <v>10</v>
      </c>
      <c r="B63" s="28" t="s">
        <v>1432</v>
      </c>
      <c r="C63" s="6" t="s">
        <v>2050</v>
      </c>
      <c r="D63" s="17" t="s">
        <v>1484</v>
      </c>
    </row>
    <row r="64" spans="1:4" x14ac:dyDescent="0.2">
      <c r="A64" s="6">
        <v>10</v>
      </c>
      <c r="B64" s="28" t="s">
        <v>1434</v>
      </c>
      <c r="C64" s="6" t="s">
        <v>2051</v>
      </c>
      <c r="D64" s="17" t="s">
        <v>1484</v>
      </c>
    </row>
    <row r="65" spans="1:4" x14ac:dyDescent="0.2">
      <c r="A65" s="6">
        <v>10</v>
      </c>
      <c r="B65" s="28" t="s">
        <v>1434</v>
      </c>
      <c r="C65" s="6" t="s">
        <v>2052</v>
      </c>
      <c r="D65" s="17" t="s">
        <v>1484</v>
      </c>
    </row>
    <row r="66" spans="1:4" x14ac:dyDescent="0.2">
      <c r="A66" s="6">
        <v>10</v>
      </c>
      <c r="B66" s="28" t="s">
        <v>1436</v>
      </c>
      <c r="C66" s="6" t="s">
        <v>2053</v>
      </c>
      <c r="D66" s="17" t="s">
        <v>1484</v>
      </c>
    </row>
    <row r="67" spans="1:4" x14ac:dyDescent="0.2">
      <c r="A67" s="6">
        <v>10</v>
      </c>
      <c r="B67" s="28" t="s">
        <v>1438</v>
      </c>
      <c r="C67" s="6" t="s">
        <v>2054</v>
      </c>
      <c r="D67" s="17" t="s">
        <v>1484</v>
      </c>
    </row>
    <row r="68" spans="1:4" x14ac:dyDescent="0.2">
      <c r="A68" s="6">
        <v>10</v>
      </c>
      <c r="B68" s="28" t="s">
        <v>1440</v>
      </c>
      <c r="C68" s="6" t="s">
        <v>2055</v>
      </c>
      <c r="D68" s="17" t="s">
        <v>1484</v>
      </c>
    </row>
    <row r="69" spans="1:4" x14ac:dyDescent="0.2">
      <c r="A69" s="6">
        <v>10</v>
      </c>
      <c r="B69" s="28" t="s">
        <v>1440</v>
      </c>
      <c r="C69" s="6" t="s">
        <v>2056</v>
      </c>
      <c r="D69" s="17" t="s">
        <v>1484</v>
      </c>
    </row>
    <row r="70" spans="1:4" x14ac:dyDescent="0.2">
      <c r="A70" s="6">
        <v>10</v>
      </c>
      <c r="B70" s="28" t="s">
        <v>1442</v>
      </c>
      <c r="C70" s="6" t="s">
        <v>2057</v>
      </c>
      <c r="D70" s="17" t="s">
        <v>1484</v>
      </c>
    </row>
    <row r="71" spans="1:4" x14ac:dyDescent="0.2">
      <c r="A71" s="6">
        <v>10</v>
      </c>
      <c r="B71" s="28" t="s">
        <v>1444</v>
      </c>
      <c r="C71" s="6" t="s">
        <v>2058</v>
      </c>
      <c r="D71" s="17" t="s">
        <v>1484</v>
      </c>
    </row>
    <row r="72" spans="1:4" x14ac:dyDescent="0.2">
      <c r="A72" s="6">
        <v>10</v>
      </c>
      <c r="B72" s="28" t="s">
        <v>1444</v>
      </c>
      <c r="C72" s="6" t="s">
        <v>2059</v>
      </c>
      <c r="D72" s="17" t="s">
        <v>1484</v>
      </c>
    </row>
    <row r="73" spans="1:4" x14ac:dyDescent="0.2">
      <c r="A73" s="6">
        <v>10</v>
      </c>
      <c r="B73" s="28" t="s">
        <v>1446</v>
      </c>
      <c r="C73" s="6" t="s">
        <v>2060</v>
      </c>
      <c r="D73" s="17" t="s">
        <v>1484</v>
      </c>
    </row>
    <row r="74" spans="1:4" x14ac:dyDescent="0.2">
      <c r="A74" s="6">
        <v>10</v>
      </c>
      <c r="B74" s="28" t="s">
        <v>1448</v>
      </c>
      <c r="C74" s="6" t="s">
        <v>2061</v>
      </c>
      <c r="D74" s="17" t="s">
        <v>1484</v>
      </c>
    </row>
    <row r="75" spans="1:4" x14ac:dyDescent="0.2">
      <c r="A75" s="6">
        <v>10</v>
      </c>
      <c r="B75" s="28" t="s">
        <v>1448</v>
      </c>
      <c r="C75" s="6" t="s">
        <v>2062</v>
      </c>
      <c r="D75" s="17" t="s">
        <v>1484</v>
      </c>
    </row>
    <row r="76" spans="1:4" x14ac:dyDescent="0.2">
      <c r="A76" s="6">
        <v>10</v>
      </c>
      <c r="B76" s="28" t="s">
        <v>1450</v>
      </c>
      <c r="C76" s="6" t="s">
        <v>2063</v>
      </c>
      <c r="D76" s="17" t="s">
        <v>1484</v>
      </c>
    </row>
    <row r="77" spans="1:4" x14ac:dyDescent="0.2">
      <c r="A77" s="6">
        <v>10</v>
      </c>
      <c r="B77" s="28" t="s">
        <v>1450</v>
      </c>
      <c r="C77" s="6" t="s">
        <v>2064</v>
      </c>
      <c r="D77" s="17" t="s">
        <v>1484</v>
      </c>
    </row>
    <row r="78" spans="1:4" x14ac:dyDescent="0.2">
      <c r="A78" s="6">
        <v>11</v>
      </c>
      <c r="B78" s="28" t="s">
        <v>1452</v>
      </c>
      <c r="C78" s="6" t="s">
        <v>2066</v>
      </c>
      <c r="D78" s="17" t="s">
        <v>1484</v>
      </c>
    </row>
    <row r="79" spans="1:4" x14ac:dyDescent="0.2">
      <c r="A79" s="6">
        <v>11</v>
      </c>
      <c r="B79" s="28" t="s">
        <v>1454</v>
      </c>
      <c r="C79" s="6" t="s">
        <v>2067</v>
      </c>
      <c r="D79" s="17" t="s">
        <v>1484</v>
      </c>
    </row>
    <row r="80" spans="1:4" x14ac:dyDescent="0.2">
      <c r="A80" s="6">
        <v>11</v>
      </c>
      <c r="B80" s="28" t="s">
        <v>1456</v>
      </c>
      <c r="C80" s="6" t="s">
        <v>2068</v>
      </c>
      <c r="D80" s="17" t="s">
        <v>1484</v>
      </c>
    </row>
    <row r="81" spans="1:4" x14ac:dyDescent="0.2">
      <c r="A81" s="6">
        <v>11</v>
      </c>
      <c r="B81" s="28" t="s">
        <v>1458</v>
      </c>
      <c r="C81" s="6" t="s">
        <v>2069</v>
      </c>
      <c r="D81" s="17" t="s">
        <v>1484</v>
      </c>
    </row>
    <row r="82" spans="1:4" x14ac:dyDescent="0.2">
      <c r="A82" s="6">
        <v>11</v>
      </c>
      <c r="B82" s="28" t="s">
        <v>1460</v>
      </c>
      <c r="C82" s="6" t="s">
        <v>2070</v>
      </c>
      <c r="D82" s="17" t="s">
        <v>1484</v>
      </c>
    </row>
    <row r="83" spans="1:4" x14ac:dyDescent="0.2">
      <c r="A83" s="6">
        <v>11</v>
      </c>
      <c r="B83" s="28" t="s">
        <v>1462</v>
      </c>
      <c r="C83" s="6" t="s">
        <v>2071</v>
      </c>
      <c r="D83" s="17" t="s">
        <v>1484</v>
      </c>
    </row>
    <row r="84" spans="1:4" x14ac:dyDescent="0.2">
      <c r="A84" s="6">
        <v>11</v>
      </c>
      <c r="B84" s="28" t="s">
        <v>1464</v>
      </c>
      <c r="C84" s="6" t="s">
        <v>2072</v>
      </c>
      <c r="D84" s="17" t="s">
        <v>1484</v>
      </c>
    </row>
    <row r="85" spans="1:4" x14ac:dyDescent="0.2">
      <c r="A85" s="6">
        <v>12</v>
      </c>
      <c r="B85" s="28" t="s">
        <v>1466</v>
      </c>
      <c r="C85" s="6" t="s">
        <v>2074</v>
      </c>
      <c r="D85" s="17" t="s">
        <v>1484</v>
      </c>
    </row>
    <row r="86" spans="1:4" x14ac:dyDescent="0.2">
      <c r="A86" s="6">
        <v>12</v>
      </c>
      <c r="B86" s="28" t="s">
        <v>1468</v>
      </c>
      <c r="C86" s="6" t="s">
        <v>2075</v>
      </c>
      <c r="D86" s="17" t="s">
        <v>1484</v>
      </c>
    </row>
    <row r="87" spans="1:4" x14ac:dyDescent="0.2">
      <c r="A87" s="6">
        <v>12</v>
      </c>
      <c r="B87" s="28" t="s">
        <v>1470</v>
      </c>
      <c r="C87" s="6" t="s">
        <v>2076</v>
      </c>
      <c r="D87" s="17" t="s">
        <v>1484</v>
      </c>
    </row>
    <row r="88" spans="1:4" x14ac:dyDescent="0.2">
      <c r="A88" s="6">
        <v>12</v>
      </c>
      <c r="B88" s="28" t="s">
        <v>1470</v>
      </c>
      <c r="C88" s="6" t="s">
        <v>2077</v>
      </c>
      <c r="D88" s="17" t="s">
        <v>1484</v>
      </c>
    </row>
    <row r="89" spans="1:4" x14ac:dyDescent="0.2">
      <c r="A89" s="6">
        <v>12</v>
      </c>
      <c r="B89" s="28" t="s">
        <v>1472</v>
      </c>
      <c r="C89" s="6" t="s">
        <v>2078</v>
      </c>
      <c r="D89" s="17" t="s">
        <v>1484</v>
      </c>
    </row>
    <row r="90" spans="1:4" x14ac:dyDescent="0.2">
      <c r="A90" s="6">
        <v>12</v>
      </c>
      <c r="B90" s="28" t="s">
        <v>1474</v>
      </c>
      <c r="C90" s="6" t="s">
        <v>2079</v>
      </c>
      <c r="D90" s="17" t="s">
        <v>1484</v>
      </c>
    </row>
    <row r="91" spans="1:4" x14ac:dyDescent="0.2">
      <c r="A91" s="6">
        <v>12</v>
      </c>
      <c r="B91" s="28" t="s">
        <v>1474</v>
      </c>
      <c r="C91" s="6" t="s">
        <v>2080</v>
      </c>
      <c r="D91" s="17" t="s">
        <v>1484</v>
      </c>
    </row>
    <row r="92" spans="1:4" x14ac:dyDescent="0.2">
      <c r="A92" s="6">
        <v>12</v>
      </c>
      <c r="B92" s="28" t="s">
        <v>1476</v>
      </c>
      <c r="C92" s="6" t="s">
        <v>2081</v>
      </c>
      <c r="D92" s="17" t="s">
        <v>1484</v>
      </c>
    </row>
    <row r="93" spans="1:4" x14ac:dyDescent="0.2">
      <c r="A93" s="6">
        <v>12</v>
      </c>
      <c r="B93" s="28" t="s">
        <v>1979</v>
      </c>
      <c r="C93" s="6" t="s">
        <v>2082</v>
      </c>
      <c r="D93" s="17" t="s">
        <v>1484</v>
      </c>
    </row>
    <row r="94" spans="1:4" x14ac:dyDescent="0.2">
      <c r="A94" s="6">
        <v>12</v>
      </c>
      <c r="B94" s="28" t="s">
        <v>1478</v>
      </c>
      <c r="C94" s="6" t="s">
        <v>2083</v>
      </c>
      <c r="D94" s="17" t="s">
        <v>1484</v>
      </c>
    </row>
    <row r="95" spans="1:4" x14ac:dyDescent="0.2">
      <c r="A95" s="6">
        <v>12</v>
      </c>
      <c r="B95" s="28" t="s">
        <v>1480</v>
      </c>
      <c r="C95" s="6" t="s">
        <v>2084</v>
      </c>
      <c r="D95" s="17" t="s">
        <v>1484</v>
      </c>
    </row>
    <row r="96" spans="1:4" x14ac:dyDescent="0.2">
      <c r="A96" s="6">
        <v>12</v>
      </c>
      <c r="B96" s="28" t="s">
        <v>1480</v>
      </c>
      <c r="C96" s="6" t="s">
        <v>2085</v>
      </c>
      <c r="D96" s="17" t="s">
        <v>1484</v>
      </c>
    </row>
    <row r="97" spans="1:4" x14ac:dyDescent="0.2">
      <c r="A97" s="6">
        <v>12</v>
      </c>
      <c r="B97" s="28" t="s">
        <v>1482</v>
      </c>
      <c r="C97" s="6" t="s">
        <v>2086</v>
      </c>
      <c r="D97" s="17" t="s">
        <v>1484</v>
      </c>
    </row>
    <row r="98" spans="1:4" x14ac:dyDescent="0.2">
      <c r="A98" s="6">
        <v>12</v>
      </c>
      <c r="B98" s="28" t="s">
        <v>1482</v>
      </c>
      <c r="C98" s="6" t="s">
        <v>2087</v>
      </c>
      <c r="D98" s="17" t="s">
        <v>1484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consulta_SIMOCE">
                <anchor moveWithCells="1" sizeWithCells="1">
                  <from>
                    <xdr:col>5</xdr:col>
                    <xdr:colOff>266700</xdr:colOff>
                    <xdr:row>2</xdr:row>
                    <xdr:rowOff>25400</xdr:rowOff>
                  </from>
                  <to>
                    <xdr:col>13</xdr:col>
                    <xdr:colOff>508000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consulta_SIMOCE">
                <anchor moveWithCells="1" sizeWithCells="1">
                  <from>
                    <xdr:col>6</xdr:col>
                    <xdr:colOff>215900</xdr:colOff>
                    <xdr:row>7</xdr:row>
                    <xdr:rowOff>177800</xdr:rowOff>
                  </from>
                  <to>
                    <xdr:col>12</xdr:col>
                    <xdr:colOff>482600</xdr:colOff>
                    <xdr:row>11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>
    <tabColor rgb="FF990033"/>
  </sheetPr>
  <dimension ref="A1:W223"/>
  <sheetViews>
    <sheetView zoomScale="63" workbookViewId="0">
      <selection activeCell="A14" sqref="A14"/>
    </sheetView>
  </sheetViews>
  <sheetFormatPr baseColWidth="10" defaultRowHeight="15" x14ac:dyDescent="0.2"/>
  <cols>
    <col min="1" max="1" width="18.33203125" customWidth="1"/>
    <col min="3" max="3" width="16" style="47" customWidth="1"/>
    <col min="4" max="4" width="10.83203125" style="6"/>
    <col min="5" max="5" width="12.5" style="6" customWidth="1"/>
    <col min="6" max="6" width="6.6640625" style="51" customWidth="1"/>
    <col min="7" max="7" width="13.6640625" customWidth="1"/>
    <col min="8" max="8" width="10.83203125" style="6"/>
    <col min="9" max="9" width="10.83203125" style="47"/>
    <col min="10" max="10" width="10.83203125" style="6"/>
    <col min="11" max="11" width="12.83203125" style="6" customWidth="1"/>
    <col min="12" max="12" width="6.6640625" customWidth="1"/>
    <col min="13" max="13" width="15" customWidth="1"/>
    <col min="14" max="14" width="10.83203125" style="6"/>
    <col min="15" max="15" width="10.83203125" style="47"/>
    <col min="16" max="16" width="10.83203125" style="6"/>
    <col min="17" max="17" width="13.6640625" style="6" customWidth="1"/>
    <col min="19" max="19" width="15.5" customWidth="1"/>
    <col min="20" max="20" width="9.5" customWidth="1"/>
    <col min="21" max="21" width="18.33203125" style="47" customWidth="1"/>
    <col min="22" max="22" width="15.83203125" style="6" customWidth="1"/>
    <col min="23" max="23" width="13.5" style="6" customWidth="1"/>
  </cols>
  <sheetData>
    <row r="1" spans="1:23" s="17" customFormat="1" x14ac:dyDescent="0.2">
      <c r="A1" s="64" t="s">
        <v>2088</v>
      </c>
      <c r="B1" s="64"/>
      <c r="C1" s="64"/>
      <c r="D1" s="64"/>
      <c r="E1" s="64"/>
      <c r="F1" s="51"/>
      <c r="G1" s="65" t="s">
        <v>2089</v>
      </c>
      <c r="H1" s="65"/>
      <c r="I1" s="65"/>
      <c r="J1" s="65"/>
      <c r="K1" s="65"/>
      <c r="M1" s="66" t="s">
        <v>2090</v>
      </c>
      <c r="N1" s="66"/>
      <c r="O1" s="66"/>
      <c r="P1" s="66"/>
      <c r="Q1" s="66"/>
      <c r="S1" s="67" t="s">
        <v>2091</v>
      </c>
      <c r="T1" s="67"/>
      <c r="U1" s="67"/>
      <c r="V1" s="67"/>
      <c r="W1" s="67"/>
    </row>
    <row r="2" spans="1:23" x14ac:dyDescent="0.2">
      <c r="A2" s="17"/>
      <c r="B2" s="27" t="s">
        <v>1972</v>
      </c>
      <c r="C2" s="46" t="s">
        <v>0</v>
      </c>
      <c r="D2" s="30" t="s">
        <v>12</v>
      </c>
      <c r="E2" s="30" t="s">
        <v>1973</v>
      </c>
      <c r="H2" s="30" t="s">
        <v>1972</v>
      </c>
      <c r="I2" s="46" t="s">
        <v>0</v>
      </c>
      <c r="J2" s="30" t="s">
        <v>12</v>
      </c>
      <c r="K2" s="30" t="s">
        <v>1973</v>
      </c>
      <c r="N2" s="30" t="s">
        <v>1972</v>
      </c>
      <c r="O2" s="46" t="s">
        <v>0</v>
      </c>
      <c r="P2" s="30" t="s">
        <v>12</v>
      </c>
      <c r="Q2" s="30" t="s">
        <v>1973</v>
      </c>
      <c r="T2" s="30" t="s">
        <v>1972</v>
      </c>
      <c r="U2" s="46" t="s">
        <v>0</v>
      </c>
      <c r="V2" s="30" t="s">
        <v>12</v>
      </c>
      <c r="W2" s="30" t="s">
        <v>1973</v>
      </c>
    </row>
    <row r="3" spans="1:23" x14ac:dyDescent="0.2">
      <c r="A3" s="17" t="s">
        <v>1985</v>
      </c>
      <c r="B3" s="6">
        <v>1</v>
      </c>
      <c r="C3" s="49" t="s">
        <v>1268</v>
      </c>
      <c r="D3" s="6" t="s">
        <v>1980</v>
      </c>
      <c r="E3" s="6" t="s">
        <v>1484</v>
      </c>
      <c r="G3" s="17" t="s">
        <v>2092</v>
      </c>
      <c r="H3" s="6">
        <v>1</v>
      </c>
      <c r="I3" s="47" t="s">
        <v>1127</v>
      </c>
      <c r="J3" s="6" t="s">
        <v>2093</v>
      </c>
      <c r="K3" s="6" t="s">
        <v>1265</v>
      </c>
      <c r="M3" s="17" t="s">
        <v>3</v>
      </c>
      <c r="N3" s="6">
        <v>1</v>
      </c>
      <c r="O3" s="47" t="s">
        <v>13</v>
      </c>
      <c r="P3" s="6" t="s">
        <v>2236</v>
      </c>
      <c r="Q3" s="6" t="s">
        <v>1266</v>
      </c>
      <c r="S3" s="17" t="s">
        <v>2444</v>
      </c>
      <c r="T3" s="17">
        <v>1</v>
      </c>
      <c r="U3" s="47" t="s">
        <v>859</v>
      </c>
      <c r="V3" s="6" t="s">
        <v>2445</v>
      </c>
      <c r="W3" s="6" t="s">
        <v>1267</v>
      </c>
    </row>
    <row r="4" spans="1:23" x14ac:dyDescent="0.2">
      <c r="A4" s="17"/>
      <c r="B4" s="21">
        <v>1</v>
      </c>
      <c r="C4" s="50" t="s">
        <v>1986</v>
      </c>
      <c r="D4" s="6" t="s">
        <v>1987</v>
      </c>
      <c r="E4" s="6" t="s">
        <v>1484</v>
      </c>
      <c r="G4" s="17"/>
      <c r="H4" s="6">
        <v>1</v>
      </c>
      <c r="I4" s="47" t="s">
        <v>1127</v>
      </c>
      <c r="J4" s="6" t="s">
        <v>2094</v>
      </c>
      <c r="K4" s="6" t="s">
        <v>1265</v>
      </c>
      <c r="M4" s="17"/>
      <c r="N4" s="6">
        <v>1</v>
      </c>
      <c r="O4" s="47" t="s">
        <v>14</v>
      </c>
      <c r="Q4" s="6" t="s">
        <v>1266</v>
      </c>
      <c r="S4" s="17"/>
      <c r="T4" s="17">
        <v>1</v>
      </c>
      <c r="U4" s="47" t="s">
        <v>861</v>
      </c>
      <c r="V4" s="6" t="s">
        <v>2446</v>
      </c>
      <c r="W4" s="6" t="s">
        <v>1267</v>
      </c>
    </row>
    <row r="5" spans="1:23" x14ac:dyDescent="0.2">
      <c r="A5" s="17"/>
      <c r="B5" s="21">
        <v>1</v>
      </c>
      <c r="C5" s="50" t="s">
        <v>1270</v>
      </c>
      <c r="D5" s="6" t="s">
        <v>1988</v>
      </c>
      <c r="E5" s="6" t="s">
        <v>1484</v>
      </c>
      <c r="G5" s="17"/>
      <c r="H5" s="6">
        <v>1</v>
      </c>
      <c r="I5" s="47" t="s">
        <v>1128</v>
      </c>
      <c r="J5" s="6" t="s">
        <v>2095</v>
      </c>
      <c r="K5" s="6" t="s">
        <v>1265</v>
      </c>
      <c r="M5" s="17"/>
      <c r="N5" s="6">
        <v>1</v>
      </c>
      <c r="O5" s="47" t="s">
        <v>15</v>
      </c>
      <c r="Q5" s="6" t="s">
        <v>1266</v>
      </c>
      <c r="S5" s="17"/>
      <c r="T5" s="17">
        <v>1</v>
      </c>
      <c r="U5" s="47" t="s">
        <v>863</v>
      </c>
      <c r="V5" s="6" t="s">
        <v>2447</v>
      </c>
      <c r="W5" s="6" t="s">
        <v>1267</v>
      </c>
    </row>
    <row r="6" spans="1:23" x14ac:dyDescent="0.2">
      <c r="A6" s="17"/>
      <c r="B6" s="21">
        <v>1</v>
      </c>
      <c r="C6" s="50" t="s">
        <v>1272</v>
      </c>
      <c r="D6" s="6" t="s">
        <v>1989</v>
      </c>
      <c r="E6" s="6" t="s">
        <v>1484</v>
      </c>
      <c r="G6" s="17"/>
      <c r="H6" s="6">
        <v>1</v>
      </c>
      <c r="I6" s="47" t="s">
        <v>1128</v>
      </c>
      <c r="J6" s="6" t="s">
        <v>2096</v>
      </c>
      <c r="K6" s="6" t="s">
        <v>1265</v>
      </c>
      <c r="M6" s="17"/>
      <c r="N6" s="6">
        <v>1</v>
      </c>
      <c r="O6" s="47" t="s">
        <v>261</v>
      </c>
      <c r="P6" s="6" t="s">
        <v>2237</v>
      </c>
      <c r="Q6" s="6" t="s">
        <v>1266</v>
      </c>
      <c r="S6" s="17"/>
      <c r="T6" s="17">
        <v>1</v>
      </c>
      <c r="U6" s="47" t="s">
        <v>2448</v>
      </c>
      <c r="V6" s="6" t="s">
        <v>2449</v>
      </c>
      <c r="W6" s="6" t="s">
        <v>1267</v>
      </c>
    </row>
    <row r="7" spans="1:23" s="17" customFormat="1" x14ac:dyDescent="0.2">
      <c r="B7" s="21">
        <v>1</v>
      </c>
      <c r="C7" s="50" t="s">
        <v>1272</v>
      </c>
      <c r="D7" s="6" t="s">
        <v>1990</v>
      </c>
      <c r="E7" s="6" t="s">
        <v>1484</v>
      </c>
      <c r="F7" s="51"/>
      <c r="H7" s="6">
        <v>1</v>
      </c>
      <c r="I7" s="47" t="s">
        <v>1129</v>
      </c>
      <c r="J7" s="6" t="s">
        <v>2097</v>
      </c>
      <c r="K7" s="6" t="s">
        <v>1265</v>
      </c>
      <c r="N7" s="6">
        <v>1</v>
      </c>
      <c r="O7" s="47" t="s">
        <v>262</v>
      </c>
      <c r="P7" s="6"/>
      <c r="Q7" s="6" t="s">
        <v>1266</v>
      </c>
      <c r="T7" s="17">
        <v>1</v>
      </c>
      <c r="U7" s="47" t="s">
        <v>865</v>
      </c>
      <c r="V7" s="6" t="s">
        <v>2450</v>
      </c>
      <c r="W7" s="6" t="s">
        <v>1267</v>
      </c>
    </row>
    <row r="8" spans="1:23" x14ac:dyDescent="0.2">
      <c r="A8" s="17"/>
      <c r="B8" s="21">
        <v>1</v>
      </c>
      <c r="C8" s="50" t="s">
        <v>1274</v>
      </c>
      <c r="D8" s="6" t="s">
        <v>1991</v>
      </c>
      <c r="E8" s="6" t="s">
        <v>1484</v>
      </c>
      <c r="G8" s="17"/>
      <c r="H8" s="6">
        <v>1</v>
      </c>
      <c r="I8" s="47" t="s">
        <v>1130</v>
      </c>
      <c r="J8" s="6" t="s">
        <v>2098</v>
      </c>
      <c r="K8" s="6" t="s">
        <v>1265</v>
      </c>
      <c r="M8" s="17"/>
      <c r="N8" s="6">
        <v>1</v>
      </c>
      <c r="O8" s="47" t="s">
        <v>264</v>
      </c>
      <c r="P8" s="6" t="s">
        <v>2238</v>
      </c>
      <c r="Q8" s="6" t="s">
        <v>1266</v>
      </c>
      <c r="S8" s="17"/>
      <c r="T8" s="17">
        <v>1</v>
      </c>
      <c r="U8" s="47" t="s">
        <v>261</v>
      </c>
      <c r="V8" s="6" t="s">
        <v>2451</v>
      </c>
      <c r="W8" s="6" t="s">
        <v>1267</v>
      </c>
    </row>
    <row r="9" spans="1:23" x14ac:dyDescent="0.2">
      <c r="A9" s="17"/>
      <c r="B9" s="55">
        <v>1</v>
      </c>
      <c r="C9" s="56" t="s">
        <v>1975</v>
      </c>
      <c r="D9" s="55" t="s">
        <v>1992</v>
      </c>
      <c r="E9" s="55" t="s">
        <v>1484</v>
      </c>
      <c r="G9" s="17"/>
      <c r="H9" s="6">
        <v>1</v>
      </c>
      <c r="I9" s="47" t="s">
        <v>1130</v>
      </c>
      <c r="J9" s="6" t="s">
        <v>2099</v>
      </c>
      <c r="K9" s="6" t="s">
        <v>1265</v>
      </c>
      <c r="M9" s="17"/>
      <c r="N9" s="6">
        <v>1</v>
      </c>
      <c r="O9" s="47" t="s">
        <v>264</v>
      </c>
      <c r="P9" s="6" t="s">
        <v>2239</v>
      </c>
      <c r="Q9" s="6" t="s">
        <v>1266</v>
      </c>
      <c r="S9" s="17"/>
      <c r="T9" s="17">
        <v>1</v>
      </c>
      <c r="U9" s="47" t="s">
        <v>2452</v>
      </c>
      <c r="W9" s="6" t="s">
        <v>1267</v>
      </c>
    </row>
    <row r="10" spans="1:23" x14ac:dyDescent="0.2">
      <c r="A10" s="17"/>
      <c r="B10" s="6">
        <v>1</v>
      </c>
      <c r="C10" s="50" t="s">
        <v>1276</v>
      </c>
      <c r="D10" s="6" t="s">
        <v>1993</v>
      </c>
      <c r="E10" s="6" t="s">
        <v>1484</v>
      </c>
      <c r="G10" s="17"/>
      <c r="H10" s="6">
        <v>1</v>
      </c>
      <c r="I10" s="47" t="s">
        <v>1130</v>
      </c>
      <c r="J10" s="6" t="s">
        <v>2100</v>
      </c>
      <c r="K10" s="6" t="s">
        <v>1265</v>
      </c>
      <c r="M10" s="17"/>
      <c r="N10" s="6">
        <v>1</v>
      </c>
      <c r="O10" s="47" t="s">
        <v>264</v>
      </c>
      <c r="P10" s="6" t="s">
        <v>2240</v>
      </c>
      <c r="Q10" s="6" t="s">
        <v>1266</v>
      </c>
      <c r="S10" s="17"/>
      <c r="T10" s="17">
        <v>1</v>
      </c>
      <c r="U10" s="47" t="s">
        <v>870</v>
      </c>
      <c r="V10" s="6" t="s">
        <v>2453</v>
      </c>
      <c r="W10" s="6" t="s">
        <v>1267</v>
      </c>
    </row>
    <row r="11" spans="1:23" x14ac:dyDescent="0.2">
      <c r="A11" s="17"/>
      <c r="B11" s="6">
        <v>1</v>
      </c>
      <c r="C11" s="50" t="s">
        <v>1278</v>
      </c>
      <c r="D11" s="6" t="s">
        <v>1994</v>
      </c>
      <c r="E11" s="6" t="s">
        <v>1484</v>
      </c>
      <c r="G11" s="17"/>
      <c r="H11" s="6">
        <v>1</v>
      </c>
      <c r="I11" s="47" t="s">
        <v>1130</v>
      </c>
      <c r="J11" s="6" t="s">
        <v>2101</v>
      </c>
      <c r="K11" s="6" t="s">
        <v>1265</v>
      </c>
      <c r="M11" s="17"/>
      <c r="N11" s="6">
        <v>1</v>
      </c>
      <c r="O11" s="47" t="s">
        <v>264</v>
      </c>
      <c r="P11" s="6" t="s">
        <v>2241</v>
      </c>
      <c r="Q11" s="6" t="s">
        <v>1266</v>
      </c>
      <c r="S11" s="17"/>
      <c r="T11" s="17">
        <v>1</v>
      </c>
      <c r="U11" s="47" t="s">
        <v>870</v>
      </c>
      <c r="V11" s="6" t="s">
        <v>2454</v>
      </c>
      <c r="W11" s="6" t="s">
        <v>1267</v>
      </c>
    </row>
    <row r="12" spans="1:23" x14ac:dyDescent="0.2">
      <c r="A12" s="17"/>
      <c r="B12" s="6">
        <v>1</v>
      </c>
      <c r="C12" s="50" t="s">
        <v>1280</v>
      </c>
      <c r="D12" s="6" t="s">
        <v>1995</v>
      </c>
      <c r="E12" s="6" t="s">
        <v>1484</v>
      </c>
      <c r="G12" s="17"/>
      <c r="H12" s="6">
        <v>1</v>
      </c>
      <c r="I12" s="47" t="s">
        <v>1131</v>
      </c>
      <c r="J12" s="6" t="s">
        <v>2102</v>
      </c>
      <c r="K12" s="6" t="s">
        <v>1265</v>
      </c>
      <c r="M12" s="17"/>
      <c r="N12" s="6">
        <v>1</v>
      </c>
      <c r="O12" s="47" t="s">
        <v>265</v>
      </c>
      <c r="P12" s="6" t="s">
        <v>2242</v>
      </c>
      <c r="Q12" s="6" t="s">
        <v>1266</v>
      </c>
      <c r="S12" s="17"/>
      <c r="T12" s="17">
        <v>1</v>
      </c>
      <c r="U12" s="47" t="s">
        <v>872</v>
      </c>
      <c r="V12" s="6" t="s">
        <v>2455</v>
      </c>
      <c r="W12" s="6" t="s">
        <v>1267</v>
      </c>
    </row>
    <row r="13" spans="1:23" x14ac:dyDescent="0.2">
      <c r="A13" s="17"/>
      <c r="B13" s="6">
        <v>1</v>
      </c>
      <c r="C13" s="50" t="s">
        <v>1282</v>
      </c>
      <c r="D13" s="6" t="s">
        <v>1996</v>
      </c>
      <c r="E13" s="6" t="s">
        <v>1484</v>
      </c>
      <c r="G13" s="17"/>
      <c r="H13" s="6">
        <v>1</v>
      </c>
      <c r="I13" s="47" t="s">
        <v>1131</v>
      </c>
      <c r="J13" s="6" t="s">
        <v>2103</v>
      </c>
      <c r="K13" s="6" t="s">
        <v>1265</v>
      </c>
      <c r="M13" s="17"/>
      <c r="N13" s="6">
        <v>1</v>
      </c>
      <c r="O13" s="47" t="s">
        <v>266</v>
      </c>
      <c r="P13" s="6" t="s">
        <v>2243</v>
      </c>
      <c r="Q13" s="6" t="s">
        <v>1266</v>
      </c>
      <c r="S13" s="17"/>
      <c r="T13" s="17">
        <v>1</v>
      </c>
      <c r="U13" s="47" t="s">
        <v>874</v>
      </c>
      <c r="V13" s="6" t="s">
        <v>2456</v>
      </c>
      <c r="W13" s="6" t="s">
        <v>1267</v>
      </c>
    </row>
    <row r="14" spans="1:23" x14ac:dyDescent="0.2">
      <c r="A14" s="17"/>
      <c r="B14" s="6">
        <v>1</v>
      </c>
      <c r="C14" s="50" t="s">
        <v>1284</v>
      </c>
      <c r="D14" s="6" t="s">
        <v>1997</v>
      </c>
      <c r="E14" s="6" t="s">
        <v>1484</v>
      </c>
      <c r="G14" s="17"/>
      <c r="H14" s="6">
        <v>1</v>
      </c>
      <c r="I14" s="47" t="s">
        <v>1131</v>
      </c>
      <c r="J14" s="6" t="s">
        <v>2104</v>
      </c>
      <c r="K14" s="6" t="s">
        <v>1265</v>
      </c>
      <c r="M14" s="17"/>
      <c r="N14" s="6">
        <v>1</v>
      </c>
      <c r="O14" s="47" t="s">
        <v>266</v>
      </c>
      <c r="P14" s="6" t="s">
        <v>2244</v>
      </c>
      <c r="Q14" s="6" t="s">
        <v>1266</v>
      </c>
      <c r="S14" s="17"/>
      <c r="T14" s="17">
        <v>1</v>
      </c>
      <c r="U14" s="47" t="s">
        <v>2457</v>
      </c>
      <c r="V14" s="6" t="s">
        <v>2458</v>
      </c>
      <c r="W14" s="6" t="s">
        <v>1267</v>
      </c>
    </row>
    <row r="15" spans="1:23" x14ac:dyDescent="0.2">
      <c r="A15" s="17"/>
      <c r="B15" s="6">
        <v>1</v>
      </c>
      <c r="C15" s="50" t="s">
        <v>1976</v>
      </c>
      <c r="D15" s="6" t="s">
        <v>1998</v>
      </c>
      <c r="E15" s="6" t="s">
        <v>1484</v>
      </c>
      <c r="G15" s="17"/>
      <c r="H15" s="6">
        <v>1</v>
      </c>
      <c r="I15" s="47" t="s">
        <v>1132</v>
      </c>
      <c r="J15" s="6" t="s">
        <v>2105</v>
      </c>
      <c r="K15" s="6" t="s">
        <v>1265</v>
      </c>
      <c r="M15" s="17"/>
      <c r="N15" s="6">
        <v>1</v>
      </c>
      <c r="O15" s="47" t="s">
        <v>267</v>
      </c>
      <c r="Q15" s="6" t="s">
        <v>1266</v>
      </c>
      <c r="S15" s="17"/>
      <c r="T15" s="17">
        <v>1</v>
      </c>
      <c r="U15" s="47" t="s">
        <v>878</v>
      </c>
      <c r="V15" s="6" t="s">
        <v>2459</v>
      </c>
      <c r="W15" s="6" t="s">
        <v>1267</v>
      </c>
    </row>
    <row r="16" spans="1:23" x14ac:dyDescent="0.2">
      <c r="A16" s="17"/>
      <c r="B16" s="6">
        <v>1</v>
      </c>
      <c r="C16" s="50" t="s">
        <v>1286</v>
      </c>
      <c r="D16" s="6" t="s">
        <v>1999</v>
      </c>
      <c r="E16" s="6" t="s">
        <v>1484</v>
      </c>
      <c r="G16" s="17"/>
      <c r="H16" s="6">
        <v>1</v>
      </c>
      <c r="I16" s="47" t="s">
        <v>1132</v>
      </c>
      <c r="J16" s="6" t="s">
        <v>2106</v>
      </c>
      <c r="K16" s="6" t="s">
        <v>1265</v>
      </c>
      <c r="M16" s="17"/>
      <c r="N16" s="6">
        <v>1</v>
      </c>
      <c r="O16" s="47" t="s">
        <v>268</v>
      </c>
      <c r="Q16" s="6" t="s">
        <v>1266</v>
      </c>
      <c r="S16" s="17"/>
      <c r="T16" s="17">
        <v>1</v>
      </c>
      <c r="U16" s="47" t="s">
        <v>880</v>
      </c>
      <c r="V16" s="6" t="s">
        <v>2460</v>
      </c>
      <c r="W16" s="6" t="s">
        <v>1267</v>
      </c>
    </row>
    <row r="17" spans="1:23" x14ac:dyDescent="0.2">
      <c r="A17" s="17"/>
      <c r="B17" s="6">
        <v>1</v>
      </c>
      <c r="C17" s="50" t="s">
        <v>1288</v>
      </c>
      <c r="D17" s="6" t="s">
        <v>2000</v>
      </c>
      <c r="E17" s="6" t="s">
        <v>1484</v>
      </c>
      <c r="G17" s="17"/>
      <c r="H17" s="6">
        <v>1</v>
      </c>
      <c r="I17" s="47" t="s">
        <v>1133</v>
      </c>
      <c r="J17" s="6" t="s">
        <v>2107</v>
      </c>
      <c r="K17" s="6" t="s">
        <v>1265</v>
      </c>
      <c r="M17" s="17"/>
      <c r="N17" s="6">
        <v>1</v>
      </c>
      <c r="O17" s="47" t="s">
        <v>260</v>
      </c>
      <c r="P17" s="6" t="s">
        <v>2245</v>
      </c>
      <c r="Q17" s="6" t="s">
        <v>1266</v>
      </c>
      <c r="S17" s="17"/>
      <c r="T17" s="17">
        <v>1</v>
      </c>
      <c r="U17" s="47" t="s">
        <v>882</v>
      </c>
      <c r="V17" s="6" t="s">
        <v>2461</v>
      </c>
      <c r="W17" s="6" t="s">
        <v>1267</v>
      </c>
    </row>
    <row r="18" spans="1:23" x14ac:dyDescent="0.2">
      <c r="A18" s="17" t="s">
        <v>2001</v>
      </c>
      <c r="B18" s="6">
        <v>2</v>
      </c>
      <c r="C18" s="50" t="s">
        <v>1977</v>
      </c>
      <c r="D18" s="6" t="s">
        <v>2002</v>
      </c>
      <c r="E18" s="6" t="s">
        <v>1484</v>
      </c>
      <c r="G18" s="17"/>
      <c r="H18" s="6">
        <v>1</v>
      </c>
      <c r="I18" s="47" t="s">
        <v>1133</v>
      </c>
      <c r="J18" s="6" t="s">
        <v>2108</v>
      </c>
      <c r="K18" s="6" t="s">
        <v>1265</v>
      </c>
      <c r="M18" s="17"/>
      <c r="N18" s="6">
        <v>1</v>
      </c>
      <c r="O18" s="47" t="s">
        <v>260</v>
      </c>
      <c r="P18" s="6" t="s">
        <v>2246</v>
      </c>
      <c r="Q18" s="6" t="s">
        <v>1266</v>
      </c>
      <c r="S18" s="17"/>
      <c r="T18" s="17">
        <v>1</v>
      </c>
      <c r="U18" s="47" t="s">
        <v>2462</v>
      </c>
      <c r="W18" s="6" t="s">
        <v>1267</v>
      </c>
    </row>
    <row r="19" spans="1:23" x14ac:dyDescent="0.2">
      <c r="A19" s="17"/>
      <c r="B19" s="6">
        <v>2</v>
      </c>
      <c r="C19" s="50" t="s">
        <v>1290</v>
      </c>
      <c r="D19" s="6" t="s">
        <v>2003</v>
      </c>
      <c r="E19" s="6" t="s">
        <v>1484</v>
      </c>
      <c r="G19" s="17"/>
      <c r="H19" s="6">
        <v>1</v>
      </c>
      <c r="I19" s="47" t="s">
        <v>1134</v>
      </c>
      <c r="J19" s="6" t="s">
        <v>2109</v>
      </c>
      <c r="K19" s="6" t="s">
        <v>1265</v>
      </c>
      <c r="M19" s="17"/>
      <c r="N19" s="6">
        <v>1</v>
      </c>
      <c r="O19" s="47" t="s">
        <v>260</v>
      </c>
      <c r="P19" s="6" t="s">
        <v>2247</v>
      </c>
      <c r="Q19" s="6" t="s">
        <v>1266</v>
      </c>
      <c r="S19" s="17"/>
      <c r="T19" s="17">
        <v>1</v>
      </c>
      <c r="U19" s="47" t="s">
        <v>886</v>
      </c>
      <c r="V19" s="6" t="s">
        <v>2463</v>
      </c>
      <c r="W19" s="6" t="s">
        <v>1267</v>
      </c>
    </row>
    <row r="20" spans="1:23" s="17" customFormat="1" x14ac:dyDescent="0.2">
      <c r="B20" s="6">
        <v>2</v>
      </c>
      <c r="C20" s="50" t="s">
        <v>1290</v>
      </c>
      <c r="D20" s="6" t="s">
        <v>2004</v>
      </c>
      <c r="E20" s="6" t="s">
        <v>1484</v>
      </c>
      <c r="F20" s="51"/>
      <c r="H20" s="6">
        <v>1</v>
      </c>
      <c r="I20" s="47" t="s">
        <v>1134</v>
      </c>
      <c r="J20" s="6" t="s">
        <v>2110</v>
      </c>
      <c r="K20" s="6" t="s">
        <v>1265</v>
      </c>
      <c r="N20" s="6">
        <v>1</v>
      </c>
      <c r="O20" s="47" t="s">
        <v>269</v>
      </c>
      <c r="P20" s="6" t="s">
        <v>2248</v>
      </c>
      <c r="Q20" s="6" t="s">
        <v>1266</v>
      </c>
      <c r="T20" s="17">
        <v>1</v>
      </c>
      <c r="U20" s="47" t="s">
        <v>886</v>
      </c>
      <c r="V20" s="6" t="s">
        <v>2464</v>
      </c>
      <c r="W20" s="6" t="s">
        <v>1267</v>
      </c>
    </row>
    <row r="21" spans="1:23" x14ac:dyDescent="0.2">
      <c r="A21" s="17"/>
      <c r="B21" s="6">
        <v>2</v>
      </c>
      <c r="C21" s="50" t="s">
        <v>1292</v>
      </c>
      <c r="D21" s="6" t="s">
        <v>2005</v>
      </c>
      <c r="E21" s="6" t="s">
        <v>1484</v>
      </c>
      <c r="G21" s="17"/>
      <c r="H21" s="6">
        <v>1</v>
      </c>
      <c r="I21" s="47" t="s">
        <v>1135</v>
      </c>
      <c r="J21" s="6" t="s">
        <v>2111</v>
      </c>
      <c r="K21" s="6" t="s">
        <v>1265</v>
      </c>
      <c r="M21" s="17"/>
      <c r="N21" s="6">
        <v>1</v>
      </c>
      <c r="O21" s="47" t="s">
        <v>270</v>
      </c>
      <c r="P21" s="6" t="s">
        <v>2249</v>
      </c>
      <c r="Q21" s="6" t="s">
        <v>1266</v>
      </c>
      <c r="S21" s="17"/>
      <c r="T21" s="17">
        <v>1</v>
      </c>
      <c r="U21" s="47" t="s">
        <v>2465</v>
      </c>
      <c r="W21" s="6" t="s">
        <v>1267</v>
      </c>
    </row>
    <row r="22" spans="1:23" s="17" customFormat="1" x14ac:dyDescent="0.2">
      <c r="B22" s="6">
        <v>2</v>
      </c>
      <c r="C22" s="50" t="s">
        <v>1292</v>
      </c>
      <c r="D22" s="6" t="s">
        <v>2006</v>
      </c>
      <c r="E22" s="6" t="s">
        <v>1484</v>
      </c>
      <c r="F22" s="51"/>
      <c r="H22" s="6">
        <v>1</v>
      </c>
      <c r="I22" s="47" t="s">
        <v>1135</v>
      </c>
      <c r="J22" s="6" t="s">
        <v>2112</v>
      </c>
      <c r="K22" s="6" t="s">
        <v>1265</v>
      </c>
      <c r="N22" s="6">
        <v>1</v>
      </c>
      <c r="O22" s="47" t="s">
        <v>271</v>
      </c>
      <c r="P22" s="6"/>
      <c r="Q22" s="6" t="s">
        <v>1266</v>
      </c>
      <c r="T22" s="17">
        <v>1</v>
      </c>
      <c r="U22" s="47" t="s">
        <v>888</v>
      </c>
      <c r="V22" s="6" t="s">
        <v>2466</v>
      </c>
      <c r="W22" s="6" t="s">
        <v>1267</v>
      </c>
    </row>
    <row r="23" spans="1:23" x14ac:dyDescent="0.2">
      <c r="A23" s="17"/>
      <c r="B23" s="6">
        <v>2</v>
      </c>
      <c r="C23" s="50" t="s">
        <v>1978</v>
      </c>
      <c r="E23" s="6" t="s">
        <v>1484</v>
      </c>
      <c r="F23" s="51" t="s">
        <v>2640</v>
      </c>
      <c r="G23" s="17"/>
      <c r="H23" s="6">
        <v>1</v>
      </c>
      <c r="I23" s="47" t="s">
        <v>1136</v>
      </c>
      <c r="J23" s="6" t="s">
        <v>2113</v>
      </c>
      <c r="K23" s="6" t="s">
        <v>1265</v>
      </c>
      <c r="M23" s="17"/>
      <c r="N23" s="6">
        <v>1</v>
      </c>
      <c r="O23" s="47" t="s">
        <v>272</v>
      </c>
      <c r="P23" s="6" t="s">
        <v>2250</v>
      </c>
      <c r="Q23" s="6" t="s">
        <v>1266</v>
      </c>
      <c r="S23" s="17"/>
      <c r="T23" s="17">
        <v>1</v>
      </c>
      <c r="U23" s="47" t="s">
        <v>890</v>
      </c>
      <c r="V23" s="6" t="s">
        <v>2467</v>
      </c>
      <c r="W23" s="6" t="s">
        <v>1267</v>
      </c>
    </row>
    <row r="24" spans="1:23" x14ac:dyDescent="0.2">
      <c r="A24" s="17"/>
      <c r="B24" s="6">
        <v>2</v>
      </c>
      <c r="C24" s="50" t="s">
        <v>1294</v>
      </c>
      <c r="D24" s="6" t="s">
        <v>2007</v>
      </c>
      <c r="E24" s="6" t="s">
        <v>1484</v>
      </c>
      <c r="G24" s="17"/>
      <c r="H24" s="6">
        <v>1</v>
      </c>
      <c r="I24" s="47" t="s">
        <v>1136</v>
      </c>
      <c r="J24" s="6" t="s">
        <v>2114</v>
      </c>
      <c r="K24" s="6" t="s">
        <v>1265</v>
      </c>
      <c r="M24" s="17"/>
      <c r="N24" s="6">
        <v>1</v>
      </c>
      <c r="O24" s="47" t="s">
        <v>273</v>
      </c>
      <c r="P24" s="6" t="s">
        <v>2251</v>
      </c>
      <c r="Q24" s="6" t="s">
        <v>1266</v>
      </c>
      <c r="S24" s="17"/>
      <c r="T24" s="17">
        <v>1</v>
      </c>
      <c r="U24" s="47" t="s">
        <v>892</v>
      </c>
      <c r="V24" s="6" t="s">
        <v>2468</v>
      </c>
      <c r="W24" s="6" t="s">
        <v>1267</v>
      </c>
    </row>
    <row r="25" spans="1:23" s="17" customFormat="1" x14ac:dyDescent="0.2">
      <c r="B25" s="6">
        <v>2</v>
      </c>
      <c r="C25" s="50" t="s">
        <v>1294</v>
      </c>
      <c r="D25" s="6" t="s">
        <v>2008</v>
      </c>
      <c r="E25" s="6" t="s">
        <v>1484</v>
      </c>
      <c r="F25" s="51"/>
      <c r="H25" s="6">
        <v>1</v>
      </c>
      <c r="I25" s="47" t="s">
        <v>1136</v>
      </c>
      <c r="J25" s="6" t="s">
        <v>2115</v>
      </c>
      <c r="K25" s="6" t="s">
        <v>1265</v>
      </c>
      <c r="N25" s="6">
        <v>1</v>
      </c>
      <c r="O25" s="47" t="s">
        <v>273</v>
      </c>
      <c r="P25" s="6" t="s">
        <v>2252</v>
      </c>
      <c r="Q25" s="6" t="s">
        <v>1266</v>
      </c>
      <c r="T25" s="17">
        <v>1</v>
      </c>
      <c r="U25" s="47" t="s">
        <v>894</v>
      </c>
      <c r="V25" s="6" t="s">
        <v>2469</v>
      </c>
      <c r="W25" s="6" t="s">
        <v>1267</v>
      </c>
    </row>
    <row r="26" spans="1:23" x14ac:dyDescent="0.2">
      <c r="A26" s="17" t="s">
        <v>2009</v>
      </c>
      <c r="B26" s="6">
        <v>3</v>
      </c>
      <c r="C26" s="50" t="s">
        <v>1296</v>
      </c>
      <c r="D26" s="6" t="s">
        <v>2010</v>
      </c>
      <c r="E26" s="6" t="s">
        <v>1484</v>
      </c>
      <c r="G26" s="17"/>
      <c r="H26" s="6">
        <v>1</v>
      </c>
      <c r="I26" s="47" t="s">
        <v>1136</v>
      </c>
      <c r="J26" s="6" t="s">
        <v>2116</v>
      </c>
      <c r="K26" s="6" t="s">
        <v>1265</v>
      </c>
      <c r="M26" s="17"/>
      <c r="N26" s="6">
        <v>1</v>
      </c>
      <c r="O26" s="47" t="s">
        <v>273</v>
      </c>
      <c r="P26" s="6" t="s">
        <v>2253</v>
      </c>
      <c r="Q26" s="6" t="s">
        <v>1266</v>
      </c>
      <c r="S26" s="17"/>
      <c r="T26" s="17">
        <v>1</v>
      </c>
      <c r="U26" s="47" t="s">
        <v>896</v>
      </c>
      <c r="V26" s="6" t="s">
        <v>2470</v>
      </c>
      <c r="W26" s="6" t="s">
        <v>1267</v>
      </c>
    </row>
    <row r="27" spans="1:23" x14ac:dyDescent="0.2">
      <c r="A27" s="17"/>
      <c r="B27" s="6">
        <v>3</v>
      </c>
      <c r="C27" s="50" t="s">
        <v>1298</v>
      </c>
      <c r="D27" s="6" t="s">
        <v>2011</v>
      </c>
      <c r="E27" s="6" t="s">
        <v>1484</v>
      </c>
      <c r="G27" s="17"/>
      <c r="H27" s="6">
        <v>1</v>
      </c>
      <c r="I27" s="47" t="s">
        <v>1137</v>
      </c>
      <c r="J27" s="6" t="s">
        <v>2117</v>
      </c>
      <c r="K27" s="6" t="s">
        <v>1265</v>
      </c>
      <c r="M27" s="17"/>
      <c r="N27" s="6">
        <v>1</v>
      </c>
      <c r="O27" s="47" t="s">
        <v>274</v>
      </c>
      <c r="P27" s="6" t="s">
        <v>2254</v>
      </c>
      <c r="Q27" s="6" t="s">
        <v>1266</v>
      </c>
      <c r="S27" s="17"/>
      <c r="T27" s="17">
        <v>1</v>
      </c>
      <c r="U27" s="47" t="s">
        <v>896</v>
      </c>
      <c r="V27" s="6" t="s">
        <v>2471</v>
      </c>
      <c r="W27" s="6" t="s">
        <v>1267</v>
      </c>
    </row>
    <row r="28" spans="1:23" s="17" customFormat="1" x14ac:dyDescent="0.2">
      <c r="B28" s="6">
        <v>3</v>
      </c>
      <c r="C28" s="50" t="s">
        <v>1298</v>
      </c>
      <c r="D28" s="6" t="s">
        <v>2012</v>
      </c>
      <c r="E28" s="6" t="s">
        <v>1484</v>
      </c>
      <c r="F28" s="51"/>
      <c r="H28" s="6">
        <v>1</v>
      </c>
      <c r="I28" s="47" t="s">
        <v>1137</v>
      </c>
      <c r="J28" s="6" t="s">
        <v>2118</v>
      </c>
      <c r="K28" s="6" t="s">
        <v>1265</v>
      </c>
      <c r="N28" s="55">
        <v>1</v>
      </c>
      <c r="O28" s="57" t="s">
        <v>275</v>
      </c>
      <c r="P28" s="55"/>
      <c r="Q28" s="55" t="s">
        <v>1266</v>
      </c>
      <c r="T28" s="17">
        <v>1</v>
      </c>
      <c r="U28" s="47" t="s">
        <v>896</v>
      </c>
      <c r="V28" s="6" t="s">
        <v>2472</v>
      </c>
      <c r="W28" s="6" t="s">
        <v>1267</v>
      </c>
    </row>
    <row r="29" spans="1:23" x14ac:dyDescent="0.2">
      <c r="A29" s="17"/>
      <c r="B29" s="6">
        <v>3</v>
      </c>
      <c r="C29" s="50" t="s">
        <v>1302</v>
      </c>
      <c r="D29" s="6" t="s">
        <v>2013</v>
      </c>
      <c r="E29" s="6" t="s">
        <v>1484</v>
      </c>
      <c r="G29" s="17"/>
      <c r="H29" s="6">
        <v>1</v>
      </c>
      <c r="I29" s="47" t="s">
        <v>1138</v>
      </c>
      <c r="J29" s="6" t="s">
        <v>2119</v>
      </c>
      <c r="K29" s="6" t="s">
        <v>1265</v>
      </c>
      <c r="M29" s="17"/>
      <c r="N29" s="55">
        <v>1</v>
      </c>
      <c r="O29" s="57" t="s">
        <v>276</v>
      </c>
      <c r="P29" s="55" t="s">
        <v>2255</v>
      </c>
      <c r="Q29" s="55" t="s">
        <v>1266</v>
      </c>
      <c r="S29" s="17" t="s">
        <v>2473</v>
      </c>
      <c r="T29" s="17">
        <v>2</v>
      </c>
      <c r="U29" s="47" t="s">
        <v>898</v>
      </c>
      <c r="V29" s="6" t="s">
        <v>2474</v>
      </c>
      <c r="W29" s="6" t="s">
        <v>1267</v>
      </c>
    </row>
    <row r="30" spans="1:23" s="17" customFormat="1" x14ac:dyDescent="0.2">
      <c r="B30" s="6">
        <v>3</v>
      </c>
      <c r="C30" s="50" t="s">
        <v>1302</v>
      </c>
      <c r="D30" s="6" t="s">
        <v>2014</v>
      </c>
      <c r="E30" s="6" t="s">
        <v>1484</v>
      </c>
      <c r="F30" s="51"/>
      <c r="H30" s="6">
        <v>1</v>
      </c>
      <c r="I30" s="47" t="s">
        <v>1138</v>
      </c>
      <c r="J30" s="6" t="s">
        <v>2120</v>
      </c>
      <c r="K30" s="6" t="s">
        <v>1265</v>
      </c>
      <c r="N30" s="6">
        <v>1</v>
      </c>
      <c r="O30" s="47" t="s">
        <v>277</v>
      </c>
      <c r="P30" s="6"/>
      <c r="Q30" s="6" t="s">
        <v>1266</v>
      </c>
      <c r="T30" s="17">
        <v>2</v>
      </c>
      <c r="U30" s="47" t="s">
        <v>900</v>
      </c>
      <c r="V30" s="6" t="s">
        <v>2475</v>
      </c>
      <c r="W30" s="6" t="s">
        <v>1267</v>
      </c>
    </row>
    <row r="31" spans="1:23" x14ac:dyDescent="0.2">
      <c r="A31" s="17"/>
      <c r="B31" s="6">
        <v>3</v>
      </c>
      <c r="C31" s="50" t="s">
        <v>1304</v>
      </c>
      <c r="D31" s="6" t="s">
        <v>2015</v>
      </c>
      <c r="E31" s="6" t="s">
        <v>1484</v>
      </c>
      <c r="G31" s="17"/>
      <c r="H31" s="6">
        <v>1</v>
      </c>
      <c r="I31" s="47" t="s">
        <v>1139</v>
      </c>
      <c r="J31" s="6" t="s">
        <v>2121</v>
      </c>
      <c r="K31" s="6" t="s">
        <v>1265</v>
      </c>
      <c r="M31" s="17"/>
      <c r="N31" s="6">
        <v>1</v>
      </c>
      <c r="O31" s="47" t="s">
        <v>278</v>
      </c>
      <c r="Q31" s="6" t="s">
        <v>1266</v>
      </c>
      <c r="S31" s="17"/>
      <c r="T31" s="17">
        <v>2</v>
      </c>
      <c r="U31" s="47" t="s">
        <v>900</v>
      </c>
      <c r="V31" s="6" t="s">
        <v>2476</v>
      </c>
      <c r="W31" s="6" t="s">
        <v>1267</v>
      </c>
    </row>
    <row r="32" spans="1:23" s="17" customFormat="1" x14ac:dyDescent="0.2">
      <c r="B32" s="6">
        <v>3</v>
      </c>
      <c r="C32" s="50" t="s">
        <v>1304</v>
      </c>
      <c r="D32" s="6" t="s">
        <v>2016</v>
      </c>
      <c r="E32" s="6" t="s">
        <v>1484</v>
      </c>
      <c r="F32" s="51"/>
      <c r="H32" s="6">
        <v>1</v>
      </c>
      <c r="I32" s="47" t="s">
        <v>1139</v>
      </c>
      <c r="J32" s="6" t="s">
        <v>2122</v>
      </c>
      <c r="K32" s="6" t="s">
        <v>1265</v>
      </c>
      <c r="N32" s="6">
        <v>1</v>
      </c>
      <c r="O32" s="47" t="s">
        <v>279</v>
      </c>
      <c r="P32" s="6"/>
      <c r="Q32" s="6" t="s">
        <v>1266</v>
      </c>
      <c r="T32" s="17">
        <v>2</v>
      </c>
      <c r="U32" s="47" t="s">
        <v>282</v>
      </c>
      <c r="V32" s="6" t="s">
        <v>2477</v>
      </c>
      <c r="W32" s="6" t="s">
        <v>1267</v>
      </c>
    </row>
    <row r="33" spans="1:23" x14ac:dyDescent="0.2">
      <c r="A33" s="17"/>
      <c r="B33" s="6">
        <v>3</v>
      </c>
      <c r="C33" s="50" t="s">
        <v>1306</v>
      </c>
      <c r="D33" s="6" t="s">
        <v>2017</v>
      </c>
      <c r="E33" s="6" t="s">
        <v>1484</v>
      </c>
      <c r="G33" s="17"/>
      <c r="H33" s="6">
        <v>1</v>
      </c>
      <c r="I33" s="47" t="s">
        <v>1139</v>
      </c>
      <c r="J33" s="6" t="s">
        <v>2123</v>
      </c>
      <c r="K33" s="6" t="s">
        <v>1265</v>
      </c>
      <c r="M33" s="17" t="s">
        <v>4</v>
      </c>
      <c r="N33" s="6">
        <v>2</v>
      </c>
      <c r="O33" s="47" t="s">
        <v>280</v>
      </c>
      <c r="P33" s="6" t="s">
        <v>2256</v>
      </c>
      <c r="Q33" s="6" t="s">
        <v>1266</v>
      </c>
      <c r="S33" s="17"/>
      <c r="T33" s="17">
        <v>2</v>
      </c>
      <c r="U33" s="47" t="s">
        <v>903</v>
      </c>
      <c r="V33" s="6" t="s">
        <v>2478</v>
      </c>
      <c r="W33" s="6" t="s">
        <v>1267</v>
      </c>
    </row>
    <row r="34" spans="1:23" s="17" customFormat="1" x14ac:dyDescent="0.2">
      <c r="B34" s="6">
        <v>3</v>
      </c>
      <c r="C34" s="50" t="s">
        <v>1306</v>
      </c>
      <c r="D34" s="6" t="s">
        <v>2018</v>
      </c>
      <c r="E34" s="6" t="s">
        <v>1484</v>
      </c>
      <c r="F34" s="51"/>
      <c r="G34" s="17" t="s">
        <v>2124</v>
      </c>
      <c r="H34" s="6">
        <v>2</v>
      </c>
      <c r="I34" s="47" t="s">
        <v>1140</v>
      </c>
      <c r="J34" s="6" t="s">
        <v>2125</v>
      </c>
      <c r="K34" s="6" t="s">
        <v>1265</v>
      </c>
      <c r="N34" s="6">
        <v>2</v>
      </c>
      <c r="O34" s="47" t="s">
        <v>281</v>
      </c>
      <c r="P34" s="6" t="s">
        <v>2257</v>
      </c>
      <c r="Q34" s="6" t="s">
        <v>1266</v>
      </c>
      <c r="T34" s="17">
        <v>2</v>
      </c>
      <c r="U34" s="47" t="s">
        <v>905</v>
      </c>
      <c r="V34" s="6" t="s">
        <v>2479</v>
      </c>
      <c r="W34" s="6" t="s">
        <v>1267</v>
      </c>
    </row>
    <row r="35" spans="1:23" x14ac:dyDescent="0.2">
      <c r="A35" s="17"/>
      <c r="B35" s="6">
        <v>3</v>
      </c>
      <c r="C35" s="50" t="s">
        <v>1308</v>
      </c>
      <c r="D35" s="6" t="s">
        <v>2019</v>
      </c>
      <c r="E35" s="6" t="s">
        <v>1484</v>
      </c>
      <c r="G35" s="17"/>
      <c r="H35" s="6">
        <v>2</v>
      </c>
      <c r="I35" s="47" t="s">
        <v>1141</v>
      </c>
      <c r="J35" s="6" t="s">
        <v>2126</v>
      </c>
      <c r="K35" s="6" t="s">
        <v>1265</v>
      </c>
      <c r="M35" s="17"/>
      <c r="N35" s="6">
        <v>2</v>
      </c>
      <c r="O35" s="47" t="s">
        <v>281</v>
      </c>
      <c r="P35" s="6" t="s">
        <v>2258</v>
      </c>
      <c r="Q35" s="6" t="s">
        <v>1266</v>
      </c>
      <c r="S35" s="17"/>
      <c r="T35" s="17">
        <v>2</v>
      </c>
      <c r="U35" s="47" t="s">
        <v>905</v>
      </c>
      <c r="V35" s="6" t="s">
        <v>2480</v>
      </c>
      <c r="W35" s="6" t="s">
        <v>1267</v>
      </c>
    </row>
    <row r="36" spans="1:23" x14ac:dyDescent="0.2">
      <c r="A36" s="17"/>
      <c r="B36" s="6">
        <v>3</v>
      </c>
      <c r="C36" s="50" t="s">
        <v>1310</v>
      </c>
      <c r="D36" s="6" t="s">
        <v>2020</v>
      </c>
      <c r="E36" s="6" t="s">
        <v>1484</v>
      </c>
      <c r="G36" s="17"/>
      <c r="H36" s="6">
        <v>2</v>
      </c>
      <c r="I36" s="47" t="s">
        <v>1141</v>
      </c>
      <c r="J36" s="6" t="s">
        <v>2127</v>
      </c>
      <c r="K36" s="6" t="s">
        <v>1265</v>
      </c>
      <c r="M36" s="17"/>
      <c r="N36" s="6">
        <v>2</v>
      </c>
      <c r="O36" s="47" t="s">
        <v>282</v>
      </c>
      <c r="P36" s="6" t="s">
        <v>2259</v>
      </c>
      <c r="Q36" s="6" t="s">
        <v>1266</v>
      </c>
      <c r="S36" s="17"/>
      <c r="T36" s="17">
        <v>2</v>
      </c>
      <c r="U36" s="47" t="s">
        <v>907</v>
      </c>
      <c r="V36" s="6" t="s">
        <v>2481</v>
      </c>
      <c r="W36" s="6" t="s">
        <v>1267</v>
      </c>
    </row>
    <row r="37" spans="1:23" x14ac:dyDescent="0.2">
      <c r="A37" s="17"/>
      <c r="B37" s="6">
        <v>3</v>
      </c>
      <c r="C37" s="50" t="s">
        <v>1312</v>
      </c>
      <c r="D37" s="6" t="s">
        <v>2021</v>
      </c>
      <c r="E37" s="6" t="s">
        <v>1484</v>
      </c>
      <c r="G37" s="17"/>
      <c r="H37" s="6">
        <v>2</v>
      </c>
      <c r="I37" s="47" t="s">
        <v>1141</v>
      </c>
      <c r="J37" s="6" t="s">
        <v>2128</v>
      </c>
      <c r="K37" s="6" t="s">
        <v>1265</v>
      </c>
      <c r="M37" s="17"/>
      <c r="N37" s="6">
        <v>2</v>
      </c>
      <c r="O37" s="47" t="s">
        <v>283</v>
      </c>
      <c r="P37" s="6" t="s">
        <v>2260</v>
      </c>
      <c r="Q37" s="6" t="s">
        <v>1266</v>
      </c>
      <c r="S37" s="17"/>
      <c r="T37" s="17">
        <v>2</v>
      </c>
      <c r="U37" s="47" t="s">
        <v>907</v>
      </c>
      <c r="V37" s="6" t="s">
        <v>2482</v>
      </c>
      <c r="W37" s="6" t="s">
        <v>1267</v>
      </c>
    </row>
    <row r="38" spans="1:23" x14ac:dyDescent="0.2">
      <c r="A38" s="17"/>
      <c r="B38" s="6">
        <v>3</v>
      </c>
      <c r="C38" s="50" t="s">
        <v>1314</v>
      </c>
      <c r="D38" s="6" t="s">
        <v>2022</v>
      </c>
      <c r="E38" s="6" t="s">
        <v>1484</v>
      </c>
      <c r="G38" s="17"/>
      <c r="H38" s="6">
        <v>2</v>
      </c>
      <c r="I38" s="47" t="s">
        <v>1142</v>
      </c>
      <c r="J38" s="6" t="s">
        <v>2129</v>
      </c>
      <c r="K38" s="6" t="s">
        <v>1265</v>
      </c>
      <c r="M38" s="17"/>
      <c r="N38" s="6">
        <v>2</v>
      </c>
      <c r="O38" s="47" t="s">
        <v>283</v>
      </c>
      <c r="P38" s="6" t="s">
        <v>2261</v>
      </c>
      <c r="Q38" s="6" t="s">
        <v>1266</v>
      </c>
      <c r="S38" s="17"/>
      <c r="T38" s="17">
        <v>2</v>
      </c>
      <c r="U38" s="47" t="s">
        <v>909</v>
      </c>
      <c r="V38" s="6" t="s">
        <v>2483</v>
      </c>
      <c r="W38" s="6" t="s">
        <v>1267</v>
      </c>
    </row>
    <row r="39" spans="1:23" s="17" customFormat="1" x14ac:dyDescent="0.2">
      <c r="B39" s="6">
        <v>3</v>
      </c>
      <c r="C39" s="50" t="s">
        <v>1314</v>
      </c>
      <c r="D39" s="6" t="s">
        <v>2023</v>
      </c>
      <c r="E39" s="6" t="s">
        <v>1484</v>
      </c>
      <c r="F39" s="51"/>
      <c r="H39" s="6">
        <v>2</v>
      </c>
      <c r="I39" s="47" t="s">
        <v>1143</v>
      </c>
      <c r="J39" s="6" t="s">
        <v>2130</v>
      </c>
      <c r="K39" s="6" t="s">
        <v>1265</v>
      </c>
      <c r="N39" s="6">
        <v>2</v>
      </c>
      <c r="O39" s="47" t="s">
        <v>284</v>
      </c>
      <c r="P39" s="6" t="s">
        <v>2262</v>
      </c>
      <c r="Q39" s="6" t="s">
        <v>1266</v>
      </c>
      <c r="T39" s="17">
        <v>2</v>
      </c>
      <c r="U39" s="47" t="s">
        <v>911</v>
      </c>
      <c r="V39" s="6" t="s">
        <v>2484</v>
      </c>
      <c r="W39" s="6" t="s">
        <v>1267</v>
      </c>
    </row>
    <row r="40" spans="1:23" x14ac:dyDescent="0.2">
      <c r="A40" s="17" t="s">
        <v>2024</v>
      </c>
      <c r="B40" s="6">
        <v>5</v>
      </c>
      <c r="C40" s="50" t="s">
        <v>1316</v>
      </c>
      <c r="D40" s="6" t="s">
        <v>2025</v>
      </c>
      <c r="E40" s="6" t="s">
        <v>1484</v>
      </c>
      <c r="G40" s="17"/>
      <c r="H40" s="6">
        <v>2</v>
      </c>
      <c r="I40" s="47" t="s">
        <v>1143</v>
      </c>
      <c r="J40" s="6" t="s">
        <v>2131</v>
      </c>
      <c r="K40" s="6" t="s">
        <v>1265</v>
      </c>
      <c r="M40" s="17"/>
      <c r="N40" s="6">
        <v>2</v>
      </c>
      <c r="O40" s="47" t="s">
        <v>284</v>
      </c>
      <c r="P40" s="6" t="s">
        <v>2263</v>
      </c>
      <c r="Q40" s="6" t="s">
        <v>1266</v>
      </c>
      <c r="S40" s="17" t="s">
        <v>2485</v>
      </c>
      <c r="T40" s="17">
        <v>3</v>
      </c>
      <c r="U40" s="47" t="s">
        <v>913</v>
      </c>
      <c r="V40" s="6" t="s">
        <v>2486</v>
      </c>
      <c r="W40" s="6" t="s">
        <v>1267</v>
      </c>
    </row>
    <row r="41" spans="1:23" s="17" customFormat="1" x14ac:dyDescent="0.2">
      <c r="B41" s="6">
        <v>5</v>
      </c>
      <c r="C41" s="50" t="s">
        <v>1316</v>
      </c>
      <c r="D41" s="6" t="s">
        <v>2026</v>
      </c>
      <c r="E41" s="6" t="s">
        <v>1484</v>
      </c>
      <c r="F41" s="51"/>
      <c r="H41" s="6">
        <v>2</v>
      </c>
      <c r="I41" s="47" t="s">
        <v>1143</v>
      </c>
      <c r="J41" s="6" t="s">
        <v>2132</v>
      </c>
      <c r="K41" s="6" t="s">
        <v>1265</v>
      </c>
      <c r="N41" s="6">
        <v>2</v>
      </c>
      <c r="O41" s="47" t="s">
        <v>285</v>
      </c>
      <c r="P41" s="6" t="s">
        <v>2264</v>
      </c>
      <c r="Q41" s="6" t="s">
        <v>1266</v>
      </c>
      <c r="T41" s="58">
        <v>3</v>
      </c>
      <c r="U41" s="57" t="s">
        <v>915</v>
      </c>
      <c r="V41" s="55"/>
      <c r="W41" s="55" t="s">
        <v>1267</v>
      </c>
    </row>
    <row r="42" spans="1:23" x14ac:dyDescent="0.2">
      <c r="A42" s="17"/>
      <c r="B42" s="6">
        <v>5</v>
      </c>
      <c r="C42" s="50" t="s">
        <v>1318</v>
      </c>
      <c r="D42" s="6" t="s">
        <v>2027</v>
      </c>
      <c r="E42" s="6" t="s">
        <v>1484</v>
      </c>
      <c r="G42" s="17" t="s">
        <v>2133</v>
      </c>
      <c r="H42" s="6">
        <v>3</v>
      </c>
      <c r="I42" s="47" t="s">
        <v>1144</v>
      </c>
      <c r="J42" s="6" t="s">
        <v>2134</v>
      </c>
      <c r="K42" s="6" t="s">
        <v>1265</v>
      </c>
      <c r="M42" s="17"/>
      <c r="N42" s="6">
        <v>2</v>
      </c>
      <c r="O42" s="47" t="s">
        <v>285</v>
      </c>
      <c r="P42" s="6" t="s">
        <v>2265</v>
      </c>
      <c r="Q42" s="6" t="s">
        <v>1266</v>
      </c>
      <c r="S42" s="17"/>
      <c r="T42" s="17">
        <v>3</v>
      </c>
      <c r="U42" s="47" t="s">
        <v>2487</v>
      </c>
      <c r="W42" s="6" t="s">
        <v>1267</v>
      </c>
    </row>
    <row r="43" spans="1:23" x14ac:dyDescent="0.2">
      <c r="A43" s="17"/>
      <c r="B43" s="6">
        <v>5</v>
      </c>
      <c r="C43" s="50" t="s">
        <v>262</v>
      </c>
      <c r="E43" s="6" t="s">
        <v>1484</v>
      </c>
      <c r="G43" s="17"/>
      <c r="H43" s="6">
        <v>3</v>
      </c>
      <c r="I43" s="47" t="s">
        <v>1144</v>
      </c>
      <c r="J43" s="6" t="s">
        <v>2135</v>
      </c>
      <c r="K43" s="6" t="s">
        <v>1265</v>
      </c>
      <c r="M43" s="17"/>
      <c r="N43" s="6">
        <v>2</v>
      </c>
      <c r="O43" s="47" t="s">
        <v>286</v>
      </c>
      <c r="P43" s="6" t="s">
        <v>2266</v>
      </c>
      <c r="Q43" s="6" t="s">
        <v>1266</v>
      </c>
      <c r="S43" s="17"/>
      <c r="T43" s="17">
        <v>3</v>
      </c>
      <c r="U43" s="47" t="s">
        <v>919</v>
      </c>
      <c r="V43" s="6" t="s">
        <v>2488</v>
      </c>
      <c r="W43" s="6" t="s">
        <v>1267</v>
      </c>
    </row>
    <row r="44" spans="1:23" x14ac:dyDescent="0.2">
      <c r="A44" s="17"/>
      <c r="B44" s="6">
        <v>5</v>
      </c>
      <c r="C44" s="50" t="s">
        <v>1321</v>
      </c>
      <c r="D44" s="6" t="s">
        <v>2028</v>
      </c>
      <c r="E44" s="6" t="s">
        <v>1484</v>
      </c>
      <c r="G44" s="17"/>
      <c r="H44" s="6">
        <v>3</v>
      </c>
      <c r="I44" s="47" t="s">
        <v>1145</v>
      </c>
      <c r="J44" s="6" t="s">
        <v>2136</v>
      </c>
      <c r="K44" s="6" t="s">
        <v>1265</v>
      </c>
      <c r="M44" s="17"/>
      <c r="N44" s="6">
        <v>2</v>
      </c>
      <c r="O44" s="47" t="s">
        <v>287</v>
      </c>
      <c r="P44" s="6" t="s">
        <v>2267</v>
      </c>
      <c r="Q44" s="6" t="s">
        <v>1266</v>
      </c>
      <c r="S44" s="17"/>
      <c r="T44" s="17">
        <v>3</v>
      </c>
      <c r="U44" s="47" t="s">
        <v>921</v>
      </c>
      <c r="W44" s="6" t="s">
        <v>1267</v>
      </c>
    </row>
    <row r="45" spans="1:23" x14ac:dyDescent="0.2">
      <c r="A45" s="17"/>
      <c r="B45" s="6">
        <v>5</v>
      </c>
      <c r="C45" s="50" t="s">
        <v>1323</v>
      </c>
      <c r="D45" s="6" t="s">
        <v>2029</v>
      </c>
      <c r="E45" s="6" t="s">
        <v>1484</v>
      </c>
      <c r="G45" s="17"/>
      <c r="H45" s="6">
        <v>3</v>
      </c>
      <c r="I45" s="47" t="s">
        <v>1145</v>
      </c>
      <c r="J45" s="6" t="s">
        <v>2137</v>
      </c>
      <c r="K45" s="6" t="s">
        <v>1265</v>
      </c>
      <c r="M45" s="17"/>
      <c r="N45" s="6">
        <v>2</v>
      </c>
      <c r="O45" s="47" t="s">
        <v>288</v>
      </c>
      <c r="P45" s="6" t="s">
        <v>2268</v>
      </c>
      <c r="Q45" s="6" t="s">
        <v>1266</v>
      </c>
      <c r="S45" s="17"/>
      <c r="T45" s="17">
        <v>3</v>
      </c>
      <c r="U45" s="47" t="s">
        <v>923</v>
      </c>
      <c r="V45" s="6" t="s">
        <v>2489</v>
      </c>
      <c r="W45" s="6" t="s">
        <v>1267</v>
      </c>
    </row>
    <row r="46" spans="1:23" s="17" customFormat="1" x14ac:dyDescent="0.2">
      <c r="B46" s="6">
        <v>5</v>
      </c>
      <c r="C46" s="50" t="s">
        <v>1323</v>
      </c>
      <c r="D46" s="6" t="s">
        <v>2030</v>
      </c>
      <c r="E46" s="6" t="s">
        <v>1484</v>
      </c>
      <c r="F46" s="51"/>
      <c r="H46" s="6">
        <v>3</v>
      </c>
      <c r="I46" s="47" t="s">
        <v>1146</v>
      </c>
      <c r="J46" s="6" t="s">
        <v>2138</v>
      </c>
      <c r="K46" s="6" t="s">
        <v>1265</v>
      </c>
      <c r="N46" s="6">
        <v>2</v>
      </c>
      <c r="O46" s="47" t="s">
        <v>289</v>
      </c>
      <c r="P46" s="6" t="s">
        <v>2269</v>
      </c>
      <c r="Q46" s="6" t="s">
        <v>1266</v>
      </c>
      <c r="T46" s="17">
        <v>3</v>
      </c>
      <c r="U46" s="47" t="s">
        <v>925</v>
      </c>
      <c r="V46" s="6"/>
      <c r="W46" s="6" t="s">
        <v>1267</v>
      </c>
    </row>
    <row r="47" spans="1:23" x14ac:dyDescent="0.2">
      <c r="A47" s="17"/>
      <c r="B47" s="6">
        <v>5</v>
      </c>
      <c r="C47" s="50" t="s">
        <v>1325</v>
      </c>
      <c r="D47" s="6" t="s">
        <v>2031</v>
      </c>
      <c r="E47" s="6" t="s">
        <v>1484</v>
      </c>
      <c r="G47" s="17"/>
      <c r="H47" s="6">
        <v>3</v>
      </c>
      <c r="I47" s="47" t="s">
        <v>2139</v>
      </c>
      <c r="K47" s="6" t="s">
        <v>1265</v>
      </c>
      <c r="M47" s="17"/>
      <c r="N47" s="6">
        <v>2</v>
      </c>
      <c r="O47" s="47" t="s">
        <v>289</v>
      </c>
      <c r="P47" s="6" t="s">
        <v>2270</v>
      </c>
      <c r="Q47" s="6" t="s">
        <v>1266</v>
      </c>
      <c r="S47" s="17"/>
      <c r="T47" s="17">
        <v>3</v>
      </c>
      <c r="U47" s="47" t="s">
        <v>927</v>
      </c>
      <c r="V47" s="6" t="s">
        <v>2490</v>
      </c>
      <c r="W47" s="6" t="s">
        <v>1267</v>
      </c>
    </row>
    <row r="48" spans="1:23" x14ac:dyDescent="0.2">
      <c r="A48" s="17"/>
      <c r="B48" s="6">
        <v>5</v>
      </c>
      <c r="C48" s="50" t="s">
        <v>399</v>
      </c>
      <c r="D48" s="6" t="s">
        <v>2032</v>
      </c>
      <c r="E48" s="6" t="s">
        <v>1484</v>
      </c>
      <c r="G48" s="17"/>
      <c r="H48" s="6">
        <v>3</v>
      </c>
      <c r="I48" s="47" t="s">
        <v>2140</v>
      </c>
      <c r="K48" s="6" t="s">
        <v>1265</v>
      </c>
      <c r="M48" s="17"/>
      <c r="N48" s="6">
        <v>2</v>
      </c>
      <c r="O48" s="47" t="s">
        <v>290</v>
      </c>
      <c r="Q48" s="6" t="s">
        <v>1266</v>
      </c>
      <c r="S48" s="17"/>
      <c r="T48" s="17">
        <v>3</v>
      </c>
      <c r="U48" s="47" t="s">
        <v>2491</v>
      </c>
      <c r="W48" s="6" t="s">
        <v>1267</v>
      </c>
    </row>
    <row r="49" spans="1:23" s="17" customFormat="1" x14ac:dyDescent="0.2">
      <c r="B49" s="6">
        <v>5</v>
      </c>
      <c r="C49" s="50" t="s">
        <v>399</v>
      </c>
      <c r="D49" s="6" t="s">
        <v>2033</v>
      </c>
      <c r="E49" s="6" t="s">
        <v>1484</v>
      </c>
      <c r="F49" s="51"/>
      <c r="H49" s="6">
        <v>3</v>
      </c>
      <c r="I49" s="47" t="s">
        <v>1147</v>
      </c>
      <c r="J49" s="6" t="s">
        <v>2141</v>
      </c>
      <c r="K49" s="6" t="s">
        <v>1265</v>
      </c>
      <c r="N49" s="6">
        <v>2</v>
      </c>
      <c r="O49" s="47" t="s">
        <v>291</v>
      </c>
      <c r="P49" s="6" t="s">
        <v>2271</v>
      </c>
      <c r="Q49" s="6" t="s">
        <v>1266</v>
      </c>
      <c r="T49" s="17">
        <v>3</v>
      </c>
      <c r="U49" s="47" t="s">
        <v>931</v>
      </c>
      <c r="V49" s="6" t="s">
        <v>2492</v>
      </c>
      <c r="W49" s="6" t="s">
        <v>1267</v>
      </c>
    </row>
    <row r="50" spans="1:23" x14ac:dyDescent="0.2">
      <c r="A50" s="17"/>
      <c r="B50" s="6">
        <v>5</v>
      </c>
      <c r="C50" s="50" t="s">
        <v>1328</v>
      </c>
      <c r="D50" s="6" t="s">
        <v>2034</v>
      </c>
      <c r="E50" s="6" t="s">
        <v>1484</v>
      </c>
      <c r="G50" s="17"/>
      <c r="H50" s="6">
        <v>3</v>
      </c>
      <c r="I50" s="47" t="s">
        <v>1147</v>
      </c>
      <c r="J50" s="6" t="s">
        <v>2142</v>
      </c>
      <c r="K50" s="6" t="s">
        <v>1265</v>
      </c>
      <c r="M50" s="17"/>
      <c r="N50" s="6">
        <v>2</v>
      </c>
      <c r="O50" s="47" t="s">
        <v>292</v>
      </c>
      <c r="P50" s="6" t="s">
        <v>2272</v>
      </c>
      <c r="Q50" s="6" t="s">
        <v>1266</v>
      </c>
      <c r="S50" s="17"/>
      <c r="T50" s="17">
        <v>3</v>
      </c>
      <c r="U50" s="47" t="s">
        <v>933</v>
      </c>
      <c r="V50" s="6" t="s">
        <v>2493</v>
      </c>
      <c r="W50" s="6" t="s">
        <v>1267</v>
      </c>
    </row>
    <row r="51" spans="1:23" x14ac:dyDescent="0.2">
      <c r="A51" s="17" t="s">
        <v>2035</v>
      </c>
      <c r="B51" s="6">
        <v>8</v>
      </c>
      <c r="C51" s="50" t="s">
        <v>1372</v>
      </c>
      <c r="D51" s="6" t="s">
        <v>2036</v>
      </c>
      <c r="E51" s="6" t="s">
        <v>1484</v>
      </c>
      <c r="G51" s="17"/>
      <c r="H51" s="6">
        <v>3</v>
      </c>
      <c r="I51" s="47" t="s">
        <v>1147</v>
      </c>
      <c r="J51" s="6" t="s">
        <v>2143</v>
      </c>
      <c r="K51" s="6" t="s">
        <v>1265</v>
      </c>
      <c r="M51" s="17"/>
      <c r="N51" s="6">
        <v>2</v>
      </c>
      <c r="O51" s="47" t="s">
        <v>293</v>
      </c>
      <c r="P51" s="6" t="s">
        <v>2273</v>
      </c>
      <c r="Q51" s="6" t="s">
        <v>1266</v>
      </c>
      <c r="S51" s="17"/>
      <c r="T51" s="17">
        <v>3</v>
      </c>
      <c r="U51" s="47" t="s">
        <v>935</v>
      </c>
      <c r="V51" s="6" t="s">
        <v>2494</v>
      </c>
      <c r="W51" s="6" t="s">
        <v>1267</v>
      </c>
    </row>
    <row r="52" spans="1:23" s="17" customFormat="1" x14ac:dyDescent="0.2">
      <c r="B52" s="6">
        <v>8</v>
      </c>
      <c r="C52" s="50" t="s">
        <v>1372</v>
      </c>
      <c r="D52" s="6" t="s">
        <v>2037</v>
      </c>
      <c r="E52" s="6" t="s">
        <v>1484</v>
      </c>
      <c r="F52" s="51"/>
      <c r="H52" s="6">
        <v>3</v>
      </c>
      <c r="I52" s="47" t="s">
        <v>1147</v>
      </c>
      <c r="J52" s="6" t="s">
        <v>2144</v>
      </c>
      <c r="K52" s="6" t="s">
        <v>1265</v>
      </c>
      <c r="N52" s="6">
        <v>2</v>
      </c>
      <c r="O52" s="47" t="s">
        <v>309</v>
      </c>
      <c r="P52" s="6" t="s">
        <v>2274</v>
      </c>
      <c r="Q52" s="6" t="s">
        <v>1266</v>
      </c>
      <c r="T52" s="17">
        <v>3</v>
      </c>
      <c r="U52" s="47" t="s">
        <v>935</v>
      </c>
      <c r="V52" s="6" t="s">
        <v>2495</v>
      </c>
      <c r="W52" s="6" t="s">
        <v>1267</v>
      </c>
    </row>
    <row r="53" spans="1:23" x14ac:dyDescent="0.2">
      <c r="A53" s="17"/>
      <c r="B53" s="6">
        <v>8</v>
      </c>
      <c r="C53" s="50" t="s">
        <v>1376</v>
      </c>
      <c r="D53" s="6" t="s">
        <v>2038</v>
      </c>
      <c r="E53" s="6" t="s">
        <v>1484</v>
      </c>
      <c r="G53" s="17"/>
      <c r="H53" s="6">
        <v>3</v>
      </c>
      <c r="I53" s="47" t="s">
        <v>1148</v>
      </c>
      <c r="J53" s="6" t="s">
        <v>2145</v>
      </c>
      <c r="K53" s="6" t="s">
        <v>1265</v>
      </c>
      <c r="M53" s="17"/>
      <c r="N53" s="6">
        <v>2</v>
      </c>
      <c r="O53" s="47" t="s">
        <v>309</v>
      </c>
      <c r="P53" s="6" t="s">
        <v>2275</v>
      </c>
      <c r="Q53" s="6" t="s">
        <v>1266</v>
      </c>
      <c r="S53" s="17"/>
      <c r="T53" s="17">
        <v>3</v>
      </c>
      <c r="U53" s="47" t="s">
        <v>937</v>
      </c>
      <c r="V53" s="6" t="s">
        <v>2496</v>
      </c>
      <c r="W53" s="6" t="s">
        <v>1267</v>
      </c>
    </row>
    <row r="54" spans="1:23" x14ac:dyDescent="0.2">
      <c r="A54" s="17"/>
      <c r="B54" s="6">
        <v>8</v>
      </c>
      <c r="C54" s="50" t="s">
        <v>1378</v>
      </c>
      <c r="D54" s="6" t="s">
        <v>2039</v>
      </c>
      <c r="E54" s="6" t="s">
        <v>1484</v>
      </c>
      <c r="G54" s="17"/>
      <c r="H54" s="6">
        <v>3</v>
      </c>
      <c r="I54" s="47" t="s">
        <v>1148</v>
      </c>
      <c r="J54" s="6" t="s">
        <v>2146</v>
      </c>
      <c r="K54" s="6" t="s">
        <v>1265</v>
      </c>
      <c r="M54" s="17"/>
      <c r="N54" s="6">
        <v>2</v>
      </c>
      <c r="O54" s="47" t="s">
        <v>310</v>
      </c>
      <c r="P54" s="6" t="s">
        <v>2276</v>
      </c>
      <c r="Q54" s="6" t="s">
        <v>1266</v>
      </c>
      <c r="S54" s="17"/>
      <c r="T54" s="17">
        <v>3</v>
      </c>
      <c r="U54" s="47" t="s">
        <v>939</v>
      </c>
      <c r="V54" s="6" t="s">
        <v>2497</v>
      </c>
      <c r="W54" s="6" t="s">
        <v>1267</v>
      </c>
    </row>
    <row r="55" spans="1:23" x14ac:dyDescent="0.2">
      <c r="A55" s="17" t="s">
        <v>2040</v>
      </c>
      <c r="B55" s="6">
        <v>10</v>
      </c>
      <c r="C55" s="50" t="s">
        <v>1420</v>
      </c>
      <c r="D55" s="6" t="s">
        <v>2041</v>
      </c>
      <c r="E55" s="6" t="s">
        <v>1484</v>
      </c>
      <c r="G55" s="17"/>
      <c r="H55" s="6">
        <v>3</v>
      </c>
      <c r="I55" s="47" t="s">
        <v>2147</v>
      </c>
      <c r="K55" s="6" t="s">
        <v>1265</v>
      </c>
      <c r="M55" s="17"/>
      <c r="N55" s="6">
        <v>2</v>
      </c>
      <c r="O55" s="47" t="s">
        <v>310</v>
      </c>
      <c r="P55" s="6" t="s">
        <v>2277</v>
      </c>
      <c r="Q55" s="6" t="s">
        <v>1266</v>
      </c>
      <c r="S55" s="17"/>
      <c r="T55" s="17">
        <v>3</v>
      </c>
      <c r="U55" s="47" t="s">
        <v>941</v>
      </c>
      <c r="V55" s="6" t="s">
        <v>2498</v>
      </c>
      <c r="W55" s="6" t="s">
        <v>1267</v>
      </c>
    </row>
    <row r="56" spans="1:23" s="17" customFormat="1" x14ac:dyDescent="0.2">
      <c r="B56" s="6">
        <v>10</v>
      </c>
      <c r="C56" s="50" t="s">
        <v>1420</v>
      </c>
      <c r="D56" s="6" t="s">
        <v>2042</v>
      </c>
      <c r="E56" s="6" t="s">
        <v>1484</v>
      </c>
      <c r="F56" s="51"/>
      <c r="H56" s="6">
        <v>3</v>
      </c>
      <c r="I56" s="47" t="s">
        <v>1149</v>
      </c>
      <c r="J56" s="6" t="s">
        <v>2148</v>
      </c>
      <c r="K56" s="6" t="s">
        <v>1265</v>
      </c>
      <c r="N56" s="6">
        <v>2</v>
      </c>
      <c r="O56" s="47" t="s">
        <v>311</v>
      </c>
      <c r="P56" s="6" t="s">
        <v>2278</v>
      </c>
      <c r="Q56" s="6" t="s">
        <v>1266</v>
      </c>
      <c r="T56" s="17">
        <v>3</v>
      </c>
      <c r="U56" s="47" t="s">
        <v>941</v>
      </c>
      <c r="V56" s="6" t="s">
        <v>2499</v>
      </c>
      <c r="W56" s="6" t="s">
        <v>1267</v>
      </c>
    </row>
    <row r="57" spans="1:23" x14ac:dyDescent="0.2">
      <c r="A57" s="17"/>
      <c r="B57" s="6">
        <v>10</v>
      </c>
      <c r="C57" s="50" t="s">
        <v>1422</v>
      </c>
      <c r="D57" s="6" t="s">
        <v>2043</v>
      </c>
      <c r="E57" s="6" t="s">
        <v>1484</v>
      </c>
      <c r="G57" s="17"/>
      <c r="H57" s="6">
        <v>3</v>
      </c>
      <c r="I57" s="47" t="s">
        <v>1150</v>
      </c>
      <c r="J57" s="6" t="s">
        <v>2149</v>
      </c>
      <c r="K57" s="6" t="s">
        <v>1265</v>
      </c>
      <c r="M57" s="17"/>
      <c r="N57" s="6">
        <v>2</v>
      </c>
      <c r="O57" s="47" t="s">
        <v>312</v>
      </c>
      <c r="P57" s="6" t="s">
        <v>2279</v>
      </c>
      <c r="Q57" s="6" t="s">
        <v>1266</v>
      </c>
      <c r="S57" s="17"/>
      <c r="T57" s="17">
        <v>3</v>
      </c>
      <c r="U57" s="47" t="s">
        <v>943</v>
      </c>
      <c r="V57" s="6" t="s">
        <v>2500</v>
      </c>
      <c r="W57" s="6" t="s">
        <v>1267</v>
      </c>
    </row>
    <row r="58" spans="1:23" s="17" customFormat="1" x14ac:dyDescent="0.2">
      <c r="B58" s="6">
        <v>10</v>
      </c>
      <c r="C58" s="50" t="s">
        <v>1422</v>
      </c>
      <c r="D58" s="6" t="s">
        <v>2044</v>
      </c>
      <c r="E58" s="6" t="s">
        <v>1484</v>
      </c>
      <c r="F58" s="51"/>
      <c r="H58" s="6">
        <v>3</v>
      </c>
      <c r="I58" s="47" t="s">
        <v>1150</v>
      </c>
      <c r="J58" s="6" t="s">
        <v>2150</v>
      </c>
      <c r="K58" s="6" t="s">
        <v>1265</v>
      </c>
      <c r="N58" s="6">
        <v>2</v>
      </c>
      <c r="O58" s="47" t="s">
        <v>312</v>
      </c>
      <c r="P58" s="6" t="s">
        <v>2280</v>
      </c>
      <c r="Q58" s="6" t="s">
        <v>1266</v>
      </c>
      <c r="T58" s="17">
        <v>3</v>
      </c>
      <c r="U58" s="47" t="s">
        <v>945</v>
      </c>
      <c r="V58" s="6" t="s">
        <v>2501</v>
      </c>
      <c r="W58" s="6" t="s">
        <v>1267</v>
      </c>
    </row>
    <row r="59" spans="1:23" x14ac:dyDescent="0.2">
      <c r="A59" s="17"/>
      <c r="B59" s="6">
        <v>10</v>
      </c>
      <c r="C59" s="50" t="s">
        <v>1424</v>
      </c>
      <c r="D59" s="6" t="s">
        <v>2045</v>
      </c>
      <c r="E59" s="6" t="s">
        <v>1484</v>
      </c>
      <c r="G59" s="17"/>
      <c r="H59" s="6">
        <v>3</v>
      </c>
      <c r="I59" s="47" t="s">
        <v>2151</v>
      </c>
      <c r="K59" s="6" t="s">
        <v>1265</v>
      </c>
      <c r="M59" s="17"/>
      <c r="N59" s="6">
        <v>2</v>
      </c>
      <c r="O59" s="47" t="s">
        <v>313</v>
      </c>
      <c r="P59" s="6" t="s">
        <v>2281</v>
      </c>
      <c r="Q59" s="6" t="s">
        <v>1266</v>
      </c>
      <c r="S59" s="17"/>
      <c r="T59" s="17">
        <v>3</v>
      </c>
      <c r="U59" s="47" t="s">
        <v>947</v>
      </c>
      <c r="V59" s="6" t="s">
        <v>2502</v>
      </c>
      <c r="W59" s="6" t="s">
        <v>1267</v>
      </c>
    </row>
    <row r="60" spans="1:23" x14ac:dyDescent="0.2">
      <c r="A60" s="17"/>
      <c r="B60" s="6">
        <v>10</v>
      </c>
      <c r="C60" s="50" t="s">
        <v>1426</v>
      </c>
      <c r="D60" s="6" t="s">
        <v>2046</v>
      </c>
      <c r="E60" s="6" t="s">
        <v>1484</v>
      </c>
      <c r="G60" s="17" t="s">
        <v>2152</v>
      </c>
      <c r="H60" s="6">
        <v>4</v>
      </c>
      <c r="I60" s="47" t="s">
        <v>1151</v>
      </c>
      <c r="J60" s="6" t="s">
        <v>2153</v>
      </c>
      <c r="K60" s="6" t="s">
        <v>1265</v>
      </c>
      <c r="M60" s="17"/>
      <c r="N60" s="6">
        <v>2</v>
      </c>
      <c r="O60" s="47" t="s">
        <v>313</v>
      </c>
      <c r="P60" s="6" t="s">
        <v>2282</v>
      </c>
      <c r="Q60" s="6" t="s">
        <v>1266</v>
      </c>
      <c r="S60" s="17"/>
      <c r="T60" s="17">
        <v>3</v>
      </c>
      <c r="U60" s="47" t="s">
        <v>947</v>
      </c>
      <c r="V60" s="6" t="s">
        <v>2503</v>
      </c>
      <c r="W60" s="6" t="s">
        <v>1267</v>
      </c>
    </row>
    <row r="61" spans="1:23" x14ac:dyDescent="0.2">
      <c r="A61" s="17"/>
      <c r="B61" s="6">
        <v>10</v>
      </c>
      <c r="C61" s="50" t="s">
        <v>1428</v>
      </c>
      <c r="D61" s="6" t="s">
        <v>2047</v>
      </c>
      <c r="E61" s="6" t="s">
        <v>1484</v>
      </c>
      <c r="G61" s="17"/>
      <c r="H61" s="6">
        <v>4</v>
      </c>
      <c r="I61" s="47" t="s">
        <v>1151</v>
      </c>
      <c r="J61" s="6" t="s">
        <v>2154</v>
      </c>
      <c r="K61" s="6" t="s">
        <v>1265</v>
      </c>
      <c r="M61" s="17" t="s">
        <v>2</v>
      </c>
      <c r="N61" s="6">
        <v>3</v>
      </c>
      <c r="O61" s="47" t="s">
        <v>1986</v>
      </c>
      <c r="P61" s="6" t="s">
        <v>2283</v>
      </c>
      <c r="Q61" s="6" t="s">
        <v>1266</v>
      </c>
      <c r="S61" s="17"/>
      <c r="T61" s="17">
        <v>3</v>
      </c>
      <c r="U61" s="47" t="s">
        <v>947</v>
      </c>
      <c r="V61" s="6" t="s">
        <v>2504</v>
      </c>
      <c r="W61" s="6" t="s">
        <v>1267</v>
      </c>
    </row>
    <row r="62" spans="1:23" s="17" customFormat="1" x14ac:dyDescent="0.2">
      <c r="B62" s="6">
        <v>10</v>
      </c>
      <c r="C62" s="50" t="s">
        <v>1428</v>
      </c>
      <c r="D62" s="6" t="s">
        <v>2048</v>
      </c>
      <c r="E62" s="6" t="s">
        <v>1484</v>
      </c>
      <c r="F62" s="51"/>
      <c r="H62" s="6">
        <v>4</v>
      </c>
      <c r="I62" s="47" t="s">
        <v>1151</v>
      </c>
      <c r="J62" s="6" t="s">
        <v>2155</v>
      </c>
      <c r="K62" s="6" t="s">
        <v>1265</v>
      </c>
      <c r="N62" s="6">
        <v>3</v>
      </c>
      <c r="O62" s="47" t="s">
        <v>314</v>
      </c>
      <c r="P62" s="6" t="s">
        <v>2284</v>
      </c>
      <c r="Q62" s="6" t="s">
        <v>1266</v>
      </c>
      <c r="T62" s="17">
        <v>3</v>
      </c>
      <c r="U62" s="47" t="s">
        <v>949</v>
      </c>
      <c r="V62" s="6" t="s">
        <v>2505</v>
      </c>
      <c r="W62" s="6" t="s">
        <v>1267</v>
      </c>
    </row>
    <row r="63" spans="1:23" x14ac:dyDescent="0.2">
      <c r="A63" s="17"/>
      <c r="B63" s="6">
        <v>10</v>
      </c>
      <c r="C63" s="50" t="s">
        <v>1430</v>
      </c>
      <c r="D63" s="6" t="s">
        <v>2049</v>
      </c>
      <c r="E63" s="6" t="s">
        <v>1484</v>
      </c>
      <c r="G63" s="17"/>
      <c r="H63" s="6">
        <v>4</v>
      </c>
      <c r="I63" s="47" t="s">
        <v>1151</v>
      </c>
      <c r="J63" s="6" t="s">
        <v>2156</v>
      </c>
      <c r="K63" s="6" t="s">
        <v>1265</v>
      </c>
      <c r="M63" s="17"/>
      <c r="N63" s="6">
        <v>3</v>
      </c>
      <c r="O63" s="47" t="s">
        <v>314</v>
      </c>
      <c r="P63" s="6" t="s">
        <v>2285</v>
      </c>
      <c r="Q63" s="6" t="s">
        <v>1266</v>
      </c>
      <c r="S63" s="17"/>
      <c r="T63" s="17">
        <v>3</v>
      </c>
      <c r="U63" s="47" t="s">
        <v>951</v>
      </c>
      <c r="V63" s="6" t="s">
        <v>2506</v>
      </c>
      <c r="W63" s="6" t="s">
        <v>1267</v>
      </c>
    </row>
    <row r="64" spans="1:23" x14ac:dyDescent="0.2">
      <c r="A64" s="17"/>
      <c r="B64" s="6">
        <v>10</v>
      </c>
      <c r="C64" s="50" t="s">
        <v>1432</v>
      </c>
      <c r="D64" s="6" t="s">
        <v>2050</v>
      </c>
      <c r="E64" s="6" t="s">
        <v>1484</v>
      </c>
      <c r="G64" s="17"/>
      <c r="H64" s="6">
        <v>4</v>
      </c>
      <c r="I64" s="47" t="s">
        <v>1152</v>
      </c>
      <c r="J64" s="6" t="s">
        <v>2157</v>
      </c>
      <c r="K64" s="6" t="s">
        <v>1265</v>
      </c>
      <c r="M64" s="17"/>
      <c r="N64" s="6">
        <v>3</v>
      </c>
      <c r="O64" s="47" t="s">
        <v>315</v>
      </c>
      <c r="P64" s="6" t="s">
        <v>2286</v>
      </c>
      <c r="Q64" s="6" t="s">
        <v>1266</v>
      </c>
      <c r="S64" s="17"/>
      <c r="T64" s="17">
        <v>3</v>
      </c>
      <c r="U64" s="47" t="s">
        <v>953</v>
      </c>
      <c r="V64" s="6" t="s">
        <v>2507</v>
      </c>
      <c r="W64" s="6" t="s">
        <v>1267</v>
      </c>
    </row>
    <row r="65" spans="1:23" x14ac:dyDescent="0.2">
      <c r="A65" s="17"/>
      <c r="B65" s="6">
        <v>10</v>
      </c>
      <c r="C65" s="50" t="s">
        <v>1434</v>
      </c>
      <c r="D65" s="6" t="s">
        <v>2051</v>
      </c>
      <c r="E65" s="6" t="s">
        <v>1484</v>
      </c>
      <c r="G65" s="17"/>
      <c r="H65" s="6">
        <v>4</v>
      </c>
      <c r="I65" s="47" t="s">
        <v>1152</v>
      </c>
      <c r="J65" s="6" t="s">
        <v>2158</v>
      </c>
      <c r="K65" s="6" t="s">
        <v>1265</v>
      </c>
      <c r="M65" s="17"/>
      <c r="N65" s="6">
        <v>3</v>
      </c>
      <c r="O65" s="47" t="s">
        <v>316</v>
      </c>
      <c r="P65" s="6" t="s">
        <v>2287</v>
      </c>
      <c r="Q65" s="6" t="s">
        <v>1266</v>
      </c>
      <c r="S65" s="17"/>
      <c r="T65" s="17">
        <v>3</v>
      </c>
      <c r="U65" s="47" t="s">
        <v>2508</v>
      </c>
      <c r="W65" s="6" t="s">
        <v>1267</v>
      </c>
    </row>
    <row r="66" spans="1:23" s="17" customFormat="1" x14ac:dyDescent="0.2">
      <c r="B66" s="6">
        <v>10</v>
      </c>
      <c r="C66" s="50" t="s">
        <v>1434</v>
      </c>
      <c r="D66" s="6" t="s">
        <v>2052</v>
      </c>
      <c r="E66" s="6" t="s">
        <v>1484</v>
      </c>
      <c r="F66" s="51"/>
      <c r="H66" s="6">
        <v>4</v>
      </c>
      <c r="I66" s="47" t="s">
        <v>267</v>
      </c>
      <c r="J66" s="6" t="s">
        <v>2159</v>
      </c>
      <c r="K66" s="6" t="s">
        <v>1265</v>
      </c>
      <c r="N66" s="6">
        <v>3</v>
      </c>
      <c r="O66" s="47" t="s">
        <v>316</v>
      </c>
      <c r="P66" s="6" t="s">
        <v>2288</v>
      </c>
      <c r="Q66" s="6" t="s">
        <v>1266</v>
      </c>
      <c r="T66" s="17">
        <v>3</v>
      </c>
      <c r="U66" s="47" t="s">
        <v>957</v>
      </c>
      <c r="V66" s="6" t="s">
        <v>2509</v>
      </c>
      <c r="W66" s="6" t="s">
        <v>1267</v>
      </c>
    </row>
    <row r="67" spans="1:23" x14ac:dyDescent="0.2">
      <c r="A67" s="17"/>
      <c r="B67" s="6">
        <v>10</v>
      </c>
      <c r="C67" s="50" t="s">
        <v>1436</v>
      </c>
      <c r="D67" s="6" t="s">
        <v>2053</v>
      </c>
      <c r="E67" s="6" t="s">
        <v>1484</v>
      </c>
      <c r="G67" s="17"/>
      <c r="H67" s="6">
        <v>4</v>
      </c>
      <c r="I67" s="47" t="s">
        <v>267</v>
      </c>
      <c r="J67" s="6" t="s">
        <v>2160</v>
      </c>
      <c r="K67" s="6" t="s">
        <v>1265</v>
      </c>
      <c r="M67" s="17"/>
      <c r="N67" s="6">
        <v>3</v>
      </c>
      <c r="O67" s="47" t="s">
        <v>317</v>
      </c>
      <c r="Q67" s="6" t="s">
        <v>1266</v>
      </c>
      <c r="S67" s="17"/>
      <c r="T67" s="17">
        <v>3</v>
      </c>
      <c r="U67" s="47" t="s">
        <v>957</v>
      </c>
      <c r="V67" s="6" t="s">
        <v>2510</v>
      </c>
      <c r="W67" s="6" t="s">
        <v>1267</v>
      </c>
    </row>
    <row r="68" spans="1:23" x14ac:dyDescent="0.2">
      <c r="A68" s="17"/>
      <c r="B68" s="6">
        <v>10</v>
      </c>
      <c r="C68" s="50" t="s">
        <v>1438</v>
      </c>
      <c r="D68" s="6" t="s">
        <v>2054</v>
      </c>
      <c r="E68" s="6" t="s">
        <v>1484</v>
      </c>
      <c r="G68" s="17"/>
      <c r="H68" s="6">
        <v>4</v>
      </c>
      <c r="I68" s="47" t="s">
        <v>267</v>
      </c>
      <c r="J68" s="6" t="s">
        <v>2161</v>
      </c>
      <c r="K68" s="6" t="s">
        <v>1265</v>
      </c>
      <c r="M68" s="17"/>
      <c r="N68" s="6">
        <v>3</v>
      </c>
      <c r="O68" s="47" t="s">
        <v>318</v>
      </c>
      <c r="P68" s="6" t="s">
        <v>2289</v>
      </c>
      <c r="Q68" s="6" t="s">
        <v>1266</v>
      </c>
      <c r="S68" s="17" t="s">
        <v>2511</v>
      </c>
      <c r="T68" s="17">
        <v>4</v>
      </c>
      <c r="U68" s="47" t="s">
        <v>959</v>
      </c>
      <c r="V68" s="6" t="s">
        <v>2512</v>
      </c>
      <c r="W68" s="6" t="s">
        <v>1267</v>
      </c>
    </row>
    <row r="69" spans="1:23" x14ac:dyDescent="0.2">
      <c r="A69" s="17"/>
      <c r="B69" s="6">
        <v>10</v>
      </c>
      <c r="C69" s="50" t="s">
        <v>1440</v>
      </c>
      <c r="D69" s="6" t="s">
        <v>2055</v>
      </c>
      <c r="E69" s="6" t="s">
        <v>1484</v>
      </c>
      <c r="G69" s="17"/>
      <c r="H69" s="6">
        <v>4</v>
      </c>
      <c r="I69" s="47" t="s">
        <v>267</v>
      </c>
      <c r="J69" s="6" t="s">
        <v>2162</v>
      </c>
      <c r="K69" s="6" t="s">
        <v>1265</v>
      </c>
      <c r="M69" s="17"/>
      <c r="N69" s="6">
        <v>3</v>
      </c>
      <c r="O69" s="47" t="s">
        <v>318</v>
      </c>
      <c r="P69" s="6" t="s">
        <v>2290</v>
      </c>
      <c r="Q69" s="6" t="s">
        <v>1266</v>
      </c>
      <c r="S69" s="17"/>
      <c r="T69" s="17">
        <v>4</v>
      </c>
      <c r="U69" s="47" t="s">
        <v>961</v>
      </c>
      <c r="V69" s="6" t="s">
        <v>2513</v>
      </c>
      <c r="W69" s="6" t="s">
        <v>1267</v>
      </c>
    </row>
    <row r="70" spans="1:23" s="17" customFormat="1" x14ac:dyDescent="0.2">
      <c r="B70" s="6">
        <v>10</v>
      </c>
      <c r="C70" s="50" t="s">
        <v>1440</v>
      </c>
      <c r="D70" s="6" t="s">
        <v>2056</v>
      </c>
      <c r="E70" s="6" t="s">
        <v>1484</v>
      </c>
      <c r="F70" s="51"/>
      <c r="H70" s="6">
        <v>4</v>
      </c>
      <c r="I70" s="47" t="s">
        <v>348</v>
      </c>
      <c r="J70" s="6" t="s">
        <v>2163</v>
      </c>
      <c r="K70" s="6" t="s">
        <v>1265</v>
      </c>
      <c r="N70" s="6">
        <v>3</v>
      </c>
      <c r="O70" s="47" t="s">
        <v>319</v>
      </c>
      <c r="P70" s="6" t="s">
        <v>2291</v>
      </c>
      <c r="Q70" s="6" t="s">
        <v>1266</v>
      </c>
      <c r="T70" s="17">
        <v>4</v>
      </c>
      <c r="U70" s="47" t="s">
        <v>963</v>
      </c>
      <c r="V70" s="6" t="s">
        <v>2514</v>
      </c>
      <c r="W70" s="6" t="s">
        <v>1267</v>
      </c>
    </row>
    <row r="71" spans="1:23" x14ac:dyDescent="0.2">
      <c r="A71" s="17"/>
      <c r="B71" s="6">
        <v>10</v>
      </c>
      <c r="C71" s="50" t="s">
        <v>1442</v>
      </c>
      <c r="D71" s="6" t="s">
        <v>2057</v>
      </c>
      <c r="E71" s="6" t="s">
        <v>1484</v>
      </c>
      <c r="G71" s="17"/>
      <c r="H71" s="6">
        <v>4</v>
      </c>
      <c r="I71" s="47" t="s">
        <v>348</v>
      </c>
      <c r="J71" s="6" t="s">
        <v>2164</v>
      </c>
      <c r="K71" s="6" t="s">
        <v>1265</v>
      </c>
      <c r="M71" s="17"/>
      <c r="N71" s="6">
        <v>3</v>
      </c>
      <c r="O71" s="47" t="s">
        <v>319</v>
      </c>
      <c r="P71" s="6" t="s">
        <v>2292</v>
      </c>
      <c r="Q71" s="6" t="s">
        <v>1266</v>
      </c>
      <c r="S71" s="17"/>
      <c r="T71" s="17">
        <v>4</v>
      </c>
      <c r="U71" s="47" t="s">
        <v>963</v>
      </c>
      <c r="V71" s="6" t="s">
        <v>2515</v>
      </c>
      <c r="W71" s="6" t="s">
        <v>1267</v>
      </c>
    </row>
    <row r="72" spans="1:23" x14ac:dyDescent="0.2">
      <c r="A72" s="17"/>
      <c r="B72" s="6">
        <v>10</v>
      </c>
      <c r="C72" s="50" t="s">
        <v>1444</v>
      </c>
      <c r="D72" s="6" t="s">
        <v>2058</v>
      </c>
      <c r="E72" s="6" t="s">
        <v>1484</v>
      </c>
      <c r="G72" s="17"/>
      <c r="H72" s="6">
        <v>4</v>
      </c>
      <c r="I72" s="47" t="s">
        <v>2165</v>
      </c>
      <c r="K72" s="6" t="s">
        <v>1265</v>
      </c>
      <c r="M72" s="17"/>
      <c r="N72" s="6">
        <v>3</v>
      </c>
      <c r="O72" s="47" t="s">
        <v>320</v>
      </c>
      <c r="Q72" s="6" t="s">
        <v>1266</v>
      </c>
      <c r="S72" s="17"/>
      <c r="T72" s="17">
        <v>4</v>
      </c>
      <c r="U72" s="47" t="s">
        <v>965</v>
      </c>
      <c r="V72" s="6" t="s">
        <v>2516</v>
      </c>
      <c r="W72" s="6" t="s">
        <v>1267</v>
      </c>
    </row>
    <row r="73" spans="1:23" s="17" customFormat="1" x14ac:dyDescent="0.2">
      <c r="B73" s="6">
        <v>10</v>
      </c>
      <c r="C73" s="50" t="s">
        <v>1444</v>
      </c>
      <c r="D73" s="6" t="s">
        <v>2059</v>
      </c>
      <c r="E73" s="6" t="s">
        <v>1484</v>
      </c>
      <c r="F73" s="51"/>
      <c r="G73" s="17" t="s">
        <v>2166</v>
      </c>
      <c r="H73" s="6">
        <v>5</v>
      </c>
      <c r="I73" s="47" t="s">
        <v>1153</v>
      </c>
      <c r="J73" s="6" t="s">
        <v>2167</v>
      </c>
      <c r="K73" s="6" t="s">
        <v>1265</v>
      </c>
      <c r="N73" s="6">
        <v>3</v>
      </c>
      <c r="O73" s="47" t="s">
        <v>321</v>
      </c>
      <c r="P73" s="6" t="s">
        <v>2293</v>
      </c>
      <c r="Q73" s="6" t="s">
        <v>1266</v>
      </c>
      <c r="T73" s="17">
        <v>4</v>
      </c>
      <c r="U73" s="47" t="s">
        <v>965</v>
      </c>
      <c r="V73" s="6" t="s">
        <v>2517</v>
      </c>
      <c r="W73" s="6" t="s">
        <v>1267</v>
      </c>
    </row>
    <row r="74" spans="1:23" x14ac:dyDescent="0.2">
      <c r="A74" s="17"/>
      <c r="B74" s="6">
        <v>10</v>
      </c>
      <c r="C74" s="50" t="s">
        <v>1446</v>
      </c>
      <c r="D74" s="6" t="s">
        <v>2060</v>
      </c>
      <c r="E74" s="6" t="s">
        <v>1484</v>
      </c>
      <c r="G74" s="17"/>
      <c r="H74" s="6">
        <v>5</v>
      </c>
      <c r="I74" s="47" t="s">
        <v>1153</v>
      </c>
      <c r="J74" s="6" t="s">
        <v>2168</v>
      </c>
      <c r="K74" s="6" t="s">
        <v>1265</v>
      </c>
      <c r="M74" s="17"/>
      <c r="N74" s="6">
        <v>3</v>
      </c>
      <c r="O74" s="47" t="s">
        <v>321</v>
      </c>
      <c r="P74" s="6" t="s">
        <v>2294</v>
      </c>
      <c r="Q74" s="6" t="s">
        <v>1266</v>
      </c>
      <c r="S74" s="17"/>
      <c r="T74" s="17">
        <v>4</v>
      </c>
      <c r="U74" s="47" t="s">
        <v>967</v>
      </c>
      <c r="V74" s="6" t="s">
        <v>2518</v>
      </c>
      <c r="W74" s="6" t="s">
        <v>1267</v>
      </c>
    </row>
    <row r="75" spans="1:23" x14ac:dyDescent="0.2">
      <c r="A75" s="17"/>
      <c r="B75" s="6">
        <v>10</v>
      </c>
      <c r="C75" s="50" t="s">
        <v>1448</v>
      </c>
      <c r="D75" s="6" t="s">
        <v>2061</v>
      </c>
      <c r="E75" s="6" t="s">
        <v>1484</v>
      </c>
      <c r="G75" s="17"/>
      <c r="H75" s="6">
        <v>5</v>
      </c>
      <c r="I75" s="47" t="s">
        <v>1154</v>
      </c>
      <c r="J75" s="6" t="s">
        <v>2169</v>
      </c>
      <c r="K75" s="6" t="s">
        <v>1265</v>
      </c>
      <c r="M75" s="17"/>
      <c r="N75" s="6">
        <v>3</v>
      </c>
      <c r="O75" s="47" t="s">
        <v>322</v>
      </c>
      <c r="P75" s="6" t="s">
        <v>2295</v>
      </c>
      <c r="Q75" s="6" t="s">
        <v>1266</v>
      </c>
      <c r="S75" s="17"/>
      <c r="T75" s="17">
        <v>4</v>
      </c>
      <c r="U75" s="47" t="s">
        <v>967</v>
      </c>
      <c r="V75" s="6" t="s">
        <v>2519</v>
      </c>
      <c r="W75" s="6" t="s">
        <v>1267</v>
      </c>
    </row>
    <row r="76" spans="1:23" s="17" customFormat="1" x14ac:dyDescent="0.2">
      <c r="B76" s="6">
        <v>10</v>
      </c>
      <c r="C76" s="50" t="s">
        <v>1448</v>
      </c>
      <c r="D76" s="6" t="s">
        <v>2062</v>
      </c>
      <c r="E76" s="6" t="s">
        <v>1484</v>
      </c>
      <c r="F76" s="51"/>
      <c r="H76" s="6">
        <v>5</v>
      </c>
      <c r="I76" s="47" t="s">
        <v>1154</v>
      </c>
      <c r="J76" s="6" t="s">
        <v>2170</v>
      </c>
      <c r="K76" s="6" t="s">
        <v>1265</v>
      </c>
      <c r="N76" s="6">
        <v>3</v>
      </c>
      <c r="O76" s="47" t="s">
        <v>322</v>
      </c>
      <c r="P76" s="6" t="s">
        <v>2296</v>
      </c>
      <c r="Q76" s="6" t="s">
        <v>1266</v>
      </c>
      <c r="T76" s="17">
        <v>4</v>
      </c>
      <c r="U76" s="47" t="s">
        <v>2520</v>
      </c>
      <c r="V76" s="6"/>
      <c r="W76" s="6" t="s">
        <v>1267</v>
      </c>
    </row>
    <row r="77" spans="1:23" x14ac:dyDescent="0.2">
      <c r="A77" s="17"/>
      <c r="B77" s="6">
        <v>10</v>
      </c>
      <c r="C77" s="50" t="s">
        <v>1450</v>
      </c>
      <c r="D77" s="6" t="s">
        <v>2063</v>
      </c>
      <c r="E77" s="6" t="s">
        <v>1484</v>
      </c>
      <c r="G77" s="17"/>
      <c r="H77" s="6">
        <v>5</v>
      </c>
      <c r="I77" s="47" t="s">
        <v>1155</v>
      </c>
      <c r="J77" s="6" t="s">
        <v>2171</v>
      </c>
      <c r="K77" s="6" t="s">
        <v>1265</v>
      </c>
      <c r="M77" s="17"/>
      <c r="N77" s="6">
        <v>3</v>
      </c>
      <c r="O77" s="47" t="s">
        <v>322</v>
      </c>
      <c r="P77" s="6" t="s">
        <v>2297</v>
      </c>
      <c r="Q77" s="6" t="s">
        <v>1266</v>
      </c>
      <c r="S77" s="17"/>
      <c r="T77" s="17">
        <v>4</v>
      </c>
      <c r="U77" s="47" t="s">
        <v>2521</v>
      </c>
      <c r="W77" s="6" t="s">
        <v>1267</v>
      </c>
    </row>
    <row r="78" spans="1:23" s="17" customFormat="1" x14ac:dyDescent="0.2">
      <c r="B78" s="6">
        <v>10</v>
      </c>
      <c r="C78" s="50" t="s">
        <v>1450</v>
      </c>
      <c r="D78" s="6" t="s">
        <v>2064</v>
      </c>
      <c r="E78" s="6" t="s">
        <v>1484</v>
      </c>
      <c r="F78" s="51"/>
      <c r="H78" s="6">
        <v>5</v>
      </c>
      <c r="I78" s="47" t="s">
        <v>1156</v>
      </c>
      <c r="J78" s="6" t="s">
        <v>2172</v>
      </c>
      <c r="K78" s="6" t="s">
        <v>1265</v>
      </c>
      <c r="N78" s="6">
        <v>3</v>
      </c>
      <c r="O78" s="47" t="s">
        <v>323</v>
      </c>
      <c r="P78" s="6" t="s">
        <v>2298</v>
      </c>
      <c r="Q78" s="6" t="s">
        <v>1266</v>
      </c>
      <c r="T78" s="17">
        <v>4</v>
      </c>
      <c r="U78" s="47" t="s">
        <v>971</v>
      </c>
      <c r="V78" s="6" t="s">
        <v>2522</v>
      </c>
      <c r="W78" s="6" t="s">
        <v>1267</v>
      </c>
    </row>
    <row r="79" spans="1:23" x14ac:dyDescent="0.2">
      <c r="A79" s="17" t="s">
        <v>2065</v>
      </c>
      <c r="B79" s="6">
        <v>11</v>
      </c>
      <c r="C79" s="50" t="s">
        <v>1452</v>
      </c>
      <c r="D79" s="6" t="s">
        <v>2066</v>
      </c>
      <c r="E79" s="6" t="s">
        <v>1484</v>
      </c>
      <c r="G79" s="17"/>
      <c r="H79" s="6">
        <v>5</v>
      </c>
      <c r="I79" s="47" t="s">
        <v>1157</v>
      </c>
      <c r="J79" s="6" t="s">
        <v>2173</v>
      </c>
      <c r="K79" s="6" t="s">
        <v>1265</v>
      </c>
      <c r="M79" s="17"/>
      <c r="N79" s="6">
        <v>3</v>
      </c>
      <c r="O79" s="47" t="s">
        <v>323</v>
      </c>
      <c r="P79" s="6" t="s">
        <v>2299</v>
      </c>
      <c r="Q79" s="6" t="s">
        <v>1266</v>
      </c>
      <c r="S79" s="17"/>
      <c r="T79" s="17">
        <v>4</v>
      </c>
      <c r="U79" s="47" t="s">
        <v>971</v>
      </c>
      <c r="V79" s="6" t="s">
        <v>2523</v>
      </c>
      <c r="W79" s="6" t="s">
        <v>1267</v>
      </c>
    </row>
    <row r="80" spans="1:23" x14ac:dyDescent="0.2">
      <c r="A80" s="17"/>
      <c r="B80" s="6">
        <v>11</v>
      </c>
      <c r="C80" s="50" t="s">
        <v>1454</v>
      </c>
      <c r="D80" s="6" t="s">
        <v>2067</v>
      </c>
      <c r="E80" s="6" t="s">
        <v>1484</v>
      </c>
      <c r="G80" s="17"/>
      <c r="H80" s="6">
        <v>5</v>
      </c>
      <c r="I80" s="47" t="s">
        <v>1157</v>
      </c>
      <c r="J80" s="6" t="s">
        <v>2174</v>
      </c>
      <c r="K80" s="6" t="s">
        <v>1265</v>
      </c>
      <c r="M80" s="17"/>
      <c r="N80" s="6">
        <v>3</v>
      </c>
      <c r="O80" s="47" t="s">
        <v>324</v>
      </c>
      <c r="P80" s="6" t="s">
        <v>2300</v>
      </c>
      <c r="Q80" s="6" t="s">
        <v>1266</v>
      </c>
      <c r="S80" s="17"/>
      <c r="T80" s="17">
        <v>4</v>
      </c>
      <c r="U80" s="47" t="s">
        <v>973</v>
      </c>
      <c r="V80" s="6" t="s">
        <v>2524</v>
      </c>
      <c r="W80" s="6" t="s">
        <v>1267</v>
      </c>
    </row>
    <row r="81" spans="1:23" x14ac:dyDescent="0.2">
      <c r="A81" s="17"/>
      <c r="B81" s="6">
        <v>11</v>
      </c>
      <c r="C81" s="50" t="s">
        <v>1456</v>
      </c>
      <c r="D81" s="6" t="s">
        <v>2068</v>
      </c>
      <c r="E81" s="6" t="s">
        <v>1484</v>
      </c>
      <c r="G81" s="17"/>
      <c r="H81" s="6">
        <v>5</v>
      </c>
      <c r="I81" s="47" t="s">
        <v>1157</v>
      </c>
      <c r="J81" s="6" t="s">
        <v>2175</v>
      </c>
      <c r="K81" s="6" t="s">
        <v>1265</v>
      </c>
      <c r="M81" s="17"/>
      <c r="N81" s="6">
        <v>3</v>
      </c>
      <c r="O81" s="47" t="s">
        <v>324</v>
      </c>
      <c r="P81" s="6" t="s">
        <v>2301</v>
      </c>
      <c r="Q81" s="6" t="s">
        <v>1266</v>
      </c>
      <c r="S81" s="17"/>
      <c r="T81" s="17">
        <v>4</v>
      </c>
      <c r="U81" s="47" t="s">
        <v>973</v>
      </c>
      <c r="V81" s="6" t="s">
        <v>2525</v>
      </c>
      <c r="W81" s="6" t="s">
        <v>1267</v>
      </c>
    </row>
    <row r="82" spans="1:23" x14ac:dyDescent="0.2">
      <c r="A82" s="17"/>
      <c r="B82" s="6">
        <v>11</v>
      </c>
      <c r="C82" s="50" t="s">
        <v>1458</v>
      </c>
      <c r="D82" s="6" t="s">
        <v>2069</v>
      </c>
      <c r="E82" s="6" t="s">
        <v>1484</v>
      </c>
      <c r="G82" s="17"/>
      <c r="H82" s="6">
        <v>5</v>
      </c>
      <c r="I82" s="47" t="s">
        <v>1157</v>
      </c>
      <c r="J82" s="6" t="s">
        <v>2176</v>
      </c>
      <c r="K82" s="6" t="s">
        <v>1265</v>
      </c>
      <c r="M82" s="17"/>
      <c r="N82" s="6">
        <v>3</v>
      </c>
      <c r="O82" s="47" t="s">
        <v>326</v>
      </c>
      <c r="P82" s="6" t="s">
        <v>2302</v>
      </c>
      <c r="Q82" s="6" t="s">
        <v>1266</v>
      </c>
      <c r="S82" s="45"/>
      <c r="T82" s="17">
        <v>4</v>
      </c>
      <c r="U82" s="48" t="s">
        <v>2526</v>
      </c>
      <c r="V82" s="52"/>
      <c r="W82" s="6" t="s">
        <v>1267</v>
      </c>
    </row>
    <row r="83" spans="1:23" x14ac:dyDescent="0.2">
      <c r="A83" s="17"/>
      <c r="B83" s="6">
        <v>11</v>
      </c>
      <c r="C83" s="50" t="s">
        <v>1460</v>
      </c>
      <c r="D83" s="6" t="s">
        <v>2070</v>
      </c>
      <c r="E83" s="6" t="s">
        <v>1484</v>
      </c>
      <c r="G83" s="17"/>
      <c r="H83" s="6">
        <v>5</v>
      </c>
      <c r="I83" s="47" t="s">
        <v>1158</v>
      </c>
      <c r="J83" s="6" t="s">
        <v>2177</v>
      </c>
      <c r="K83" s="6" t="s">
        <v>1265</v>
      </c>
      <c r="M83" s="17"/>
      <c r="N83" s="6">
        <v>3</v>
      </c>
      <c r="O83" s="47" t="s">
        <v>328</v>
      </c>
      <c r="P83" s="6" t="s">
        <v>2303</v>
      </c>
      <c r="Q83" s="6" t="s">
        <v>1266</v>
      </c>
      <c r="S83" s="17"/>
      <c r="T83" s="17">
        <v>4</v>
      </c>
      <c r="U83" s="47" t="s">
        <v>975</v>
      </c>
      <c r="V83" s="6" t="s">
        <v>2527</v>
      </c>
      <c r="W83" s="6" t="s">
        <v>1267</v>
      </c>
    </row>
    <row r="84" spans="1:23" x14ac:dyDescent="0.2">
      <c r="A84" s="17"/>
      <c r="B84" s="6">
        <v>11</v>
      </c>
      <c r="C84" s="50" t="s">
        <v>1462</v>
      </c>
      <c r="D84" s="6" t="s">
        <v>2071</v>
      </c>
      <c r="E84" s="6" t="s">
        <v>1484</v>
      </c>
      <c r="G84" s="17"/>
      <c r="H84" s="6">
        <v>5</v>
      </c>
      <c r="I84" s="47" t="s">
        <v>1159</v>
      </c>
      <c r="J84" s="6" t="s">
        <v>2178</v>
      </c>
      <c r="K84" s="6" t="s">
        <v>1265</v>
      </c>
      <c r="M84" s="17"/>
      <c r="N84" s="6">
        <v>3</v>
      </c>
      <c r="O84" s="47" t="s">
        <v>329</v>
      </c>
      <c r="P84" s="6" t="s">
        <v>2304</v>
      </c>
      <c r="Q84" s="6" t="s">
        <v>1266</v>
      </c>
      <c r="S84" s="17"/>
      <c r="T84" s="17">
        <v>4</v>
      </c>
      <c r="U84" s="47" t="s">
        <v>975</v>
      </c>
      <c r="V84" s="6" t="s">
        <v>2528</v>
      </c>
      <c r="W84" s="6" t="s">
        <v>1267</v>
      </c>
    </row>
    <row r="85" spans="1:23" x14ac:dyDescent="0.2">
      <c r="A85" s="17"/>
      <c r="B85" s="6">
        <v>11</v>
      </c>
      <c r="C85" s="50" t="s">
        <v>1464</v>
      </c>
      <c r="D85" s="6" t="s">
        <v>2072</v>
      </c>
      <c r="E85" s="6" t="s">
        <v>1484</v>
      </c>
      <c r="G85" s="17"/>
      <c r="H85" s="6">
        <v>5</v>
      </c>
      <c r="I85" s="47" t="s">
        <v>2179</v>
      </c>
      <c r="J85" s="6" t="s">
        <v>2180</v>
      </c>
      <c r="K85" s="6" t="s">
        <v>1265</v>
      </c>
      <c r="M85" s="17"/>
      <c r="N85" s="6">
        <v>3</v>
      </c>
      <c r="O85" s="47" t="s">
        <v>330</v>
      </c>
      <c r="P85" s="6" t="s">
        <v>2305</v>
      </c>
      <c r="Q85" s="6" t="s">
        <v>1266</v>
      </c>
      <c r="S85" s="17"/>
      <c r="T85" s="17">
        <v>4</v>
      </c>
      <c r="U85" s="47" t="s">
        <v>977</v>
      </c>
      <c r="V85" s="6" t="s">
        <v>2529</v>
      </c>
      <c r="W85" s="6" t="s">
        <v>1267</v>
      </c>
    </row>
    <row r="86" spans="1:23" x14ac:dyDescent="0.2">
      <c r="A86" s="17" t="s">
        <v>2073</v>
      </c>
      <c r="B86" s="6">
        <v>12</v>
      </c>
      <c r="C86" s="50" t="s">
        <v>1466</v>
      </c>
      <c r="D86" s="6" t="s">
        <v>2074</v>
      </c>
      <c r="E86" s="6" t="s">
        <v>1484</v>
      </c>
      <c r="G86" s="17"/>
      <c r="H86" s="6">
        <v>5</v>
      </c>
      <c r="I86" s="47" t="s">
        <v>2181</v>
      </c>
      <c r="J86" s="6" t="s">
        <v>2182</v>
      </c>
      <c r="K86" s="6" t="s">
        <v>1265</v>
      </c>
      <c r="M86" s="17"/>
      <c r="N86" s="6">
        <v>3</v>
      </c>
      <c r="O86" s="47" t="s">
        <v>331</v>
      </c>
      <c r="P86" s="6" t="s">
        <v>2306</v>
      </c>
      <c r="Q86" s="6" t="s">
        <v>1266</v>
      </c>
      <c r="S86" s="17"/>
      <c r="T86" s="17">
        <v>4</v>
      </c>
      <c r="U86" s="47" t="s">
        <v>977</v>
      </c>
      <c r="V86" s="6" t="s">
        <v>2530</v>
      </c>
      <c r="W86" s="6" t="s">
        <v>1267</v>
      </c>
    </row>
    <row r="87" spans="1:23" x14ac:dyDescent="0.2">
      <c r="A87" s="17"/>
      <c r="B87" s="6">
        <v>12</v>
      </c>
      <c r="C87" s="50" t="s">
        <v>1468</v>
      </c>
      <c r="D87" s="6" t="s">
        <v>2075</v>
      </c>
      <c r="E87" s="6" t="s">
        <v>1484</v>
      </c>
      <c r="G87" s="17" t="s">
        <v>2183</v>
      </c>
      <c r="H87" s="6">
        <v>6</v>
      </c>
      <c r="I87" s="47" t="s">
        <v>1160</v>
      </c>
      <c r="J87" s="6" t="s">
        <v>2184</v>
      </c>
      <c r="K87" s="6" t="s">
        <v>1265</v>
      </c>
      <c r="M87" s="17"/>
      <c r="N87" s="6">
        <v>3</v>
      </c>
      <c r="O87" s="47" t="s">
        <v>2307</v>
      </c>
      <c r="P87" s="6" t="s">
        <v>2308</v>
      </c>
      <c r="Q87" s="6" t="s">
        <v>1266</v>
      </c>
      <c r="S87" s="17"/>
      <c r="T87" s="17">
        <v>4</v>
      </c>
      <c r="U87" s="47" t="s">
        <v>979</v>
      </c>
      <c r="V87" s="6" t="s">
        <v>2531</v>
      </c>
      <c r="W87" s="6" t="s">
        <v>1267</v>
      </c>
    </row>
    <row r="88" spans="1:23" x14ac:dyDescent="0.2">
      <c r="A88" s="17"/>
      <c r="B88" s="6">
        <v>12</v>
      </c>
      <c r="C88" s="50" t="s">
        <v>1470</v>
      </c>
      <c r="D88" s="6" t="s">
        <v>2076</v>
      </c>
      <c r="E88" s="6" t="s">
        <v>1484</v>
      </c>
      <c r="G88" s="17"/>
      <c r="H88" s="6">
        <v>6</v>
      </c>
      <c r="I88" s="47" t="s">
        <v>1161</v>
      </c>
      <c r="J88" s="6" t="s">
        <v>2185</v>
      </c>
      <c r="K88" s="6" t="s">
        <v>1265</v>
      </c>
      <c r="M88" s="17" t="s">
        <v>5</v>
      </c>
      <c r="N88" s="6">
        <v>4</v>
      </c>
      <c r="O88" s="47" t="s">
        <v>332</v>
      </c>
      <c r="P88" s="6" t="s">
        <v>2309</v>
      </c>
      <c r="Q88" s="6" t="s">
        <v>1266</v>
      </c>
      <c r="S88" s="17"/>
      <c r="T88" s="17">
        <v>4</v>
      </c>
      <c r="U88" s="47" t="s">
        <v>979</v>
      </c>
      <c r="V88" s="6" t="s">
        <v>2532</v>
      </c>
      <c r="W88" s="6" t="s">
        <v>1267</v>
      </c>
    </row>
    <row r="89" spans="1:23" s="17" customFormat="1" x14ac:dyDescent="0.2">
      <c r="B89" s="6">
        <v>12</v>
      </c>
      <c r="C89" s="50" t="s">
        <v>1470</v>
      </c>
      <c r="D89" s="6" t="s">
        <v>2077</v>
      </c>
      <c r="E89" s="6" t="s">
        <v>1484</v>
      </c>
      <c r="F89" s="51"/>
      <c r="H89" s="6">
        <v>6</v>
      </c>
      <c r="I89" s="47" t="s">
        <v>1161</v>
      </c>
      <c r="J89" s="6" t="s">
        <v>2186</v>
      </c>
      <c r="K89" s="6" t="s">
        <v>1265</v>
      </c>
      <c r="N89" s="6">
        <v>4</v>
      </c>
      <c r="O89" s="47" t="s">
        <v>333</v>
      </c>
      <c r="P89" s="6" t="s">
        <v>2310</v>
      </c>
      <c r="Q89" s="6" t="s">
        <v>1266</v>
      </c>
      <c r="T89" s="17">
        <v>4</v>
      </c>
      <c r="U89" s="47" t="s">
        <v>981</v>
      </c>
      <c r="V89" s="6" t="s">
        <v>2533</v>
      </c>
      <c r="W89" s="6" t="s">
        <v>1267</v>
      </c>
    </row>
    <row r="90" spans="1:23" x14ac:dyDescent="0.2">
      <c r="A90" s="17"/>
      <c r="B90" s="6">
        <v>12</v>
      </c>
      <c r="C90" s="50" t="s">
        <v>1472</v>
      </c>
      <c r="D90" s="6" t="s">
        <v>2078</v>
      </c>
      <c r="E90" s="6" t="s">
        <v>1484</v>
      </c>
      <c r="G90" s="17"/>
      <c r="H90" s="6">
        <v>6</v>
      </c>
      <c r="I90" s="47" t="s">
        <v>1162</v>
      </c>
      <c r="J90" s="6" t="s">
        <v>2187</v>
      </c>
      <c r="K90" s="6" t="s">
        <v>1265</v>
      </c>
      <c r="M90" s="17"/>
      <c r="N90" s="6">
        <v>4</v>
      </c>
      <c r="O90" s="47" t="s">
        <v>334</v>
      </c>
      <c r="P90" s="6" t="s">
        <v>2311</v>
      </c>
      <c r="Q90" s="6" t="s">
        <v>1266</v>
      </c>
      <c r="S90" s="17"/>
      <c r="T90" s="17">
        <v>4</v>
      </c>
      <c r="U90" s="47" t="s">
        <v>981</v>
      </c>
      <c r="V90" s="6" t="s">
        <v>2534</v>
      </c>
      <c r="W90" s="6" t="s">
        <v>1267</v>
      </c>
    </row>
    <row r="91" spans="1:23" x14ac:dyDescent="0.2">
      <c r="A91" s="17"/>
      <c r="B91" s="6">
        <v>12</v>
      </c>
      <c r="C91" s="50" t="s">
        <v>1474</v>
      </c>
      <c r="D91" s="6" t="s">
        <v>2079</v>
      </c>
      <c r="E91" s="6" t="s">
        <v>1484</v>
      </c>
      <c r="G91" s="17"/>
      <c r="H91" s="6">
        <v>6</v>
      </c>
      <c r="I91" s="47" t="s">
        <v>1163</v>
      </c>
      <c r="J91" s="6" t="s">
        <v>2188</v>
      </c>
      <c r="K91" s="6" t="s">
        <v>1265</v>
      </c>
      <c r="M91" s="17"/>
      <c r="N91" s="6">
        <v>4</v>
      </c>
      <c r="O91" s="47" t="s">
        <v>335</v>
      </c>
      <c r="P91" s="6" t="s">
        <v>2312</v>
      </c>
      <c r="Q91" s="6" t="s">
        <v>1266</v>
      </c>
      <c r="S91" s="17"/>
      <c r="T91" s="17">
        <v>4</v>
      </c>
      <c r="U91" s="47" t="s">
        <v>983</v>
      </c>
      <c r="V91" s="6" t="s">
        <v>2535</v>
      </c>
      <c r="W91" s="6" t="s">
        <v>1267</v>
      </c>
    </row>
    <row r="92" spans="1:23" s="17" customFormat="1" x14ac:dyDescent="0.2">
      <c r="B92" s="6">
        <v>12</v>
      </c>
      <c r="C92" s="50" t="s">
        <v>1474</v>
      </c>
      <c r="D92" s="6" t="s">
        <v>2080</v>
      </c>
      <c r="E92" s="6" t="s">
        <v>1484</v>
      </c>
      <c r="F92" s="51"/>
      <c r="H92" s="6">
        <v>6</v>
      </c>
      <c r="I92" s="47" t="s">
        <v>1163</v>
      </c>
      <c r="J92" s="6" t="s">
        <v>2189</v>
      </c>
      <c r="K92" s="6" t="s">
        <v>1265</v>
      </c>
      <c r="N92" s="6">
        <v>4</v>
      </c>
      <c r="O92" s="47" t="s">
        <v>335</v>
      </c>
      <c r="P92" s="6" t="s">
        <v>2313</v>
      </c>
      <c r="Q92" s="6" t="s">
        <v>1266</v>
      </c>
      <c r="T92" s="17">
        <v>4</v>
      </c>
      <c r="U92" s="47" t="s">
        <v>2536</v>
      </c>
      <c r="V92" s="6" t="s">
        <v>2537</v>
      </c>
      <c r="W92" s="6" t="s">
        <v>1267</v>
      </c>
    </row>
    <row r="93" spans="1:23" x14ac:dyDescent="0.2">
      <c r="A93" s="17"/>
      <c r="B93" s="6">
        <v>12</v>
      </c>
      <c r="C93" s="50" t="s">
        <v>1476</v>
      </c>
      <c r="D93" s="6" t="s">
        <v>2081</v>
      </c>
      <c r="E93" s="6" t="s">
        <v>1484</v>
      </c>
      <c r="G93" s="17"/>
      <c r="H93" s="6">
        <v>6</v>
      </c>
      <c r="I93" s="47" t="s">
        <v>1164</v>
      </c>
      <c r="J93" s="6" t="s">
        <v>2190</v>
      </c>
      <c r="K93" s="6" t="s">
        <v>1265</v>
      </c>
      <c r="M93" s="17"/>
      <c r="N93" s="6">
        <v>4</v>
      </c>
      <c r="O93" s="47" t="s">
        <v>336</v>
      </c>
      <c r="P93" s="6" t="s">
        <v>2314</v>
      </c>
      <c r="Q93" s="6" t="s">
        <v>1266</v>
      </c>
      <c r="S93" s="17"/>
      <c r="T93" s="17">
        <v>4</v>
      </c>
      <c r="U93" s="47" t="s">
        <v>2536</v>
      </c>
      <c r="V93" s="6" t="s">
        <v>2538</v>
      </c>
      <c r="W93" s="6" t="s">
        <v>1267</v>
      </c>
    </row>
    <row r="94" spans="1:23" x14ac:dyDescent="0.2">
      <c r="A94" s="17"/>
      <c r="B94" s="6">
        <v>12</v>
      </c>
      <c r="C94" s="50" t="s">
        <v>1979</v>
      </c>
      <c r="D94" s="6" t="s">
        <v>2082</v>
      </c>
      <c r="E94" s="6" t="s">
        <v>1484</v>
      </c>
      <c r="G94" s="17"/>
      <c r="H94" s="6">
        <v>6</v>
      </c>
      <c r="I94" s="47" t="s">
        <v>1165</v>
      </c>
      <c r="J94" s="6" t="s">
        <v>2191</v>
      </c>
      <c r="K94" s="6" t="s">
        <v>1265</v>
      </c>
      <c r="M94" s="17"/>
      <c r="N94" s="6">
        <v>4</v>
      </c>
      <c r="O94" s="47" t="s">
        <v>337</v>
      </c>
      <c r="P94" s="6" t="s">
        <v>2315</v>
      </c>
      <c r="Q94" s="6" t="s">
        <v>1266</v>
      </c>
      <c r="S94" s="17"/>
      <c r="T94" s="17">
        <v>4</v>
      </c>
      <c r="U94" s="47" t="s">
        <v>987</v>
      </c>
      <c r="V94" s="6" t="s">
        <v>2539</v>
      </c>
      <c r="W94" s="6" t="s">
        <v>1267</v>
      </c>
    </row>
    <row r="95" spans="1:23" x14ac:dyDescent="0.2">
      <c r="A95" s="17"/>
      <c r="B95" s="6">
        <v>12</v>
      </c>
      <c r="C95" s="50" t="s">
        <v>1478</v>
      </c>
      <c r="D95" s="6" t="s">
        <v>2083</v>
      </c>
      <c r="E95" s="6" t="s">
        <v>1484</v>
      </c>
      <c r="G95" s="17"/>
      <c r="H95" s="6">
        <v>6</v>
      </c>
      <c r="I95" s="47" t="s">
        <v>1165</v>
      </c>
      <c r="J95" s="6" t="s">
        <v>2192</v>
      </c>
      <c r="K95" s="6" t="s">
        <v>1265</v>
      </c>
      <c r="M95" s="17"/>
      <c r="N95" s="6">
        <v>4</v>
      </c>
      <c r="O95" s="47" t="s">
        <v>337</v>
      </c>
      <c r="P95" s="6" t="s">
        <v>2316</v>
      </c>
      <c r="Q95" s="6" t="s">
        <v>1266</v>
      </c>
      <c r="S95" s="17"/>
      <c r="T95" s="17">
        <v>4</v>
      </c>
      <c r="U95" s="47" t="s">
        <v>987</v>
      </c>
      <c r="V95" s="6" t="s">
        <v>2540</v>
      </c>
      <c r="W95" s="6" t="s">
        <v>1267</v>
      </c>
    </row>
    <row r="96" spans="1:23" x14ac:dyDescent="0.2">
      <c r="A96" s="17"/>
      <c r="B96" s="6">
        <v>12</v>
      </c>
      <c r="C96" s="50" t="s">
        <v>1480</v>
      </c>
      <c r="D96" s="6" t="s">
        <v>2084</v>
      </c>
      <c r="E96" s="6" t="s">
        <v>1484</v>
      </c>
      <c r="G96" s="17"/>
      <c r="H96" s="6">
        <v>6</v>
      </c>
      <c r="I96" s="47" t="s">
        <v>1165</v>
      </c>
      <c r="J96" s="6" t="s">
        <v>2193</v>
      </c>
      <c r="K96" s="6" t="s">
        <v>1265</v>
      </c>
      <c r="M96" s="17"/>
      <c r="N96" s="6">
        <v>4</v>
      </c>
      <c r="O96" s="47" t="s">
        <v>338</v>
      </c>
      <c r="P96" s="6" t="s">
        <v>2317</v>
      </c>
      <c r="Q96" s="6" t="s">
        <v>1266</v>
      </c>
      <c r="S96" s="17"/>
      <c r="T96" s="17">
        <v>4</v>
      </c>
      <c r="U96" s="47" t="s">
        <v>2541</v>
      </c>
      <c r="V96" s="6" t="s">
        <v>2542</v>
      </c>
      <c r="W96" s="6" t="s">
        <v>1267</v>
      </c>
    </row>
    <row r="97" spans="1:23" s="17" customFormat="1" x14ac:dyDescent="0.2">
      <c r="B97" s="6">
        <v>12</v>
      </c>
      <c r="C97" s="50" t="s">
        <v>1480</v>
      </c>
      <c r="D97" s="6" t="s">
        <v>2085</v>
      </c>
      <c r="E97" s="6" t="s">
        <v>1484</v>
      </c>
      <c r="F97" s="51"/>
      <c r="H97" s="6">
        <v>6</v>
      </c>
      <c r="I97" s="47" t="s">
        <v>1166</v>
      </c>
      <c r="J97" s="6" t="s">
        <v>2194</v>
      </c>
      <c r="K97" s="6" t="s">
        <v>1265</v>
      </c>
      <c r="M97" s="17" t="s">
        <v>6</v>
      </c>
      <c r="N97" s="6">
        <v>5</v>
      </c>
      <c r="O97" s="47" t="s">
        <v>339</v>
      </c>
      <c r="P97" s="6" t="s">
        <v>2318</v>
      </c>
      <c r="Q97" s="6" t="s">
        <v>1266</v>
      </c>
      <c r="T97" s="17">
        <v>4</v>
      </c>
      <c r="U97" s="47" t="s">
        <v>989</v>
      </c>
      <c r="V97" s="6" t="s">
        <v>2543</v>
      </c>
      <c r="W97" s="6" t="s">
        <v>1267</v>
      </c>
    </row>
    <row r="98" spans="1:23" x14ac:dyDescent="0.2">
      <c r="A98" s="17"/>
      <c r="B98" s="6">
        <v>12</v>
      </c>
      <c r="C98" s="50" t="s">
        <v>1482</v>
      </c>
      <c r="D98" s="6" t="s">
        <v>2086</v>
      </c>
      <c r="E98" s="6" t="s">
        <v>1484</v>
      </c>
      <c r="G98" s="17"/>
      <c r="H98" s="6">
        <v>6</v>
      </c>
      <c r="I98" s="47" t="s">
        <v>1166</v>
      </c>
      <c r="J98" s="6" t="s">
        <v>2195</v>
      </c>
      <c r="K98" s="6" t="s">
        <v>1265</v>
      </c>
      <c r="M98" s="17"/>
      <c r="N98" s="6">
        <v>5</v>
      </c>
      <c r="O98" s="47" t="s">
        <v>340</v>
      </c>
      <c r="Q98" s="6" t="s">
        <v>1266</v>
      </c>
      <c r="S98" s="17"/>
      <c r="T98" s="17">
        <v>4</v>
      </c>
      <c r="U98" s="47" t="s">
        <v>989</v>
      </c>
      <c r="V98" s="6" t="s">
        <v>2544</v>
      </c>
      <c r="W98" s="6" t="s">
        <v>1267</v>
      </c>
    </row>
    <row r="99" spans="1:23" x14ac:dyDescent="0.2">
      <c r="B99" s="6">
        <v>12</v>
      </c>
      <c r="C99" s="50" t="s">
        <v>1482</v>
      </c>
      <c r="D99" s="6" t="s">
        <v>2087</v>
      </c>
      <c r="E99" s="6" t="s">
        <v>1484</v>
      </c>
      <c r="G99" s="17"/>
      <c r="H99" s="6">
        <v>6</v>
      </c>
      <c r="I99" s="47" t="s">
        <v>1166</v>
      </c>
      <c r="J99" s="6" t="s">
        <v>2196</v>
      </c>
      <c r="K99" s="6" t="s">
        <v>1265</v>
      </c>
      <c r="M99" s="17"/>
      <c r="N99" s="6">
        <v>5</v>
      </c>
      <c r="O99" s="47" t="s">
        <v>341</v>
      </c>
      <c r="P99" s="6" t="s">
        <v>2319</v>
      </c>
      <c r="Q99" s="6" t="s">
        <v>1266</v>
      </c>
      <c r="S99" s="17"/>
      <c r="T99" s="17">
        <v>4</v>
      </c>
      <c r="U99" s="47" t="s">
        <v>2545</v>
      </c>
      <c r="W99" s="6" t="s">
        <v>1267</v>
      </c>
    </row>
    <row r="100" spans="1:23" x14ac:dyDescent="0.2">
      <c r="G100" s="17"/>
      <c r="H100" s="6">
        <v>6</v>
      </c>
      <c r="I100" s="47" t="s">
        <v>1167</v>
      </c>
      <c r="J100" s="6" t="s">
        <v>2197</v>
      </c>
      <c r="K100" s="6" t="s">
        <v>1265</v>
      </c>
      <c r="M100" s="17"/>
      <c r="N100" s="6">
        <v>5</v>
      </c>
      <c r="O100" s="47" t="s">
        <v>342</v>
      </c>
      <c r="P100" s="6" t="s">
        <v>2320</v>
      </c>
      <c r="Q100" s="6" t="s">
        <v>1266</v>
      </c>
      <c r="S100" s="17"/>
      <c r="T100" s="17">
        <v>4</v>
      </c>
      <c r="U100" s="47" t="s">
        <v>993</v>
      </c>
      <c r="V100" s="6" t="s">
        <v>2546</v>
      </c>
      <c r="W100" s="6" t="s">
        <v>1267</v>
      </c>
    </row>
    <row r="101" spans="1:23" x14ac:dyDescent="0.2">
      <c r="G101" s="17"/>
      <c r="H101" s="6">
        <v>6</v>
      </c>
      <c r="I101" s="47" t="s">
        <v>1167</v>
      </c>
      <c r="J101" s="6" t="s">
        <v>2198</v>
      </c>
      <c r="K101" s="6" t="s">
        <v>1265</v>
      </c>
      <c r="M101" s="17"/>
      <c r="N101" s="6">
        <v>5</v>
      </c>
      <c r="O101" s="47" t="s">
        <v>343</v>
      </c>
      <c r="P101" s="6" t="s">
        <v>2321</v>
      </c>
      <c r="Q101" s="6" t="s">
        <v>1266</v>
      </c>
      <c r="S101" s="17"/>
      <c r="T101" s="17">
        <v>4</v>
      </c>
      <c r="U101" s="47" t="s">
        <v>995</v>
      </c>
      <c r="V101" s="6" t="s">
        <v>2547</v>
      </c>
      <c r="W101" s="6" t="s">
        <v>1267</v>
      </c>
    </row>
    <row r="102" spans="1:23" x14ac:dyDescent="0.2">
      <c r="G102" s="17"/>
      <c r="H102" s="6">
        <v>6</v>
      </c>
      <c r="I102" s="47" t="s">
        <v>1167</v>
      </c>
      <c r="J102" s="6" t="s">
        <v>2199</v>
      </c>
      <c r="K102" s="6" t="s">
        <v>1265</v>
      </c>
      <c r="M102" s="17"/>
      <c r="N102" s="6">
        <v>5</v>
      </c>
      <c r="O102" s="47" t="s">
        <v>344</v>
      </c>
      <c r="P102" s="6" t="s">
        <v>2322</v>
      </c>
      <c r="Q102" s="6" t="s">
        <v>1266</v>
      </c>
      <c r="S102" s="17"/>
      <c r="T102" s="17">
        <v>4</v>
      </c>
      <c r="U102" s="47" t="s">
        <v>997</v>
      </c>
      <c r="V102" s="6" t="s">
        <v>2548</v>
      </c>
      <c r="W102" s="6" t="s">
        <v>1267</v>
      </c>
    </row>
    <row r="103" spans="1:23" x14ac:dyDescent="0.2">
      <c r="G103" s="17"/>
      <c r="H103" s="6">
        <v>6</v>
      </c>
      <c r="I103" s="47" t="s">
        <v>1167</v>
      </c>
      <c r="J103" s="6" t="s">
        <v>2200</v>
      </c>
      <c r="K103" s="6" t="s">
        <v>1265</v>
      </c>
      <c r="M103" s="17"/>
      <c r="N103" s="6">
        <v>5</v>
      </c>
      <c r="O103" s="47" t="s">
        <v>345</v>
      </c>
      <c r="P103" s="6" t="s">
        <v>2323</v>
      </c>
      <c r="Q103" s="6" t="s">
        <v>1266</v>
      </c>
      <c r="S103" s="17"/>
      <c r="T103" s="17">
        <v>4</v>
      </c>
      <c r="U103" s="47" t="s">
        <v>999</v>
      </c>
      <c r="V103" s="6" t="s">
        <v>2549</v>
      </c>
      <c r="W103" s="6" t="s">
        <v>1267</v>
      </c>
    </row>
    <row r="104" spans="1:23" x14ac:dyDescent="0.2">
      <c r="G104" s="17"/>
      <c r="H104" s="6">
        <v>6</v>
      </c>
      <c r="I104" s="47" t="s">
        <v>1169</v>
      </c>
      <c r="J104" s="6" t="s">
        <v>2201</v>
      </c>
      <c r="K104" s="6" t="s">
        <v>1265</v>
      </c>
      <c r="M104" s="17"/>
      <c r="N104" s="6">
        <v>5</v>
      </c>
      <c r="O104" s="47" t="s">
        <v>346</v>
      </c>
      <c r="P104" s="6" t="s">
        <v>2324</v>
      </c>
      <c r="Q104" s="6" t="s">
        <v>1266</v>
      </c>
      <c r="S104" s="17"/>
      <c r="T104" s="17">
        <v>4</v>
      </c>
      <c r="U104" s="47" t="s">
        <v>2550</v>
      </c>
      <c r="W104" s="6" t="s">
        <v>1267</v>
      </c>
    </row>
    <row r="105" spans="1:23" x14ac:dyDescent="0.2">
      <c r="G105" s="17"/>
      <c r="H105" s="6">
        <v>6</v>
      </c>
      <c r="I105" s="47" t="s">
        <v>1170</v>
      </c>
      <c r="J105" s="6" t="s">
        <v>2202</v>
      </c>
      <c r="K105" s="6" t="s">
        <v>1265</v>
      </c>
      <c r="M105" s="17"/>
      <c r="N105" s="6">
        <v>5</v>
      </c>
      <c r="O105" s="47" t="s">
        <v>347</v>
      </c>
      <c r="P105" s="6" t="s">
        <v>2325</v>
      </c>
      <c r="Q105" s="6" t="s">
        <v>1266</v>
      </c>
      <c r="S105" s="17"/>
      <c r="T105" s="17">
        <v>4</v>
      </c>
      <c r="U105" s="47" t="s">
        <v>1001</v>
      </c>
      <c r="V105" s="6" t="s">
        <v>2551</v>
      </c>
      <c r="W105" s="6" t="s">
        <v>1267</v>
      </c>
    </row>
    <row r="106" spans="1:23" x14ac:dyDescent="0.2">
      <c r="G106" s="17"/>
      <c r="H106" s="6">
        <v>6</v>
      </c>
      <c r="I106" s="47" t="s">
        <v>1171</v>
      </c>
      <c r="J106" s="6" t="s">
        <v>2203</v>
      </c>
      <c r="K106" s="6" t="s">
        <v>1265</v>
      </c>
      <c r="M106" s="17"/>
      <c r="N106" s="6">
        <v>5</v>
      </c>
      <c r="O106" s="47" t="s">
        <v>348</v>
      </c>
      <c r="P106" s="6" t="s">
        <v>2326</v>
      </c>
      <c r="Q106" s="6" t="s">
        <v>1266</v>
      </c>
      <c r="S106" s="17"/>
      <c r="T106" s="17">
        <v>4</v>
      </c>
      <c r="U106" s="47" t="s">
        <v>1001</v>
      </c>
      <c r="V106" s="6" t="s">
        <v>2552</v>
      </c>
      <c r="W106" s="6" t="s">
        <v>1267</v>
      </c>
    </row>
    <row r="107" spans="1:23" x14ac:dyDescent="0.2">
      <c r="G107" s="17" t="s">
        <v>2204</v>
      </c>
      <c r="H107" s="6">
        <v>7</v>
      </c>
      <c r="I107" s="47" t="s">
        <v>1172</v>
      </c>
      <c r="J107" s="6" t="s">
        <v>2205</v>
      </c>
      <c r="K107" s="6" t="s">
        <v>1265</v>
      </c>
      <c r="M107" s="17"/>
      <c r="N107" s="6">
        <v>5</v>
      </c>
      <c r="O107" s="47" t="s">
        <v>2327</v>
      </c>
      <c r="Q107" s="6" t="s">
        <v>1266</v>
      </c>
      <c r="S107" s="17" t="s">
        <v>2553</v>
      </c>
      <c r="T107" s="17">
        <v>5</v>
      </c>
      <c r="U107" s="47" t="s">
        <v>1003</v>
      </c>
      <c r="W107" s="6" t="s">
        <v>1267</v>
      </c>
    </row>
    <row r="108" spans="1:23" x14ac:dyDescent="0.2">
      <c r="G108" s="17"/>
      <c r="H108" s="6">
        <v>7</v>
      </c>
      <c r="I108" s="47" t="s">
        <v>1173</v>
      </c>
      <c r="J108" s="6" t="s">
        <v>2206</v>
      </c>
      <c r="K108" s="6" t="s">
        <v>1265</v>
      </c>
      <c r="M108" s="17"/>
      <c r="N108" s="6">
        <v>5</v>
      </c>
      <c r="O108" s="47" t="s">
        <v>2328</v>
      </c>
      <c r="P108" s="6" t="s">
        <v>2329</v>
      </c>
      <c r="Q108" s="6" t="s">
        <v>1266</v>
      </c>
      <c r="S108" s="17"/>
      <c r="T108" s="17">
        <v>5</v>
      </c>
      <c r="U108" s="47" t="s">
        <v>1005</v>
      </c>
      <c r="V108" s="6" t="s">
        <v>2554</v>
      </c>
      <c r="W108" s="6" t="s">
        <v>1267</v>
      </c>
    </row>
    <row r="109" spans="1:23" x14ac:dyDescent="0.2">
      <c r="G109" s="17"/>
      <c r="H109" s="6">
        <v>7</v>
      </c>
      <c r="I109" s="47" t="s">
        <v>1173</v>
      </c>
      <c r="J109" s="6" t="s">
        <v>2207</v>
      </c>
      <c r="K109" s="6" t="s">
        <v>1265</v>
      </c>
      <c r="M109" s="17"/>
      <c r="N109" s="6">
        <v>5</v>
      </c>
      <c r="O109" s="47" t="s">
        <v>352</v>
      </c>
      <c r="P109" s="6" t="s">
        <v>2330</v>
      </c>
      <c r="Q109" s="6" t="s">
        <v>1266</v>
      </c>
      <c r="S109" s="17"/>
      <c r="T109" s="17">
        <v>5</v>
      </c>
      <c r="U109" s="47" t="s">
        <v>1005</v>
      </c>
      <c r="V109" s="6" t="s">
        <v>2555</v>
      </c>
      <c r="W109" s="6" t="s">
        <v>1267</v>
      </c>
    </row>
    <row r="110" spans="1:23" x14ac:dyDescent="0.2">
      <c r="G110" s="17"/>
      <c r="H110" s="6">
        <v>7</v>
      </c>
      <c r="I110" s="47" t="s">
        <v>1174</v>
      </c>
      <c r="J110" s="6" t="s">
        <v>2208</v>
      </c>
      <c r="K110" s="6" t="s">
        <v>1265</v>
      </c>
      <c r="M110" s="17"/>
      <c r="N110" s="6">
        <v>5</v>
      </c>
      <c r="O110" s="47" t="s">
        <v>353</v>
      </c>
      <c r="P110" s="6" t="s">
        <v>2331</v>
      </c>
      <c r="Q110" s="6" t="s">
        <v>1266</v>
      </c>
      <c r="S110" s="17"/>
      <c r="T110" s="17">
        <v>5</v>
      </c>
      <c r="U110" s="47" t="s">
        <v>2556</v>
      </c>
      <c r="W110" s="6" t="s">
        <v>1267</v>
      </c>
    </row>
    <row r="111" spans="1:23" x14ac:dyDescent="0.2">
      <c r="G111" s="17"/>
      <c r="H111" s="6">
        <v>7</v>
      </c>
      <c r="I111" s="47" t="s">
        <v>1175</v>
      </c>
      <c r="K111" s="6" t="s">
        <v>1265</v>
      </c>
      <c r="M111" s="17"/>
      <c r="N111" s="6">
        <v>5</v>
      </c>
      <c r="O111" s="47" t="s">
        <v>354</v>
      </c>
      <c r="P111" s="6" t="s">
        <v>2332</v>
      </c>
      <c r="Q111" s="6" t="s">
        <v>1266</v>
      </c>
      <c r="S111" s="17"/>
      <c r="T111" s="17">
        <v>5</v>
      </c>
      <c r="U111" s="47" t="s">
        <v>1007</v>
      </c>
      <c r="V111" s="6" t="s">
        <v>2557</v>
      </c>
      <c r="W111" s="6" t="s">
        <v>1267</v>
      </c>
    </row>
    <row r="112" spans="1:23" x14ac:dyDescent="0.2">
      <c r="G112" s="17"/>
      <c r="H112" s="6">
        <v>7</v>
      </c>
      <c r="I112" s="47" t="s">
        <v>2209</v>
      </c>
      <c r="J112" s="6" t="s">
        <v>2210</v>
      </c>
      <c r="K112" s="6" t="s">
        <v>1265</v>
      </c>
      <c r="M112" s="17"/>
      <c r="N112" s="6">
        <v>5</v>
      </c>
      <c r="O112" s="47" t="s">
        <v>354</v>
      </c>
      <c r="P112" s="6" t="s">
        <v>2333</v>
      </c>
      <c r="Q112" s="6" t="s">
        <v>1266</v>
      </c>
      <c r="S112" s="17"/>
      <c r="T112" s="17">
        <v>5</v>
      </c>
      <c r="U112" s="47" t="s">
        <v>2558</v>
      </c>
      <c r="W112" s="6" t="s">
        <v>1267</v>
      </c>
    </row>
    <row r="113" spans="7:23" x14ac:dyDescent="0.2">
      <c r="G113" s="17"/>
      <c r="H113" s="6">
        <v>7</v>
      </c>
      <c r="I113" s="47" t="s">
        <v>2209</v>
      </c>
      <c r="J113" s="6" t="s">
        <v>2211</v>
      </c>
      <c r="K113" s="6" t="s">
        <v>1265</v>
      </c>
      <c r="M113" s="17"/>
      <c r="N113" s="6">
        <v>5</v>
      </c>
      <c r="O113" s="47" t="s">
        <v>355</v>
      </c>
      <c r="P113" s="6" t="s">
        <v>2334</v>
      </c>
      <c r="Q113" s="6" t="s">
        <v>1266</v>
      </c>
      <c r="S113" s="17"/>
      <c r="T113" s="17">
        <v>5</v>
      </c>
      <c r="U113" s="47" t="s">
        <v>1011</v>
      </c>
      <c r="V113" s="6" t="s">
        <v>2559</v>
      </c>
      <c r="W113" s="6" t="s">
        <v>1267</v>
      </c>
    </row>
    <row r="114" spans="7:23" x14ac:dyDescent="0.2">
      <c r="G114" s="17"/>
      <c r="H114" s="6">
        <v>7</v>
      </c>
      <c r="I114" s="47" t="s">
        <v>1176</v>
      </c>
      <c r="J114" s="6" t="s">
        <v>2212</v>
      </c>
      <c r="K114" s="6" t="s">
        <v>1265</v>
      </c>
      <c r="M114" s="17"/>
      <c r="N114" s="6">
        <v>5</v>
      </c>
      <c r="O114" s="47" t="s">
        <v>356</v>
      </c>
      <c r="Q114" s="6" t="s">
        <v>1266</v>
      </c>
      <c r="S114" s="17"/>
      <c r="T114" s="17">
        <v>5</v>
      </c>
      <c r="U114" s="47" t="s">
        <v>1013</v>
      </c>
      <c r="V114" s="6" t="s">
        <v>2560</v>
      </c>
      <c r="W114" s="6" t="s">
        <v>1267</v>
      </c>
    </row>
    <row r="115" spans="7:23" x14ac:dyDescent="0.2">
      <c r="G115" s="17"/>
      <c r="H115" s="6">
        <v>7</v>
      </c>
      <c r="I115" s="47" t="s">
        <v>1176</v>
      </c>
      <c r="J115" s="6" t="s">
        <v>2213</v>
      </c>
      <c r="K115" s="6" t="s">
        <v>1265</v>
      </c>
      <c r="M115" s="17" t="s">
        <v>7</v>
      </c>
      <c r="N115" s="6">
        <v>6</v>
      </c>
      <c r="O115" s="47" t="s">
        <v>357</v>
      </c>
      <c r="P115" s="6" t="s">
        <v>2335</v>
      </c>
      <c r="Q115" s="6" t="s">
        <v>1266</v>
      </c>
      <c r="S115" s="17"/>
      <c r="T115" s="17">
        <v>5</v>
      </c>
      <c r="U115" s="47" t="s">
        <v>1013</v>
      </c>
      <c r="V115" s="6" t="s">
        <v>2561</v>
      </c>
      <c r="W115" s="6" t="s">
        <v>1267</v>
      </c>
    </row>
    <row r="116" spans="7:23" x14ac:dyDescent="0.2">
      <c r="G116" s="17"/>
      <c r="H116" s="6">
        <v>7</v>
      </c>
      <c r="I116" s="47" t="s">
        <v>1176</v>
      </c>
      <c r="J116" s="6" t="s">
        <v>2214</v>
      </c>
      <c r="K116" s="6" t="s">
        <v>1265</v>
      </c>
      <c r="M116" s="17"/>
      <c r="N116" s="6">
        <v>6</v>
      </c>
      <c r="O116" s="47" t="s">
        <v>358</v>
      </c>
      <c r="P116" s="6" t="s">
        <v>2336</v>
      </c>
      <c r="Q116" s="6" t="s">
        <v>1266</v>
      </c>
      <c r="S116" s="17"/>
      <c r="T116" s="17">
        <v>5</v>
      </c>
      <c r="U116" s="47" t="s">
        <v>1015</v>
      </c>
      <c r="W116" s="6" t="s">
        <v>1267</v>
      </c>
    </row>
    <row r="117" spans="7:23" x14ac:dyDescent="0.2">
      <c r="G117" s="17"/>
      <c r="H117" s="6">
        <v>7</v>
      </c>
      <c r="I117" s="47" t="s">
        <v>1176</v>
      </c>
      <c r="J117" s="6" t="s">
        <v>2215</v>
      </c>
      <c r="K117" s="6" t="s">
        <v>1265</v>
      </c>
      <c r="M117" s="17"/>
      <c r="N117" s="6">
        <v>6</v>
      </c>
      <c r="O117" s="47" t="s">
        <v>358</v>
      </c>
      <c r="P117" s="6" t="s">
        <v>2337</v>
      </c>
      <c r="Q117" s="6" t="s">
        <v>1266</v>
      </c>
      <c r="S117" s="17"/>
      <c r="T117" s="17">
        <v>5</v>
      </c>
      <c r="U117" s="47" t="s">
        <v>1017</v>
      </c>
      <c r="V117" s="6" t="s">
        <v>2562</v>
      </c>
      <c r="W117" s="6" t="s">
        <v>1267</v>
      </c>
    </row>
    <row r="118" spans="7:23" x14ac:dyDescent="0.2">
      <c r="G118" s="17"/>
      <c r="H118" s="6">
        <v>7</v>
      </c>
      <c r="I118" s="47" t="s">
        <v>1177</v>
      </c>
      <c r="J118" s="6" t="s">
        <v>2216</v>
      </c>
      <c r="K118" s="6" t="s">
        <v>1265</v>
      </c>
      <c r="M118" s="17"/>
      <c r="N118" s="6">
        <v>6</v>
      </c>
      <c r="O118" s="47" t="s">
        <v>2338</v>
      </c>
      <c r="P118" s="6" t="s">
        <v>2339</v>
      </c>
      <c r="Q118" s="6" t="s">
        <v>1266</v>
      </c>
      <c r="S118" s="17"/>
      <c r="T118" s="17">
        <v>5</v>
      </c>
      <c r="U118" s="47" t="s">
        <v>1019</v>
      </c>
      <c r="W118" s="6" t="s">
        <v>1267</v>
      </c>
    </row>
    <row r="119" spans="7:23" x14ac:dyDescent="0.2">
      <c r="G119" s="17"/>
      <c r="H119" s="6">
        <v>7</v>
      </c>
      <c r="I119" s="47" t="s">
        <v>1177</v>
      </c>
      <c r="J119" s="6" t="s">
        <v>2217</v>
      </c>
      <c r="K119" s="6" t="s">
        <v>1265</v>
      </c>
      <c r="M119" s="17"/>
      <c r="N119" s="6">
        <v>6</v>
      </c>
      <c r="O119" s="47" t="s">
        <v>2340</v>
      </c>
      <c r="Q119" s="6" t="s">
        <v>1266</v>
      </c>
      <c r="S119" s="17"/>
      <c r="T119" s="17">
        <v>5</v>
      </c>
      <c r="U119" s="47" t="s">
        <v>1021</v>
      </c>
      <c r="V119" s="6" t="s">
        <v>2563</v>
      </c>
      <c r="W119" s="6" t="s">
        <v>1267</v>
      </c>
    </row>
    <row r="120" spans="7:23" x14ac:dyDescent="0.2">
      <c r="G120" s="17"/>
      <c r="H120" s="6">
        <v>7</v>
      </c>
      <c r="I120" s="47" t="s">
        <v>1178</v>
      </c>
      <c r="J120" s="6" t="s">
        <v>2218</v>
      </c>
      <c r="K120" s="6" t="s">
        <v>1265</v>
      </c>
      <c r="M120" s="17"/>
      <c r="N120" s="6">
        <v>6</v>
      </c>
      <c r="O120" s="47" t="s">
        <v>2341</v>
      </c>
      <c r="Q120" s="6" t="s">
        <v>1266</v>
      </c>
      <c r="S120" s="17"/>
      <c r="T120" s="17">
        <v>5</v>
      </c>
      <c r="U120" s="47" t="s">
        <v>1023</v>
      </c>
      <c r="V120" s="6" t="s">
        <v>2564</v>
      </c>
      <c r="W120" s="6" t="s">
        <v>1267</v>
      </c>
    </row>
    <row r="121" spans="7:23" x14ac:dyDescent="0.2">
      <c r="G121" s="17"/>
      <c r="H121" s="6">
        <v>7</v>
      </c>
      <c r="I121" s="47" t="s">
        <v>1178</v>
      </c>
      <c r="J121" s="6" t="s">
        <v>2219</v>
      </c>
      <c r="K121" s="6" t="s">
        <v>1265</v>
      </c>
      <c r="M121" s="17"/>
      <c r="N121" s="6">
        <v>6</v>
      </c>
      <c r="O121" s="47" t="s">
        <v>2342</v>
      </c>
      <c r="Q121" s="6" t="s">
        <v>1266</v>
      </c>
      <c r="S121" s="17"/>
      <c r="T121" s="17">
        <v>5</v>
      </c>
      <c r="U121" s="47" t="s">
        <v>1025</v>
      </c>
      <c r="V121" s="6" t="s">
        <v>2565</v>
      </c>
      <c r="W121" s="6" t="s">
        <v>1267</v>
      </c>
    </row>
    <row r="122" spans="7:23" x14ac:dyDescent="0.2">
      <c r="G122" s="17"/>
      <c r="H122" s="6">
        <v>7</v>
      </c>
      <c r="I122" s="47" t="s">
        <v>1179</v>
      </c>
      <c r="J122" s="6" t="s">
        <v>2220</v>
      </c>
      <c r="K122" s="6" t="s">
        <v>1265</v>
      </c>
      <c r="M122" s="17"/>
      <c r="N122" s="6">
        <v>6</v>
      </c>
      <c r="O122" s="47" t="s">
        <v>2343</v>
      </c>
      <c r="Q122" s="6" t="s">
        <v>1266</v>
      </c>
      <c r="S122" s="17"/>
      <c r="T122" s="17">
        <v>5</v>
      </c>
      <c r="U122" s="47" t="s">
        <v>2566</v>
      </c>
      <c r="W122" s="6" t="s">
        <v>1267</v>
      </c>
    </row>
    <row r="123" spans="7:23" x14ac:dyDescent="0.2">
      <c r="G123" s="17"/>
      <c r="H123" s="6">
        <v>7</v>
      </c>
      <c r="I123" s="47" t="s">
        <v>1179</v>
      </c>
      <c r="J123" s="6" t="s">
        <v>2221</v>
      </c>
      <c r="K123" s="6" t="s">
        <v>1265</v>
      </c>
      <c r="M123" s="17"/>
      <c r="N123" s="6">
        <v>6</v>
      </c>
      <c r="O123" s="47" t="s">
        <v>362</v>
      </c>
      <c r="P123" s="6" t="s">
        <v>2344</v>
      </c>
      <c r="Q123" s="6" t="s">
        <v>1266</v>
      </c>
      <c r="S123" s="17"/>
      <c r="T123" s="17">
        <v>5</v>
      </c>
      <c r="U123" s="47" t="s">
        <v>1027</v>
      </c>
      <c r="V123" s="6" t="s">
        <v>2567</v>
      </c>
      <c r="W123" s="6" t="s">
        <v>1267</v>
      </c>
    </row>
    <row r="124" spans="7:23" x14ac:dyDescent="0.2">
      <c r="G124" s="17"/>
      <c r="H124" s="6">
        <v>7</v>
      </c>
      <c r="I124" s="47" t="s">
        <v>1180</v>
      </c>
      <c r="K124" s="6" t="s">
        <v>1265</v>
      </c>
      <c r="M124" s="17"/>
      <c r="N124" s="6">
        <v>6</v>
      </c>
      <c r="O124" s="47" t="s">
        <v>363</v>
      </c>
      <c r="P124" s="6" t="s">
        <v>2345</v>
      </c>
      <c r="Q124" s="6" t="s">
        <v>1266</v>
      </c>
      <c r="S124" s="17"/>
      <c r="T124" s="17">
        <v>5</v>
      </c>
      <c r="U124" s="47" t="s">
        <v>1027</v>
      </c>
      <c r="V124" s="6" t="s">
        <v>2568</v>
      </c>
      <c r="W124" s="6" t="s">
        <v>1267</v>
      </c>
    </row>
    <row r="125" spans="7:23" x14ac:dyDescent="0.2">
      <c r="G125" s="17"/>
      <c r="H125" s="6">
        <v>7</v>
      </c>
      <c r="I125" s="47" t="s">
        <v>1181</v>
      </c>
      <c r="J125" s="6" t="s">
        <v>2222</v>
      </c>
      <c r="K125" s="6" t="s">
        <v>1265</v>
      </c>
      <c r="M125" s="17"/>
      <c r="N125" s="6">
        <v>6</v>
      </c>
      <c r="O125" s="47" t="s">
        <v>364</v>
      </c>
      <c r="P125" s="6" t="s">
        <v>2346</v>
      </c>
      <c r="Q125" s="6" t="s">
        <v>1266</v>
      </c>
      <c r="S125" s="17"/>
      <c r="T125" s="17">
        <v>5</v>
      </c>
      <c r="U125" s="47" t="s">
        <v>1029</v>
      </c>
      <c r="V125" s="6" t="s">
        <v>2569</v>
      </c>
      <c r="W125" s="6" t="s">
        <v>1267</v>
      </c>
    </row>
    <row r="126" spans="7:23" x14ac:dyDescent="0.2">
      <c r="G126" s="17"/>
      <c r="H126" s="6">
        <v>7</v>
      </c>
      <c r="I126" s="47" t="s">
        <v>1181</v>
      </c>
      <c r="J126" s="6" t="s">
        <v>2223</v>
      </c>
      <c r="K126" s="6" t="s">
        <v>1265</v>
      </c>
      <c r="M126" s="17"/>
      <c r="N126" s="6">
        <v>6</v>
      </c>
      <c r="O126" s="47" t="s">
        <v>2347</v>
      </c>
      <c r="Q126" s="6" t="s">
        <v>1266</v>
      </c>
      <c r="S126" s="17"/>
      <c r="T126" s="17">
        <v>5</v>
      </c>
      <c r="U126" s="47" t="s">
        <v>1031</v>
      </c>
      <c r="V126" s="6" t="s">
        <v>2570</v>
      </c>
      <c r="W126" s="6" t="s">
        <v>1267</v>
      </c>
    </row>
    <row r="127" spans="7:23" x14ac:dyDescent="0.2">
      <c r="G127" s="17"/>
      <c r="H127" s="6">
        <v>7</v>
      </c>
      <c r="I127" s="47" t="s">
        <v>1181</v>
      </c>
      <c r="J127" s="6" t="s">
        <v>2224</v>
      </c>
      <c r="K127" s="6" t="s">
        <v>1265</v>
      </c>
      <c r="M127" s="17"/>
      <c r="N127" s="55">
        <v>6</v>
      </c>
      <c r="O127" s="57" t="s">
        <v>365</v>
      </c>
      <c r="P127" s="55" t="s">
        <v>2348</v>
      </c>
      <c r="Q127" s="55" t="s">
        <v>1266</v>
      </c>
      <c r="S127" s="17"/>
      <c r="T127" s="17">
        <v>5</v>
      </c>
      <c r="U127" s="47" t="s">
        <v>1033</v>
      </c>
      <c r="V127" s="6" t="s">
        <v>2571</v>
      </c>
      <c r="W127" s="6" t="s">
        <v>1267</v>
      </c>
    </row>
    <row r="128" spans="7:23" x14ac:dyDescent="0.2">
      <c r="G128" s="17"/>
      <c r="H128" s="6">
        <v>7</v>
      </c>
      <c r="I128" s="47" t="s">
        <v>1182</v>
      </c>
      <c r="J128" s="6" t="s">
        <v>2225</v>
      </c>
      <c r="K128" s="6" t="s">
        <v>1265</v>
      </c>
      <c r="M128" s="17"/>
      <c r="N128" s="6">
        <v>6</v>
      </c>
      <c r="O128" s="47" t="s">
        <v>366</v>
      </c>
      <c r="P128" s="6" t="s">
        <v>2349</v>
      </c>
      <c r="Q128" s="6" t="s">
        <v>1266</v>
      </c>
      <c r="S128" s="17"/>
      <c r="T128" s="17">
        <v>5</v>
      </c>
      <c r="U128" s="47" t="s">
        <v>1033</v>
      </c>
      <c r="V128" s="6" t="s">
        <v>2572</v>
      </c>
      <c r="W128" s="6" t="s">
        <v>1267</v>
      </c>
    </row>
    <row r="129" spans="7:23" x14ac:dyDescent="0.2">
      <c r="G129" s="17"/>
      <c r="H129" s="6">
        <v>7</v>
      </c>
      <c r="I129" s="47" t="s">
        <v>1182</v>
      </c>
      <c r="J129" s="6" t="s">
        <v>2226</v>
      </c>
      <c r="K129" s="6" t="s">
        <v>1265</v>
      </c>
      <c r="M129" s="17"/>
      <c r="N129" s="6">
        <v>6</v>
      </c>
      <c r="O129" s="47" t="s">
        <v>2350</v>
      </c>
      <c r="P129" s="6" t="s">
        <v>2351</v>
      </c>
      <c r="Q129" s="6" t="s">
        <v>1266</v>
      </c>
      <c r="S129" s="17"/>
      <c r="T129" s="17">
        <v>5</v>
      </c>
      <c r="U129" s="47" t="s">
        <v>1035</v>
      </c>
      <c r="V129" s="6" t="s">
        <v>2573</v>
      </c>
      <c r="W129" s="6" t="s">
        <v>1267</v>
      </c>
    </row>
    <row r="130" spans="7:23" x14ac:dyDescent="0.2">
      <c r="G130" s="17"/>
      <c r="H130" s="6">
        <v>7</v>
      </c>
      <c r="I130" s="47" t="s">
        <v>2227</v>
      </c>
      <c r="J130" s="6" t="s">
        <v>2228</v>
      </c>
      <c r="K130" s="6" t="s">
        <v>1265</v>
      </c>
      <c r="M130" s="17"/>
      <c r="N130" s="6">
        <v>6</v>
      </c>
      <c r="O130" s="47" t="s">
        <v>2352</v>
      </c>
      <c r="Q130" s="6" t="s">
        <v>1266</v>
      </c>
      <c r="S130" s="17"/>
      <c r="T130" s="17">
        <v>5</v>
      </c>
      <c r="U130" s="47" t="s">
        <v>1037</v>
      </c>
      <c r="V130" s="6" t="s">
        <v>2574</v>
      </c>
      <c r="W130" s="6" t="s">
        <v>1267</v>
      </c>
    </row>
    <row r="131" spans="7:23" x14ac:dyDescent="0.2">
      <c r="G131" s="17" t="s">
        <v>2229</v>
      </c>
      <c r="H131" s="6">
        <v>8</v>
      </c>
      <c r="I131" s="47" t="s">
        <v>1184</v>
      </c>
      <c r="K131" s="6" t="s">
        <v>1265</v>
      </c>
      <c r="M131" s="17"/>
      <c r="N131" s="6">
        <v>6</v>
      </c>
      <c r="O131" s="47" t="s">
        <v>369</v>
      </c>
      <c r="Q131" s="6" t="s">
        <v>1266</v>
      </c>
      <c r="S131" s="17"/>
      <c r="T131" s="17">
        <v>5</v>
      </c>
      <c r="U131" s="47" t="s">
        <v>1039</v>
      </c>
      <c r="W131" s="6" t="s">
        <v>1267</v>
      </c>
    </row>
    <row r="132" spans="7:23" x14ac:dyDescent="0.2">
      <c r="G132" s="17"/>
      <c r="H132" s="6">
        <v>8</v>
      </c>
      <c r="I132" s="47" t="s">
        <v>1185</v>
      </c>
      <c r="J132" s="6" t="s">
        <v>2230</v>
      </c>
      <c r="K132" s="6" t="s">
        <v>1265</v>
      </c>
      <c r="M132" s="17"/>
      <c r="N132" s="6">
        <v>6</v>
      </c>
      <c r="O132" s="47" t="s">
        <v>370</v>
      </c>
      <c r="P132" s="6" t="s">
        <v>2353</v>
      </c>
      <c r="Q132" s="6" t="s">
        <v>1266</v>
      </c>
      <c r="S132" s="17" t="s">
        <v>2575</v>
      </c>
      <c r="T132" s="17">
        <v>6</v>
      </c>
      <c r="U132" s="47" t="s">
        <v>1041</v>
      </c>
      <c r="V132" s="6" t="s">
        <v>2576</v>
      </c>
      <c r="W132" s="6" t="s">
        <v>1267</v>
      </c>
    </row>
    <row r="133" spans="7:23" x14ac:dyDescent="0.2">
      <c r="G133" s="17"/>
      <c r="H133" s="6">
        <v>8</v>
      </c>
      <c r="I133" s="47" t="s">
        <v>1186</v>
      </c>
      <c r="K133" s="6" t="s">
        <v>1265</v>
      </c>
      <c r="M133" s="17"/>
      <c r="N133" s="6">
        <v>6</v>
      </c>
      <c r="O133" s="47" t="s">
        <v>370</v>
      </c>
      <c r="P133" s="6" t="s">
        <v>2354</v>
      </c>
      <c r="Q133" s="6" t="s">
        <v>1266</v>
      </c>
      <c r="S133" s="17"/>
      <c r="T133" s="58">
        <v>6</v>
      </c>
      <c r="U133" s="57" t="s">
        <v>1043</v>
      </c>
      <c r="V133" s="55" t="s">
        <v>2577</v>
      </c>
      <c r="W133" s="55" t="s">
        <v>1267</v>
      </c>
    </row>
    <row r="134" spans="7:23" x14ac:dyDescent="0.2">
      <c r="G134" s="17"/>
      <c r="H134" s="6">
        <v>8</v>
      </c>
      <c r="I134" s="47" t="s">
        <v>1187</v>
      </c>
      <c r="K134" s="6" t="s">
        <v>1265</v>
      </c>
      <c r="M134" s="17"/>
      <c r="N134" s="6">
        <v>6</v>
      </c>
      <c r="O134" s="47" t="s">
        <v>371</v>
      </c>
      <c r="P134" s="6" t="s">
        <v>2355</v>
      </c>
      <c r="Q134" s="6" t="s">
        <v>1266</v>
      </c>
      <c r="S134" s="17"/>
      <c r="T134" s="17">
        <v>6</v>
      </c>
      <c r="U134" s="47" t="s">
        <v>2578</v>
      </c>
      <c r="V134" s="6" t="s">
        <v>2579</v>
      </c>
      <c r="W134" s="6" t="s">
        <v>1267</v>
      </c>
    </row>
    <row r="135" spans="7:23" x14ac:dyDescent="0.2">
      <c r="G135" s="17"/>
      <c r="H135" s="6">
        <v>8</v>
      </c>
      <c r="I135" s="47" t="s">
        <v>1188</v>
      </c>
      <c r="J135" s="6" t="s">
        <v>2231</v>
      </c>
      <c r="K135" s="6" t="s">
        <v>1265</v>
      </c>
      <c r="M135" s="17"/>
      <c r="N135" s="6">
        <v>6</v>
      </c>
      <c r="O135" s="47" t="s">
        <v>372</v>
      </c>
      <c r="Q135" s="6" t="s">
        <v>1266</v>
      </c>
      <c r="S135" s="17"/>
      <c r="T135" s="17">
        <v>6</v>
      </c>
      <c r="U135" s="47" t="s">
        <v>1047</v>
      </c>
      <c r="V135" s="6" t="s">
        <v>2580</v>
      </c>
      <c r="W135" s="6" t="s">
        <v>1267</v>
      </c>
    </row>
    <row r="136" spans="7:23" x14ac:dyDescent="0.2">
      <c r="G136" s="17"/>
      <c r="H136" s="6">
        <v>8</v>
      </c>
      <c r="I136" s="47" t="s">
        <v>1188</v>
      </c>
      <c r="J136" s="6" t="s">
        <v>2232</v>
      </c>
      <c r="K136" s="6" t="s">
        <v>1265</v>
      </c>
      <c r="M136" s="17"/>
      <c r="N136" s="6">
        <v>6</v>
      </c>
      <c r="O136" s="47" t="s">
        <v>373</v>
      </c>
      <c r="P136" s="6" t="s">
        <v>2356</v>
      </c>
      <c r="Q136" s="6" t="s">
        <v>1266</v>
      </c>
      <c r="S136" s="17"/>
      <c r="T136" s="17">
        <v>6</v>
      </c>
      <c r="U136" s="47" t="s">
        <v>1049</v>
      </c>
      <c r="V136" s="6" t="s">
        <v>2581</v>
      </c>
      <c r="W136" s="6" t="s">
        <v>1267</v>
      </c>
    </row>
    <row r="137" spans="7:23" x14ac:dyDescent="0.2">
      <c r="G137" s="17" t="s">
        <v>2233</v>
      </c>
      <c r="H137" s="6">
        <v>9</v>
      </c>
      <c r="I137" s="47" t="s">
        <v>1189</v>
      </c>
      <c r="K137" s="6" t="s">
        <v>1265</v>
      </c>
      <c r="M137" s="17"/>
      <c r="N137" s="6">
        <v>6</v>
      </c>
      <c r="O137" s="47" t="s">
        <v>374</v>
      </c>
      <c r="P137" s="6" t="s">
        <v>2357</v>
      </c>
      <c r="Q137" s="6" t="s">
        <v>1266</v>
      </c>
      <c r="S137" s="17"/>
      <c r="T137" s="17">
        <v>6</v>
      </c>
      <c r="U137" s="47" t="s">
        <v>1049</v>
      </c>
      <c r="V137" s="6" t="s">
        <v>2582</v>
      </c>
      <c r="W137" s="6" t="s">
        <v>1267</v>
      </c>
    </row>
    <row r="138" spans="7:23" x14ac:dyDescent="0.2">
      <c r="G138" s="17"/>
      <c r="H138" s="6">
        <v>9</v>
      </c>
      <c r="I138" s="47" t="s">
        <v>1190</v>
      </c>
      <c r="K138" s="6" t="s">
        <v>1265</v>
      </c>
      <c r="M138" s="17" t="s">
        <v>2358</v>
      </c>
      <c r="N138" s="6">
        <v>7</v>
      </c>
      <c r="O138" s="47" t="s">
        <v>2359</v>
      </c>
      <c r="P138" s="6" t="s">
        <v>2360</v>
      </c>
      <c r="Q138" s="6" t="s">
        <v>1266</v>
      </c>
      <c r="S138" s="17" t="s">
        <v>2583</v>
      </c>
      <c r="T138" s="17">
        <v>7</v>
      </c>
      <c r="U138" s="47" t="s">
        <v>1051</v>
      </c>
      <c r="V138" s="6" t="s">
        <v>2584</v>
      </c>
      <c r="W138" s="6" t="s">
        <v>1267</v>
      </c>
    </row>
    <row r="139" spans="7:23" x14ac:dyDescent="0.2">
      <c r="G139" s="17"/>
      <c r="H139" s="6">
        <v>9</v>
      </c>
      <c r="I139" s="47" t="s">
        <v>1191</v>
      </c>
      <c r="K139" s="6" t="s">
        <v>1265</v>
      </c>
      <c r="M139" s="17"/>
      <c r="N139" s="6">
        <v>7</v>
      </c>
      <c r="O139" s="47" t="s">
        <v>375</v>
      </c>
      <c r="P139" s="6" t="s">
        <v>2361</v>
      </c>
      <c r="Q139" s="6" t="s">
        <v>1266</v>
      </c>
      <c r="S139" s="17"/>
      <c r="T139" s="17">
        <v>7</v>
      </c>
      <c r="U139" s="47" t="s">
        <v>1051</v>
      </c>
      <c r="V139" s="6" t="s">
        <v>2585</v>
      </c>
      <c r="W139" s="6" t="s">
        <v>1267</v>
      </c>
    </row>
    <row r="140" spans="7:23" x14ac:dyDescent="0.2">
      <c r="G140" s="17" t="s">
        <v>2234</v>
      </c>
      <c r="H140" s="6">
        <v>10</v>
      </c>
      <c r="I140" s="47" t="s">
        <v>1192</v>
      </c>
      <c r="K140" s="6" t="s">
        <v>1265</v>
      </c>
      <c r="M140" s="17"/>
      <c r="N140" s="6">
        <v>7</v>
      </c>
      <c r="O140" s="47" t="s">
        <v>375</v>
      </c>
      <c r="P140" s="6" t="s">
        <v>2362</v>
      </c>
      <c r="Q140" s="6" t="s">
        <v>1266</v>
      </c>
      <c r="S140" s="17"/>
      <c r="T140" s="17">
        <v>7</v>
      </c>
      <c r="U140" s="47" t="s">
        <v>1053</v>
      </c>
      <c r="V140" s="6" t="s">
        <v>2586</v>
      </c>
      <c r="W140" s="6" t="s">
        <v>1267</v>
      </c>
    </row>
    <row r="141" spans="7:23" x14ac:dyDescent="0.2">
      <c r="G141" s="17"/>
      <c r="H141" s="6">
        <v>10</v>
      </c>
      <c r="I141" s="47" t="s">
        <v>2235</v>
      </c>
      <c r="K141" s="6" t="s">
        <v>1265</v>
      </c>
      <c r="M141" s="17"/>
      <c r="N141" s="6">
        <v>7</v>
      </c>
      <c r="O141" s="47" t="s">
        <v>2363</v>
      </c>
      <c r="Q141" s="6" t="s">
        <v>1266</v>
      </c>
      <c r="S141" s="17"/>
      <c r="T141" s="17">
        <v>7</v>
      </c>
      <c r="U141" s="47" t="s">
        <v>1053</v>
      </c>
      <c r="V141" s="6" t="s">
        <v>2587</v>
      </c>
      <c r="W141" s="6" t="s">
        <v>1267</v>
      </c>
    </row>
    <row r="142" spans="7:23" x14ac:dyDescent="0.2">
      <c r="G142" s="17"/>
      <c r="H142" s="6">
        <v>10</v>
      </c>
      <c r="I142" s="47" t="s">
        <v>1193</v>
      </c>
      <c r="K142" s="6" t="s">
        <v>1265</v>
      </c>
      <c r="M142" s="17"/>
      <c r="N142" s="6">
        <v>7</v>
      </c>
      <c r="O142" s="47" t="s">
        <v>376</v>
      </c>
      <c r="P142" s="6" t="s">
        <v>2364</v>
      </c>
      <c r="Q142" s="6" t="s">
        <v>1266</v>
      </c>
      <c r="S142" s="17"/>
      <c r="T142" s="17">
        <v>7</v>
      </c>
      <c r="U142" s="47" t="s">
        <v>1055</v>
      </c>
      <c r="V142" s="6" t="s">
        <v>2588</v>
      </c>
      <c r="W142" s="6" t="s">
        <v>1267</v>
      </c>
    </row>
    <row r="143" spans="7:23" x14ac:dyDescent="0.2">
      <c r="G143" s="17"/>
      <c r="H143" s="6">
        <v>10</v>
      </c>
      <c r="I143" s="47" t="s">
        <v>1194</v>
      </c>
      <c r="K143" s="6" t="s">
        <v>1265</v>
      </c>
      <c r="M143" s="17"/>
      <c r="N143" s="6">
        <v>7</v>
      </c>
      <c r="O143" s="47" t="s">
        <v>377</v>
      </c>
      <c r="P143" s="6" t="s">
        <v>2365</v>
      </c>
      <c r="Q143" s="6" t="s">
        <v>1266</v>
      </c>
      <c r="S143" s="17"/>
      <c r="T143" s="17">
        <v>7</v>
      </c>
      <c r="U143" s="47" t="s">
        <v>1055</v>
      </c>
      <c r="V143" s="6" t="s">
        <v>2589</v>
      </c>
      <c r="W143" s="6" t="s">
        <v>1267</v>
      </c>
    </row>
    <row r="144" spans="7:23" x14ac:dyDescent="0.2">
      <c r="M144" s="17"/>
      <c r="N144" s="6">
        <v>7</v>
      </c>
      <c r="O144" s="47" t="s">
        <v>2366</v>
      </c>
      <c r="Q144" s="6" t="s">
        <v>1266</v>
      </c>
      <c r="S144" s="17"/>
      <c r="T144" s="17">
        <v>7</v>
      </c>
      <c r="U144" s="47" t="s">
        <v>2590</v>
      </c>
      <c r="W144" s="6" t="s">
        <v>1267</v>
      </c>
    </row>
    <row r="145" spans="13:23" x14ac:dyDescent="0.2">
      <c r="M145" s="17"/>
      <c r="N145" s="6">
        <v>7</v>
      </c>
      <c r="O145" s="47" t="s">
        <v>378</v>
      </c>
      <c r="P145" s="6" t="s">
        <v>2367</v>
      </c>
      <c r="Q145" s="6" t="s">
        <v>1266</v>
      </c>
      <c r="S145" s="17"/>
      <c r="T145" s="17">
        <v>7</v>
      </c>
      <c r="U145" s="47" t="s">
        <v>1057</v>
      </c>
      <c r="V145" s="6" t="s">
        <v>2591</v>
      </c>
      <c r="W145" s="6" t="s">
        <v>1267</v>
      </c>
    </row>
    <row r="146" spans="13:23" x14ac:dyDescent="0.2">
      <c r="M146" s="17"/>
      <c r="N146" s="6">
        <v>7</v>
      </c>
      <c r="O146" s="47" t="s">
        <v>378</v>
      </c>
      <c r="P146" s="6" t="s">
        <v>2368</v>
      </c>
      <c r="Q146" s="6" t="s">
        <v>1266</v>
      </c>
      <c r="S146" s="17"/>
      <c r="T146" s="17">
        <v>7</v>
      </c>
      <c r="U146" s="47" t="s">
        <v>1057</v>
      </c>
      <c r="V146" s="6" t="s">
        <v>2592</v>
      </c>
      <c r="W146" s="6" t="s">
        <v>1267</v>
      </c>
    </row>
    <row r="147" spans="13:23" x14ac:dyDescent="0.2">
      <c r="M147" s="17"/>
      <c r="N147" s="6">
        <v>7</v>
      </c>
      <c r="O147" s="47" t="s">
        <v>378</v>
      </c>
      <c r="P147" s="6" t="s">
        <v>2369</v>
      </c>
      <c r="Q147" s="6" t="s">
        <v>1266</v>
      </c>
      <c r="S147" s="17"/>
      <c r="T147" s="17">
        <v>7</v>
      </c>
      <c r="U147" s="47" t="s">
        <v>1057</v>
      </c>
      <c r="V147" s="6" t="s">
        <v>2593</v>
      </c>
      <c r="W147" s="6" t="s">
        <v>1267</v>
      </c>
    </row>
    <row r="148" spans="13:23" x14ac:dyDescent="0.2">
      <c r="M148" s="17"/>
      <c r="N148" s="6">
        <v>7</v>
      </c>
      <c r="O148" s="47" t="s">
        <v>379</v>
      </c>
      <c r="P148" s="6" t="s">
        <v>2370</v>
      </c>
      <c r="Q148" s="6" t="s">
        <v>1266</v>
      </c>
      <c r="S148" s="17"/>
      <c r="T148" s="17">
        <v>7</v>
      </c>
      <c r="U148" s="47" t="s">
        <v>2594</v>
      </c>
      <c r="W148" s="6" t="s">
        <v>1267</v>
      </c>
    </row>
    <row r="149" spans="13:23" x14ac:dyDescent="0.2">
      <c r="M149" s="17"/>
      <c r="N149" s="6">
        <v>7</v>
      </c>
      <c r="O149" s="47" t="s">
        <v>380</v>
      </c>
      <c r="P149" s="6" t="s">
        <v>2371</v>
      </c>
      <c r="Q149" s="6" t="s">
        <v>1266</v>
      </c>
      <c r="S149" s="17"/>
      <c r="T149" s="17">
        <v>7</v>
      </c>
      <c r="U149" s="47" t="s">
        <v>2595</v>
      </c>
      <c r="W149" s="6" t="s">
        <v>1267</v>
      </c>
    </row>
    <row r="150" spans="13:23" x14ac:dyDescent="0.2">
      <c r="M150" s="17"/>
      <c r="N150" s="6">
        <v>7</v>
      </c>
      <c r="O150" s="47" t="s">
        <v>380</v>
      </c>
      <c r="P150" s="6" t="s">
        <v>2372</v>
      </c>
      <c r="Q150" s="6" t="s">
        <v>1266</v>
      </c>
      <c r="S150" s="17"/>
      <c r="T150" s="17">
        <v>7</v>
      </c>
      <c r="U150" s="47" t="s">
        <v>1059</v>
      </c>
      <c r="W150" s="6" t="s">
        <v>1267</v>
      </c>
    </row>
    <row r="151" spans="13:23" x14ac:dyDescent="0.2">
      <c r="M151" s="17"/>
      <c r="N151" s="6">
        <v>7</v>
      </c>
      <c r="O151" s="47" t="s">
        <v>2373</v>
      </c>
      <c r="P151" s="6" t="s">
        <v>2374</v>
      </c>
      <c r="Q151" s="6" t="s">
        <v>1266</v>
      </c>
      <c r="S151" s="17"/>
      <c r="T151" s="17">
        <v>7</v>
      </c>
      <c r="U151" s="47" t="s">
        <v>1061</v>
      </c>
      <c r="W151" s="6" t="s">
        <v>1267</v>
      </c>
    </row>
    <row r="152" spans="13:23" x14ac:dyDescent="0.2">
      <c r="M152" s="17"/>
      <c r="N152" s="6">
        <v>7</v>
      </c>
      <c r="O152" s="47" t="s">
        <v>381</v>
      </c>
      <c r="P152" s="6" t="s">
        <v>2375</v>
      </c>
      <c r="Q152" s="6" t="s">
        <v>1266</v>
      </c>
      <c r="S152" s="17"/>
      <c r="T152" s="17">
        <v>7</v>
      </c>
      <c r="U152" s="47" t="s">
        <v>2596</v>
      </c>
      <c r="W152" s="6" t="s">
        <v>1267</v>
      </c>
    </row>
    <row r="153" spans="13:23" x14ac:dyDescent="0.2">
      <c r="M153" s="17"/>
      <c r="N153" s="6">
        <v>7</v>
      </c>
      <c r="O153" s="47" t="s">
        <v>382</v>
      </c>
      <c r="P153" s="6" t="s">
        <v>2376</v>
      </c>
      <c r="Q153" s="6" t="s">
        <v>1266</v>
      </c>
      <c r="S153" s="17"/>
      <c r="T153" s="17">
        <v>7</v>
      </c>
      <c r="U153" s="47" t="s">
        <v>1065</v>
      </c>
      <c r="W153" s="6" t="s">
        <v>1267</v>
      </c>
    </row>
    <row r="154" spans="13:23" x14ac:dyDescent="0.2">
      <c r="M154" s="17"/>
      <c r="N154" s="6">
        <v>7</v>
      </c>
      <c r="O154" s="47" t="s">
        <v>382</v>
      </c>
      <c r="P154" s="6" t="s">
        <v>2377</v>
      </c>
      <c r="Q154" s="6" t="s">
        <v>1266</v>
      </c>
      <c r="S154" s="17"/>
      <c r="T154" s="17">
        <v>7</v>
      </c>
      <c r="U154" s="47" t="s">
        <v>1067</v>
      </c>
      <c r="V154" s="6" t="s">
        <v>2597</v>
      </c>
      <c r="W154" s="6" t="s">
        <v>1267</v>
      </c>
    </row>
    <row r="155" spans="13:23" x14ac:dyDescent="0.2">
      <c r="M155" s="17"/>
      <c r="N155" s="6">
        <v>7</v>
      </c>
      <c r="O155" s="47" t="s">
        <v>2378</v>
      </c>
      <c r="Q155" s="6" t="s">
        <v>1266</v>
      </c>
      <c r="S155" s="17"/>
      <c r="T155" s="17">
        <v>7</v>
      </c>
      <c r="U155" s="47" t="s">
        <v>1069</v>
      </c>
      <c r="V155" s="6" t="s">
        <v>2598</v>
      </c>
      <c r="W155" s="6" t="s">
        <v>1267</v>
      </c>
    </row>
    <row r="156" spans="13:23" x14ac:dyDescent="0.2">
      <c r="M156" s="17"/>
      <c r="N156" s="6">
        <v>7</v>
      </c>
      <c r="O156" s="47" t="s">
        <v>2379</v>
      </c>
      <c r="Q156" s="6" t="s">
        <v>1266</v>
      </c>
      <c r="S156" s="17"/>
      <c r="T156" s="17">
        <v>7</v>
      </c>
      <c r="U156" s="47" t="s">
        <v>1069</v>
      </c>
      <c r="V156" s="6" t="s">
        <v>2599</v>
      </c>
      <c r="W156" s="6" t="s">
        <v>1267</v>
      </c>
    </row>
    <row r="157" spans="13:23" x14ac:dyDescent="0.2">
      <c r="M157" s="17" t="s">
        <v>2380</v>
      </c>
      <c r="N157" s="6">
        <v>8</v>
      </c>
      <c r="O157" s="47" t="s">
        <v>16</v>
      </c>
      <c r="Q157" s="6" t="s">
        <v>1266</v>
      </c>
      <c r="S157" s="17"/>
      <c r="T157" s="17">
        <v>7</v>
      </c>
      <c r="U157" s="47" t="s">
        <v>1071</v>
      </c>
      <c r="V157" s="6" t="s">
        <v>2600</v>
      </c>
      <c r="W157" s="6" t="s">
        <v>1267</v>
      </c>
    </row>
    <row r="158" spans="13:23" x14ac:dyDescent="0.2">
      <c r="M158" s="17"/>
      <c r="N158" s="6">
        <v>8</v>
      </c>
      <c r="O158" s="47" t="s">
        <v>384</v>
      </c>
      <c r="P158" s="6" t="s">
        <v>2381</v>
      </c>
      <c r="Q158" s="6" t="s">
        <v>1266</v>
      </c>
      <c r="S158" s="17"/>
      <c r="T158" s="17">
        <v>7</v>
      </c>
      <c r="U158" s="47" t="s">
        <v>1071</v>
      </c>
      <c r="V158" s="6" t="s">
        <v>2600</v>
      </c>
      <c r="W158" s="6" t="s">
        <v>1267</v>
      </c>
    </row>
    <row r="159" spans="13:23" x14ac:dyDescent="0.2">
      <c r="M159" s="17"/>
      <c r="N159" s="6">
        <v>8</v>
      </c>
      <c r="O159" s="47" t="s">
        <v>384</v>
      </c>
      <c r="P159" s="6" t="s">
        <v>2382</v>
      </c>
      <c r="Q159" s="6" t="s">
        <v>1266</v>
      </c>
      <c r="S159" s="17"/>
      <c r="T159" s="17">
        <v>7</v>
      </c>
      <c r="U159" s="47" t="s">
        <v>1073</v>
      </c>
      <c r="V159" s="6" t="s">
        <v>2601</v>
      </c>
      <c r="W159" s="6" t="s">
        <v>1267</v>
      </c>
    </row>
    <row r="160" spans="13:23" x14ac:dyDescent="0.2">
      <c r="M160" s="17"/>
      <c r="N160" s="6">
        <v>8</v>
      </c>
      <c r="O160" s="47" t="s">
        <v>385</v>
      </c>
      <c r="Q160" s="6" t="s">
        <v>1266</v>
      </c>
      <c r="S160" s="17"/>
      <c r="T160" s="17">
        <v>7</v>
      </c>
      <c r="U160" s="47" t="s">
        <v>1073</v>
      </c>
      <c r="V160" s="6" t="s">
        <v>2602</v>
      </c>
      <c r="W160" s="6" t="s">
        <v>1267</v>
      </c>
    </row>
    <row r="161" spans="13:23" x14ac:dyDescent="0.2">
      <c r="M161" s="17"/>
      <c r="N161" s="6">
        <v>8</v>
      </c>
      <c r="O161" s="47" t="s">
        <v>386</v>
      </c>
      <c r="P161" s="6" t="s">
        <v>2383</v>
      </c>
      <c r="Q161" s="6" t="s">
        <v>1266</v>
      </c>
      <c r="S161" s="17"/>
      <c r="T161" s="17">
        <v>7</v>
      </c>
      <c r="U161" s="47" t="s">
        <v>1073</v>
      </c>
      <c r="V161" s="6" t="s">
        <v>2603</v>
      </c>
      <c r="W161" s="6" t="s">
        <v>1267</v>
      </c>
    </row>
    <row r="162" spans="13:23" x14ac:dyDescent="0.2">
      <c r="M162" s="17"/>
      <c r="N162" s="6">
        <v>8</v>
      </c>
      <c r="O162" s="47" t="s">
        <v>387</v>
      </c>
      <c r="P162" s="6" t="s">
        <v>2384</v>
      </c>
      <c r="Q162" s="6" t="s">
        <v>1266</v>
      </c>
      <c r="S162" s="17"/>
      <c r="T162" s="17">
        <v>7</v>
      </c>
      <c r="U162" s="47" t="s">
        <v>2604</v>
      </c>
      <c r="W162" s="6" t="s">
        <v>1267</v>
      </c>
    </row>
    <row r="163" spans="13:23" x14ac:dyDescent="0.2">
      <c r="M163" s="17"/>
      <c r="N163" s="6">
        <v>8</v>
      </c>
      <c r="O163" s="47" t="s">
        <v>387</v>
      </c>
      <c r="P163" s="6" t="s">
        <v>2385</v>
      </c>
      <c r="Q163" s="6" t="s">
        <v>1266</v>
      </c>
      <c r="S163" s="17"/>
      <c r="T163" s="17">
        <v>7</v>
      </c>
      <c r="U163" s="47" t="s">
        <v>1075</v>
      </c>
      <c r="V163" s="6" t="s">
        <v>2605</v>
      </c>
      <c r="W163" s="6" t="s">
        <v>1267</v>
      </c>
    </row>
    <row r="164" spans="13:23" x14ac:dyDescent="0.2">
      <c r="M164" s="17"/>
      <c r="N164" s="6">
        <v>8</v>
      </c>
      <c r="O164" s="47" t="s">
        <v>387</v>
      </c>
      <c r="P164" s="6" t="s">
        <v>2386</v>
      </c>
      <c r="Q164" s="6" t="s">
        <v>1266</v>
      </c>
      <c r="S164" s="17"/>
      <c r="T164" s="17">
        <v>7</v>
      </c>
      <c r="U164" s="47" t="s">
        <v>1075</v>
      </c>
      <c r="V164" s="6" t="s">
        <v>2606</v>
      </c>
      <c r="W164" s="6" t="s">
        <v>1267</v>
      </c>
    </row>
    <row r="165" spans="13:23" x14ac:dyDescent="0.2">
      <c r="M165" s="17"/>
      <c r="N165" s="6">
        <v>8</v>
      </c>
      <c r="O165" s="47" t="s">
        <v>388</v>
      </c>
      <c r="P165" s="6" t="s">
        <v>2387</v>
      </c>
      <c r="Q165" s="6" t="s">
        <v>1266</v>
      </c>
      <c r="S165" s="17"/>
      <c r="T165" s="17">
        <v>7</v>
      </c>
      <c r="U165" s="47" t="s">
        <v>1077</v>
      </c>
      <c r="V165" s="6" t="s">
        <v>2607</v>
      </c>
      <c r="W165" s="6" t="s">
        <v>1267</v>
      </c>
    </row>
    <row r="166" spans="13:23" x14ac:dyDescent="0.2">
      <c r="M166" s="17"/>
      <c r="N166" s="6">
        <v>8</v>
      </c>
      <c r="O166" s="47" t="s">
        <v>388</v>
      </c>
      <c r="P166" s="6" t="s">
        <v>2388</v>
      </c>
      <c r="Q166" s="6" t="s">
        <v>1266</v>
      </c>
      <c r="S166" s="17"/>
      <c r="T166" s="17">
        <v>7</v>
      </c>
      <c r="U166" s="47" t="s">
        <v>1079</v>
      </c>
      <c r="V166" s="6" t="s">
        <v>2608</v>
      </c>
      <c r="W166" s="6" t="s">
        <v>1267</v>
      </c>
    </row>
    <row r="167" spans="13:23" x14ac:dyDescent="0.2">
      <c r="M167" s="17"/>
      <c r="N167" s="6">
        <v>8</v>
      </c>
      <c r="O167" s="47" t="s">
        <v>389</v>
      </c>
      <c r="P167" s="6" t="s">
        <v>2389</v>
      </c>
      <c r="Q167" s="6" t="s">
        <v>1266</v>
      </c>
      <c r="S167" s="17"/>
      <c r="T167" s="17">
        <v>7</v>
      </c>
      <c r="U167" s="47" t="s">
        <v>1079</v>
      </c>
      <c r="V167" s="6" t="s">
        <v>2609</v>
      </c>
      <c r="W167" s="6" t="s">
        <v>1267</v>
      </c>
    </row>
    <row r="168" spans="13:23" x14ac:dyDescent="0.2">
      <c r="M168" s="17"/>
      <c r="N168" s="6">
        <v>8</v>
      </c>
      <c r="O168" s="47" t="s">
        <v>390</v>
      </c>
      <c r="P168" s="6" t="s">
        <v>2390</v>
      </c>
      <c r="Q168" s="6" t="s">
        <v>1266</v>
      </c>
      <c r="S168" s="17"/>
      <c r="T168" s="17">
        <v>7</v>
      </c>
      <c r="U168" s="47" t="s">
        <v>1081</v>
      </c>
      <c r="V168" s="6" t="s">
        <v>2610</v>
      </c>
      <c r="W168" s="6" t="s">
        <v>1267</v>
      </c>
    </row>
    <row r="169" spans="13:23" x14ac:dyDescent="0.2">
      <c r="M169" s="17"/>
      <c r="N169" s="6">
        <v>8</v>
      </c>
      <c r="O169" s="47" t="s">
        <v>390</v>
      </c>
      <c r="P169" s="6" t="s">
        <v>2391</v>
      </c>
      <c r="Q169" s="6" t="s">
        <v>1266</v>
      </c>
      <c r="S169" s="17"/>
      <c r="T169" s="17">
        <v>7</v>
      </c>
      <c r="U169" s="47" t="s">
        <v>1081</v>
      </c>
      <c r="V169" s="6" t="s">
        <v>2611</v>
      </c>
      <c r="W169" s="6" t="s">
        <v>1267</v>
      </c>
    </row>
    <row r="170" spans="13:23" x14ac:dyDescent="0.2">
      <c r="M170" s="17"/>
      <c r="N170" s="6">
        <v>8</v>
      </c>
      <c r="O170" s="47" t="s">
        <v>391</v>
      </c>
      <c r="P170" s="6" t="s">
        <v>2392</v>
      </c>
      <c r="Q170" s="6" t="s">
        <v>1266</v>
      </c>
      <c r="S170" s="17"/>
      <c r="T170" s="58">
        <v>7</v>
      </c>
      <c r="U170" s="57" t="s">
        <v>1083</v>
      </c>
      <c r="V170" s="55"/>
      <c r="W170" s="55" t="s">
        <v>1267</v>
      </c>
    </row>
    <row r="171" spans="13:23" x14ac:dyDescent="0.2">
      <c r="M171" s="17"/>
      <c r="N171" s="6">
        <v>8</v>
      </c>
      <c r="O171" s="47" t="s">
        <v>392</v>
      </c>
      <c r="P171" s="6" t="s">
        <v>2393</v>
      </c>
      <c r="Q171" s="6" t="s">
        <v>1266</v>
      </c>
      <c r="S171" s="17"/>
      <c r="T171" s="58">
        <v>7</v>
      </c>
      <c r="U171" s="57" t="s">
        <v>1085</v>
      </c>
      <c r="V171" s="55"/>
      <c r="W171" s="55" t="s">
        <v>1267</v>
      </c>
    </row>
    <row r="172" spans="13:23" x14ac:dyDescent="0.2">
      <c r="M172" s="17"/>
      <c r="N172" s="6">
        <v>8</v>
      </c>
      <c r="O172" s="47" t="s">
        <v>393</v>
      </c>
      <c r="P172" s="6" t="s">
        <v>2394</v>
      </c>
      <c r="Q172" s="6" t="s">
        <v>1266</v>
      </c>
      <c r="S172" s="17"/>
      <c r="T172" s="17">
        <v>7</v>
      </c>
      <c r="U172" s="47" t="s">
        <v>1087</v>
      </c>
      <c r="V172" s="6" t="s">
        <v>2612</v>
      </c>
      <c r="W172" s="6" t="s">
        <v>1267</v>
      </c>
    </row>
    <row r="173" spans="13:23" x14ac:dyDescent="0.2">
      <c r="M173" s="17"/>
      <c r="N173" s="6">
        <v>8</v>
      </c>
      <c r="O173" s="47" t="s">
        <v>394</v>
      </c>
      <c r="P173" s="6" t="s">
        <v>2395</v>
      </c>
      <c r="Q173" s="6" t="s">
        <v>1266</v>
      </c>
      <c r="S173" s="17"/>
      <c r="T173" s="17">
        <v>7</v>
      </c>
      <c r="U173" s="47" t="s">
        <v>1089</v>
      </c>
      <c r="W173" s="6" t="s">
        <v>1267</v>
      </c>
    </row>
    <row r="174" spans="13:23" x14ac:dyDescent="0.2">
      <c r="M174" s="17"/>
      <c r="N174" s="6">
        <v>8</v>
      </c>
      <c r="O174" s="47" t="s">
        <v>395</v>
      </c>
      <c r="P174" s="6" t="s">
        <v>2396</v>
      </c>
      <c r="Q174" s="6" t="s">
        <v>1266</v>
      </c>
      <c r="S174" s="17"/>
      <c r="T174" s="17">
        <v>7</v>
      </c>
      <c r="U174" s="47" t="s">
        <v>1091</v>
      </c>
      <c r="V174" s="6" t="s">
        <v>2613</v>
      </c>
      <c r="W174" s="6" t="s">
        <v>1267</v>
      </c>
    </row>
    <row r="175" spans="13:23" x14ac:dyDescent="0.2">
      <c r="M175" s="17"/>
      <c r="N175" s="6">
        <v>8</v>
      </c>
      <c r="O175" s="47" t="s">
        <v>396</v>
      </c>
      <c r="P175" s="6" t="s">
        <v>2397</v>
      </c>
      <c r="Q175" s="6" t="s">
        <v>1266</v>
      </c>
      <c r="S175" s="17"/>
      <c r="T175" s="17">
        <v>7</v>
      </c>
      <c r="U175" s="47" t="s">
        <v>1091</v>
      </c>
      <c r="V175" s="6" t="s">
        <v>2614</v>
      </c>
      <c r="W175" s="6" t="s">
        <v>1267</v>
      </c>
    </row>
    <row r="176" spans="13:23" x14ac:dyDescent="0.2">
      <c r="M176" s="17"/>
      <c r="N176" s="6">
        <v>8</v>
      </c>
      <c r="O176" s="47" t="s">
        <v>396</v>
      </c>
      <c r="P176" s="6" t="s">
        <v>2398</v>
      </c>
      <c r="Q176" s="6" t="s">
        <v>1266</v>
      </c>
      <c r="S176" s="17" t="s">
        <v>2615</v>
      </c>
      <c r="T176" s="17">
        <v>8</v>
      </c>
      <c r="U176" s="47" t="s">
        <v>1093</v>
      </c>
      <c r="V176" s="6" t="s">
        <v>2616</v>
      </c>
      <c r="W176" s="6" t="s">
        <v>1267</v>
      </c>
    </row>
    <row r="177" spans="13:23" x14ac:dyDescent="0.2">
      <c r="M177" s="17"/>
      <c r="N177" s="6">
        <v>8</v>
      </c>
      <c r="O177" s="47" t="s">
        <v>397</v>
      </c>
      <c r="Q177" s="6" t="s">
        <v>1266</v>
      </c>
      <c r="S177" s="17"/>
      <c r="T177" s="17">
        <v>8</v>
      </c>
      <c r="U177" s="47" t="s">
        <v>1093</v>
      </c>
      <c r="V177" s="6" t="s">
        <v>2617</v>
      </c>
      <c r="W177" s="6" t="s">
        <v>1267</v>
      </c>
    </row>
    <row r="178" spans="13:23" x14ac:dyDescent="0.2">
      <c r="M178" s="17"/>
      <c r="N178" s="6">
        <v>8</v>
      </c>
      <c r="O178" s="47" t="s">
        <v>398</v>
      </c>
      <c r="P178" s="6" t="s">
        <v>2399</v>
      </c>
      <c r="Q178" s="6" t="s">
        <v>1266</v>
      </c>
      <c r="S178" s="17"/>
      <c r="T178" s="17">
        <v>8</v>
      </c>
      <c r="U178" s="47" t="s">
        <v>1095</v>
      </c>
      <c r="V178" s="6" t="s">
        <v>2618</v>
      </c>
      <c r="W178" s="6" t="s">
        <v>1267</v>
      </c>
    </row>
    <row r="179" spans="13:23" x14ac:dyDescent="0.2">
      <c r="M179" s="17"/>
      <c r="N179" s="6">
        <v>8</v>
      </c>
      <c r="O179" s="47" t="s">
        <v>399</v>
      </c>
      <c r="P179" s="6" t="s">
        <v>2400</v>
      </c>
      <c r="Q179" s="6" t="s">
        <v>1266</v>
      </c>
      <c r="S179" s="17"/>
      <c r="T179" s="17">
        <v>8</v>
      </c>
      <c r="U179" s="47" t="s">
        <v>1095</v>
      </c>
      <c r="V179" s="6" t="s">
        <v>2619</v>
      </c>
      <c r="W179" s="6" t="s">
        <v>1267</v>
      </c>
    </row>
    <row r="180" spans="13:23" x14ac:dyDescent="0.2">
      <c r="M180" s="17"/>
      <c r="N180" s="6">
        <v>8</v>
      </c>
      <c r="O180" s="47" t="s">
        <v>400</v>
      </c>
      <c r="P180" s="6" t="s">
        <v>2401</v>
      </c>
      <c r="Q180" s="6" t="s">
        <v>1266</v>
      </c>
      <c r="S180" s="17"/>
      <c r="T180" s="17">
        <v>8</v>
      </c>
      <c r="U180" s="47" t="s">
        <v>1097</v>
      </c>
      <c r="V180" s="6" t="s">
        <v>2620</v>
      </c>
      <c r="W180" s="6" t="s">
        <v>1267</v>
      </c>
    </row>
    <row r="181" spans="13:23" x14ac:dyDescent="0.2">
      <c r="M181" s="17"/>
      <c r="N181" s="6">
        <v>8</v>
      </c>
      <c r="O181" s="47" t="s">
        <v>400</v>
      </c>
      <c r="P181" s="6" t="s">
        <v>2402</v>
      </c>
      <c r="Q181" s="6" t="s">
        <v>1266</v>
      </c>
      <c r="S181" s="17"/>
      <c r="T181" s="17">
        <v>8</v>
      </c>
      <c r="U181" s="47" t="s">
        <v>1097</v>
      </c>
      <c r="V181" s="6" t="s">
        <v>2621</v>
      </c>
      <c r="W181" s="6" t="s">
        <v>1267</v>
      </c>
    </row>
    <row r="182" spans="13:23" x14ac:dyDescent="0.2">
      <c r="M182" s="17"/>
      <c r="N182" s="6">
        <v>8</v>
      </c>
      <c r="O182" s="47" t="s">
        <v>401</v>
      </c>
      <c r="P182" s="6" t="s">
        <v>2403</v>
      </c>
      <c r="Q182" s="6" t="s">
        <v>1266</v>
      </c>
      <c r="S182" s="17"/>
      <c r="T182" s="17">
        <v>8</v>
      </c>
      <c r="U182" s="47" t="s">
        <v>2622</v>
      </c>
      <c r="W182" s="6" t="s">
        <v>1267</v>
      </c>
    </row>
    <row r="183" spans="13:23" x14ac:dyDescent="0.2">
      <c r="M183" s="17"/>
      <c r="N183" s="6">
        <v>8</v>
      </c>
      <c r="O183" s="47" t="s">
        <v>402</v>
      </c>
      <c r="P183" s="6" t="s">
        <v>2404</v>
      </c>
      <c r="Q183" s="6" t="s">
        <v>1266</v>
      </c>
      <c r="S183" s="17"/>
      <c r="T183" s="17">
        <v>8</v>
      </c>
      <c r="U183" s="47" t="s">
        <v>1101</v>
      </c>
      <c r="V183" s="6" t="s">
        <v>2623</v>
      </c>
      <c r="W183" s="6" t="s">
        <v>1267</v>
      </c>
    </row>
    <row r="184" spans="13:23" x14ac:dyDescent="0.2">
      <c r="M184" s="17"/>
      <c r="N184" s="6">
        <v>8</v>
      </c>
      <c r="O184" s="47" t="s">
        <v>402</v>
      </c>
      <c r="P184" s="6" t="s">
        <v>2405</v>
      </c>
      <c r="Q184" s="6" t="s">
        <v>1266</v>
      </c>
      <c r="S184" s="17"/>
      <c r="T184" s="17">
        <v>8</v>
      </c>
      <c r="U184" s="47" t="s">
        <v>1101</v>
      </c>
      <c r="V184" s="6" t="s">
        <v>2624</v>
      </c>
      <c r="W184" s="6" t="s">
        <v>1267</v>
      </c>
    </row>
    <row r="185" spans="13:23" x14ac:dyDescent="0.2">
      <c r="M185" s="17"/>
      <c r="N185" s="6">
        <v>8</v>
      </c>
      <c r="O185" s="47" t="s">
        <v>402</v>
      </c>
      <c r="P185" s="6" t="s">
        <v>2406</v>
      </c>
      <c r="Q185" s="6" t="s">
        <v>1266</v>
      </c>
      <c r="S185" s="17"/>
      <c r="T185" s="58">
        <v>8</v>
      </c>
      <c r="U185" s="57" t="s">
        <v>1105</v>
      </c>
      <c r="V185" s="55"/>
      <c r="W185" s="55" t="s">
        <v>1267</v>
      </c>
    </row>
    <row r="186" spans="13:23" x14ac:dyDescent="0.2">
      <c r="M186" s="17"/>
      <c r="N186" s="6">
        <v>8</v>
      </c>
      <c r="O186" s="47" t="s">
        <v>404</v>
      </c>
      <c r="P186" s="6" t="s">
        <v>2407</v>
      </c>
      <c r="Q186" s="6" t="s">
        <v>1266</v>
      </c>
      <c r="S186" s="17"/>
      <c r="T186" s="17">
        <v>8</v>
      </c>
      <c r="U186" s="47" t="s">
        <v>2625</v>
      </c>
      <c r="V186" s="6" t="s">
        <v>2626</v>
      </c>
      <c r="W186" s="6" t="s">
        <v>1267</v>
      </c>
    </row>
    <row r="187" spans="13:23" x14ac:dyDescent="0.2">
      <c r="M187" s="17"/>
      <c r="N187" s="6">
        <v>8</v>
      </c>
      <c r="O187" s="47" t="s">
        <v>404</v>
      </c>
      <c r="P187" s="6" t="s">
        <v>2408</v>
      </c>
      <c r="Q187" s="6" t="s">
        <v>1266</v>
      </c>
      <c r="S187" s="17"/>
      <c r="T187" s="17">
        <v>8</v>
      </c>
      <c r="U187" s="47" t="s">
        <v>1107</v>
      </c>
      <c r="V187" s="6" t="s">
        <v>2627</v>
      </c>
      <c r="W187" s="6" t="s">
        <v>1267</v>
      </c>
    </row>
    <row r="188" spans="13:23" x14ac:dyDescent="0.2">
      <c r="M188" s="17" t="s">
        <v>10</v>
      </c>
      <c r="N188" s="6">
        <v>9</v>
      </c>
      <c r="O188" s="47" t="s">
        <v>405</v>
      </c>
      <c r="P188" s="6" t="s">
        <v>2409</v>
      </c>
      <c r="Q188" s="6" t="s">
        <v>1266</v>
      </c>
      <c r="S188" s="17" t="s">
        <v>2628</v>
      </c>
      <c r="T188" s="17">
        <v>9</v>
      </c>
      <c r="U188" s="47" t="s">
        <v>2629</v>
      </c>
      <c r="W188" s="6" t="s">
        <v>1267</v>
      </c>
    </row>
    <row r="189" spans="13:23" x14ac:dyDescent="0.2">
      <c r="M189" s="17"/>
      <c r="N189" s="6">
        <v>9</v>
      </c>
      <c r="O189" s="47" t="s">
        <v>406</v>
      </c>
      <c r="P189" s="6" t="s">
        <v>2410</v>
      </c>
      <c r="Q189" s="6" t="s">
        <v>1266</v>
      </c>
      <c r="S189" s="17"/>
      <c r="T189" s="17">
        <v>9</v>
      </c>
      <c r="U189" s="47" t="s">
        <v>1111</v>
      </c>
      <c r="V189" s="6" t="s">
        <v>2630</v>
      </c>
      <c r="W189" s="6" t="s">
        <v>1267</v>
      </c>
    </row>
    <row r="190" spans="13:23" x14ac:dyDescent="0.2">
      <c r="M190" s="17"/>
      <c r="N190" s="6">
        <v>9</v>
      </c>
      <c r="O190" s="47" t="s">
        <v>406</v>
      </c>
      <c r="P190" s="6" t="s">
        <v>2411</v>
      </c>
      <c r="Q190" s="6" t="s">
        <v>1266</v>
      </c>
      <c r="S190" s="17"/>
      <c r="T190" s="17">
        <v>9</v>
      </c>
      <c r="U190" s="47" t="s">
        <v>1111</v>
      </c>
      <c r="V190" s="6" t="s">
        <v>2631</v>
      </c>
      <c r="W190" s="6" t="s">
        <v>1267</v>
      </c>
    </row>
    <row r="191" spans="13:23" x14ac:dyDescent="0.2">
      <c r="M191" s="17"/>
      <c r="N191" s="6">
        <v>9</v>
      </c>
      <c r="O191" s="47" t="s">
        <v>407</v>
      </c>
      <c r="P191" s="6" t="s">
        <v>2412</v>
      </c>
      <c r="Q191" s="6" t="s">
        <v>1266</v>
      </c>
      <c r="S191" s="17"/>
      <c r="T191" s="17">
        <v>9</v>
      </c>
      <c r="U191" s="47" t="s">
        <v>1113</v>
      </c>
      <c r="V191" s="6" t="s">
        <v>2632</v>
      </c>
      <c r="W191" s="6" t="s">
        <v>1267</v>
      </c>
    </row>
    <row r="192" spans="13:23" x14ac:dyDescent="0.2">
      <c r="M192" s="17"/>
      <c r="N192" s="6">
        <v>9</v>
      </c>
      <c r="O192" s="47" t="s">
        <v>408</v>
      </c>
      <c r="P192" s="6" t="s">
        <v>2413</v>
      </c>
      <c r="Q192" s="6" t="s">
        <v>1266</v>
      </c>
      <c r="S192" s="17"/>
      <c r="T192" s="17">
        <v>9</v>
      </c>
      <c r="U192" s="47" t="s">
        <v>1113</v>
      </c>
      <c r="V192" s="6" t="s">
        <v>2633</v>
      </c>
      <c r="W192" s="6" t="s">
        <v>1267</v>
      </c>
    </row>
    <row r="193" spans="13:23" x14ac:dyDescent="0.2">
      <c r="M193" s="17"/>
      <c r="N193" s="6">
        <v>9</v>
      </c>
      <c r="O193" s="47" t="s">
        <v>408</v>
      </c>
      <c r="P193" s="6" t="s">
        <v>2414</v>
      </c>
      <c r="Q193" s="6" t="s">
        <v>1266</v>
      </c>
      <c r="S193" s="17"/>
      <c r="T193" s="17">
        <v>9</v>
      </c>
      <c r="U193" s="47" t="s">
        <v>1115</v>
      </c>
      <c r="V193" s="6" t="s">
        <v>2634</v>
      </c>
      <c r="W193" s="6" t="s">
        <v>1267</v>
      </c>
    </row>
    <row r="194" spans="13:23" x14ac:dyDescent="0.2">
      <c r="M194" s="17"/>
      <c r="N194" s="6">
        <v>9</v>
      </c>
      <c r="O194" s="47" t="s">
        <v>409</v>
      </c>
      <c r="P194" s="6" t="s">
        <v>2415</v>
      </c>
      <c r="Q194" s="6" t="s">
        <v>1266</v>
      </c>
      <c r="S194" s="17"/>
      <c r="T194" s="17">
        <v>9</v>
      </c>
      <c r="U194" s="47" t="s">
        <v>1117</v>
      </c>
      <c r="V194" s="6" t="s">
        <v>2635</v>
      </c>
      <c r="W194" s="6" t="s">
        <v>1267</v>
      </c>
    </row>
    <row r="195" spans="13:23" x14ac:dyDescent="0.2">
      <c r="M195" s="17"/>
      <c r="N195" s="6">
        <v>9</v>
      </c>
      <c r="O195" s="47" t="s">
        <v>409</v>
      </c>
      <c r="P195" s="6" t="s">
        <v>2416</v>
      </c>
      <c r="Q195" s="6" t="s">
        <v>1266</v>
      </c>
      <c r="S195" s="17"/>
      <c r="T195" s="17">
        <v>9</v>
      </c>
      <c r="U195" s="47" t="s">
        <v>1119</v>
      </c>
      <c r="V195" s="6" t="s">
        <v>2636</v>
      </c>
      <c r="W195" s="6" t="s">
        <v>1267</v>
      </c>
    </row>
    <row r="196" spans="13:23" x14ac:dyDescent="0.2">
      <c r="M196" s="17"/>
      <c r="N196" s="6">
        <v>9</v>
      </c>
      <c r="O196" s="47" t="s">
        <v>410</v>
      </c>
      <c r="P196" s="6" t="s">
        <v>2417</v>
      </c>
      <c r="Q196" s="6" t="s">
        <v>1266</v>
      </c>
      <c r="S196" s="17"/>
      <c r="T196" s="17">
        <v>9</v>
      </c>
      <c r="U196" s="47" t="s">
        <v>1121</v>
      </c>
      <c r="V196" s="6" t="s">
        <v>2637</v>
      </c>
      <c r="W196" s="6" t="s">
        <v>1267</v>
      </c>
    </row>
    <row r="197" spans="13:23" x14ac:dyDescent="0.2">
      <c r="M197" s="17"/>
      <c r="N197" s="6">
        <v>9</v>
      </c>
      <c r="O197" s="47" t="s">
        <v>411</v>
      </c>
      <c r="P197" s="6" t="s">
        <v>2418</v>
      </c>
      <c r="Q197" s="6" t="s">
        <v>1266</v>
      </c>
      <c r="S197" s="17"/>
      <c r="T197" s="17">
        <v>9</v>
      </c>
      <c r="U197" s="47" t="s">
        <v>1123</v>
      </c>
      <c r="V197" s="6" t="s">
        <v>2638</v>
      </c>
      <c r="W197" s="6" t="s">
        <v>1267</v>
      </c>
    </row>
    <row r="198" spans="13:23" x14ac:dyDescent="0.2">
      <c r="M198" s="17"/>
      <c r="N198" s="6">
        <v>9</v>
      </c>
      <c r="O198" s="47" t="s">
        <v>411</v>
      </c>
      <c r="P198" s="6" t="s">
        <v>2419</v>
      </c>
      <c r="Q198" s="6" t="s">
        <v>1266</v>
      </c>
      <c r="S198" s="17"/>
      <c r="T198" s="58">
        <v>9</v>
      </c>
      <c r="U198" s="57" t="s">
        <v>1125</v>
      </c>
      <c r="V198" s="55"/>
      <c r="W198" s="55" t="s">
        <v>1267</v>
      </c>
    </row>
    <row r="199" spans="13:23" x14ac:dyDescent="0.2">
      <c r="M199" s="17"/>
      <c r="N199" s="6">
        <v>9</v>
      </c>
      <c r="O199" s="47" t="s">
        <v>412</v>
      </c>
      <c r="P199" s="6" t="s">
        <v>2420</v>
      </c>
      <c r="Q199" s="6" t="s">
        <v>1266</v>
      </c>
    </row>
    <row r="200" spans="13:23" x14ac:dyDescent="0.2">
      <c r="M200" s="17"/>
      <c r="N200" s="6">
        <v>9</v>
      </c>
      <c r="O200" s="47" t="s">
        <v>412</v>
      </c>
      <c r="P200" s="6" t="s">
        <v>2421</v>
      </c>
      <c r="Q200" s="6" t="s">
        <v>1266</v>
      </c>
    </row>
    <row r="201" spans="13:23" x14ac:dyDescent="0.2">
      <c r="M201" s="17"/>
      <c r="N201" s="6">
        <v>9</v>
      </c>
      <c r="O201" s="47" t="s">
        <v>413</v>
      </c>
      <c r="P201" s="6" t="s">
        <v>2422</v>
      </c>
      <c r="Q201" s="6" t="s">
        <v>1266</v>
      </c>
    </row>
    <row r="202" spans="13:23" x14ac:dyDescent="0.2">
      <c r="M202" s="17"/>
      <c r="N202" s="6">
        <v>9</v>
      </c>
      <c r="O202" s="47" t="s">
        <v>414</v>
      </c>
      <c r="P202" s="6" t="s">
        <v>2423</v>
      </c>
      <c r="Q202" s="6" t="s">
        <v>1266</v>
      </c>
    </row>
    <row r="203" spans="13:23" x14ac:dyDescent="0.2">
      <c r="M203" s="17"/>
      <c r="N203" s="6">
        <v>9</v>
      </c>
      <c r="O203" s="47" t="s">
        <v>414</v>
      </c>
      <c r="P203" s="6" t="s">
        <v>2424</v>
      </c>
      <c r="Q203" s="6" t="s">
        <v>1266</v>
      </c>
    </row>
    <row r="204" spans="13:23" x14ac:dyDescent="0.2">
      <c r="M204" s="17"/>
      <c r="N204" s="6">
        <v>9</v>
      </c>
      <c r="O204" s="47" t="s">
        <v>415</v>
      </c>
      <c r="P204" s="6" t="s">
        <v>2425</v>
      </c>
      <c r="Q204" s="6" t="s">
        <v>1266</v>
      </c>
    </row>
    <row r="205" spans="13:23" x14ac:dyDescent="0.2">
      <c r="M205" s="17"/>
      <c r="N205" s="6">
        <v>9</v>
      </c>
      <c r="O205" s="47" t="s">
        <v>416</v>
      </c>
      <c r="P205" s="6" t="s">
        <v>2426</v>
      </c>
      <c r="Q205" s="6" t="s">
        <v>1266</v>
      </c>
    </row>
    <row r="206" spans="13:23" x14ac:dyDescent="0.2">
      <c r="M206" s="17"/>
      <c r="N206" s="6">
        <v>9</v>
      </c>
      <c r="O206" s="47" t="s">
        <v>417</v>
      </c>
      <c r="Q206" s="6" t="s">
        <v>1266</v>
      </c>
    </row>
    <row r="207" spans="13:23" x14ac:dyDescent="0.2">
      <c r="M207" s="17"/>
      <c r="N207" s="6">
        <v>9</v>
      </c>
      <c r="O207" s="47" t="s">
        <v>2427</v>
      </c>
      <c r="Q207" s="6" t="s">
        <v>1266</v>
      </c>
    </row>
    <row r="208" spans="13:23" x14ac:dyDescent="0.2">
      <c r="M208" s="17"/>
      <c r="N208" s="6">
        <v>9</v>
      </c>
      <c r="O208" s="47" t="s">
        <v>2428</v>
      </c>
      <c r="Q208" s="6" t="s">
        <v>1266</v>
      </c>
    </row>
    <row r="209" spans="13:17" x14ac:dyDescent="0.2">
      <c r="M209" s="17"/>
      <c r="N209" s="6">
        <v>9</v>
      </c>
      <c r="O209" s="47" t="s">
        <v>419</v>
      </c>
      <c r="P209" s="6" t="s">
        <v>2429</v>
      </c>
      <c r="Q209" s="6" t="s">
        <v>1266</v>
      </c>
    </row>
    <row r="210" spans="13:17" x14ac:dyDescent="0.2">
      <c r="M210" s="17" t="s">
        <v>11</v>
      </c>
      <c r="N210" s="6">
        <v>10</v>
      </c>
      <c r="O210" s="47" t="s">
        <v>2430</v>
      </c>
      <c r="Q210" s="6" t="s">
        <v>1266</v>
      </c>
    </row>
    <row r="211" spans="13:17" x14ac:dyDescent="0.2">
      <c r="M211" s="17"/>
      <c r="N211" s="6">
        <v>10</v>
      </c>
      <c r="O211" s="47" t="s">
        <v>2431</v>
      </c>
      <c r="Q211" s="6" t="s">
        <v>1266</v>
      </c>
    </row>
    <row r="212" spans="13:17" x14ac:dyDescent="0.2">
      <c r="M212" s="17"/>
      <c r="N212" s="6">
        <v>10</v>
      </c>
      <c r="O212" s="47" t="s">
        <v>422</v>
      </c>
      <c r="P212" s="6" t="s">
        <v>2432</v>
      </c>
      <c r="Q212" s="6" t="s">
        <v>1266</v>
      </c>
    </row>
    <row r="213" spans="13:17" x14ac:dyDescent="0.2">
      <c r="M213" s="17"/>
      <c r="N213" s="6">
        <v>10</v>
      </c>
      <c r="O213" s="47" t="s">
        <v>2433</v>
      </c>
      <c r="Q213" s="6" t="s">
        <v>1266</v>
      </c>
    </row>
    <row r="214" spans="13:17" x14ac:dyDescent="0.2">
      <c r="M214" s="17"/>
      <c r="N214" s="6">
        <v>10</v>
      </c>
      <c r="O214" s="47" t="s">
        <v>424</v>
      </c>
      <c r="P214" s="6" t="s">
        <v>2434</v>
      </c>
      <c r="Q214" s="6" t="s">
        <v>1266</v>
      </c>
    </row>
    <row r="215" spans="13:17" x14ac:dyDescent="0.2">
      <c r="M215" s="17"/>
      <c r="N215" s="6">
        <v>10</v>
      </c>
      <c r="O215" s="47" t="s">
        <v>425</v>
      </c>
      <c r="P215" s="6" t="s">
        <v>2435</v>
      </c>
      <c r="Q215" s="6" t="s">
        <v>1266</v>
      </c>
    </row>
    <row r="216" spans="13:17" x14ac:dyDescent="0.2">
      <c r="M216" s="17"/>
      <c r="N216" s="6">
        <v>10</v>
      </c>
      <c r="O216" s="47" t="s">
        <v>426</v>
      </c>
      <c r="P216" s="6" t="s">
        <v>2436</v>
      </c>
      <c r="Q216" s="6" t="s">
        <v>1266</v>
      </c>
    </row>
    <row r="217" spans="13:17" x14ac:dyDescent="0.2">
      <c r="M217" s="17"/>
      <c r="N217" s="6">
        <v>10</v>
      </c>
      <c r="O217" s="47" t="s">
        <v>427</v>
      </c>
      <c r="P217" s="6" t="s">
        <v>2437</v>
      </c>
      <c r="Q217" s="6" t="s">
        <v>1266</v>
      </c>
    </row>
    <row r="218" spans="13:17" x14ac:dyDescent="0.2">
      <c r="M218" s="17"/>
      <c r="N218" s="6">
        <v>10</v>
      </c>
      <c r="O218" s="47" t="s">
        <v>427</v>
      </c>
      <c r="P218" s="6" t="s">
        <v>2438</v>
      </c>
      <c r="Q218" s="6" t="s">
        <v>1266</v>
      </c>
    </row>
    <row r="219" spans="13:17" x14ac:dyDescent="0.2">
      <c r="M219" s="17"/>
      <c r="N219" s="6">
        <v>10</v>
      </c>
      <c r="O219" s="47" t="s">
        <v>428</v>
      </c>
      <c r="P219" s="6" t="s">
        <v>2439</v>
      </c>
      <c r="Q219" s="6" t="s">
        <v>1266</v>
      </c>
    </row>
    <row r="220" spans="13:17" x14ac:dyDescent="0.2">
      <c r="M220" s="17"/>
      <c r="N220" s="6">
        <v>10</v>
      </c>
      <c r="O220" s="47" t="s">
        <v>428</v>
      </c>
      <c r="P220" s="6" t="s">
        <v>2440</v>
      </c>
      <c r="Q220" s="6" t="s">
        <v>1266</v>
      </c>
    </row>
    <row r="221" spans="13:17" x14ac:dyDescent="0.2">
      <c r="M221" s="17"/>
      <c r="N221" s="6">
        <v>10</v>
      </c>
      <c r="O221" s="47" t="s">
        <v>429</v>
      </c>
      <c r="P221" s="6" t="s">
        <v>2441</v>
      </c>
      <c r="Q221" s="6" t="s">
        <v>1266</v>
      </c>
    </row>
    <row r="222" spans="13:17" x14ac:dyDescent="0.2">
      <c r="M222" s="17"/>
      <c r="N222" s="6">
        <v>10</v>
      </c>
      <c r="O222" s="47" t="s">
        <v>429</v>
      </c>
      <c r="P222" s="6" t="s">
        <v>2442</v>
      </c>
      <c r="Q222" s="6" t="s">
        <v>1266</v>
      </c>
    </row>
    <row r="223" spans="13:17" x14ac:dyDescent="0.2">
      <c r="M223" s="17"/>
      <c r="N223" s="6">
        <v>10</v>
      </c>
      <c r="O223" s="47" t="s">
        <v>430</v>
      </c>
      <c r="P223" s="6" t="s">
        <v>2443</v>
      </c>
      <c r="Q223" s="6" t="s">
        <v>1266</v>
      </c>
    </row>
  </sheetData>
  <mergeCells count="4">
    <mergeCell ref="A1:E1"/>
    <mergeCell ref="G1:K1"/>
    <mergeCell ref="M1:Q1"/>
    <mergeCell ref="S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tabColor rgb="FF7030A0"/>
  </sheetPr>
  <dimension ref="A1:S26"/>
  <sheetViews>
    <sheetView zoomScale="69" zoomScaleNormal="69" zoomScalePageLayoutView="69" workbookViewId="0">
      <selection activeCell="A2" sqref="A2"/>
    </sheetView>
  </sheetViews>
  <sheetFormatPr baseColWidth="10" defaultRowHeight="15" x14ac:dyDescent="0.2"/>
  <cols>
    <col min="1" max="1" width="17.5" customWidth="1"/>
    <col min="2" max="2" width="5.83203125" customWidth="1"/>
    <col min="3" max="3" width="15.1640625" customWidth="1"/>
    <col min="4" max="4" width="14.33203125" customWidth="1"/>
    <col min="6" max="6" width="14.5" customWidth="1"/>
    <col min="7" max="7" width="7.1640625" customWidth="1"/>
    <col min="8" max="8" width="17.33203125" customWidth="1"/>
    <col min="9" max="9" width="14.33203125" customWidth="1"/>
    <col min="11" max="11" width="14.6640625" customWidth="1"/>
    <col min="12" max="12" width="6.33203125" customWidth="1"/>
    <col min="13" max="13" width="16" customWidth="1"/>
    <col min="14" max="14" width="16.1640625" customWidth="1"/>
    <col min="16" max="16" width="16" customWidth="1"/>
    <col min="17" max="17" width="6.83203125" customWidth="1"/>
    <col min="18" max="18" width="15.5" customWidth="1"/>
    <col min="19" max="19" width="15" customWidth="1"/>
  </cols>
  <sheetData>
    <row r="1" spans="1:19" s="17" customFormat="1" x14ac:dyDescent="0.2">
      <c r="A1" s="27" t="s">
        <v>1</v>
      </c>
      <c r="B1" s="27"/>
      <c r="C1" s="27" t="s">
        <v>1974</v>
      </c>
      <c r="D1" s="27" t="s">
        <v>259</v>
      </c>
      <c r="F1" s="27" t="s">
        <v>1</v>
      </c>
      <c r="G1" s="27"/>
      <c r="H1" s="27" t="s">
        <v>1974</v>
      </c>
      <c r="I1" s="27" t="s">
        <v>259</v>
      </c>
      <c r="K1" s="27" t="s">
        <v>1</v>
      </c>
      <c r="L1" s="27"/>
      <c r="M1" s="27" t="s">
        <v>1974</v>
      </c>
      <c r="N1" s="27" t="s">
        <v>259</v>
      </c>
      <c r="P1" s="27" t="s">
        <v>1</v>
      </c>
      <c r="Q1" s="27"/>
      <c r="R1" s="27" t="s">
        <v>1974</v>
      </c>
      <c r="S1" s="27" t="s">
        <v>259</v>
      </c>
    </row>
    <row r="2" spans="1:19" x14ac:dyDescent="0.2">
      <c r="A2" s="36">
        <v>42109</v>
      </c>
      <c r="B2" s="22"/>
      <c r="C2" s="31">
        <v>1</v>
      </c>
      <c r="D2" s="22">
        <v>1</v>
      </c>
      <c r="F2" s="36">
        <v>42207</v>
      </c>
      <c r="G2" s="22"/>
      <c r="H2" s="22">
        <v>1</v>
      </c>
      <c r="I2" s="22">
        <v>2</v>
      </c>
      <c r="K2" s="36">
        <v>42298</v>
      </c>
      <c r="L2" s="22"/>
      <c r="M2" s="22">
        <v>1</v>
      </c>
      <c r="N2" s="22">
        <v>3</v>
      </c>
      <c r="P2" s="36">
        <v>42389</v>
      </c>
      <c r="Q2" s="22"/>
      <c r="R2" s="22">
        <v>1</v>
      </c>
      <c r="S2" s="22">
        <v>4</v>
      </c>
    </row>
    <row r="3" spans="1:19" x14ac:dyDescent="0.2">
      <c r="A3" s="36">
        <v>42116</v>
      </c>
      <c r="B3" s="22"/>
      <c r="C3" s="31">
        <v>1</v>
      </c>
      <c r="D3" s="22">
        <f>D2</f>
        <v>1</v>
      </c>
      <c r="F3" s="36">
        <v>42214</v>
      </c>
      <c r="G3" s="22"/>
      <c r="H3" s="22">
        <v>1</v>
      </c>
      <c r="I3" s="22">
        <f>I2</f>
        <v>2</v>
      </c>
      <c r="K3" s="36">
        <v>42305</v>
      </c>
      <c r="L3" s="22"/>
      <c r="M3" s="22">
        <v>1</v>
      </c>
      <c r="N3" s="22">
        <f>N2</f>
        <v>3</v>
      </c>
      <c r="P3" s="36">
        <v>42396</v>
      </c>
      <c r="Q3" s="22"/>
      <c r="R3" s="22">
        <v>1</v>
      </c>
      <c r="S3" s="22">
        <f>S2</f>
        <v>4</v>
      </c>
    </row>
    <row r="4" spans="1:19" x14ac:dyDescent="0.2">
      <c r="A4" s="36">
        <v>42130</v>
      </c>
      <c r="B4" s="22"/>
      <c r="C4" s="31">
        <v>1</v>
      </c>
      <c r="D4" s="22">
        <f>D2</f>
        <v>1</v>
      </c>
      <c r="F4" s="36">
        <v>42221</v>
      </c>
      <c r="G4" s="22"/>
      <c r="H4" s="22">
        <v>1</v>
      </c>
      <c r="I4" s="22">
        <f>I2</f>
        <v>2</v>
      </c>
      <c r="K4" s="36">
        <v>42312</v>
      </c>
      <c r="L4" s="22"/>
      <c r="M4" s="22">
        <v>1</v>
      </c>
      <c r="N4" s="22">
        <f>N2</f>
        <v>3</v>
      </c>
      <c r="P4" s="36">
        <v>42410</v>
      </c>
      <c r="Q4" s="22"/>
      <c r="R4" s="22">
        <v>1</v>
      </c>
      <c r="S4" s="22">
        <f>S2</f>
        <v>4</v>
      </c>
    </row>
    <row r="5" spans="1:19" x14ac:dyDescent="0.2">
      <c r="A5" s="36">
        <v>42137</v>
      </c>
      <c r="B5" s="22"/>
      <c r="C5" s="31">
        <v>1</v>
      </c>
      <c r="D5" s="22">
        <f>D2</f>
        <v>1</v>
      </c>
      <c r="F5" s="36">
        <v>42228</v>
      </c>
      <c r="G5" s="22"/>
      <c r="H5" s="22">
        <v>1</v>
      </c>
      <c r="I5" s="22">
        <f>I2</f>
        <v>2</v>
      </c>
      <c r="K5" s="36">
        <v>42319</v>
      </c>
      <c r="L5" s="22"/>
      <c r="M5" s="22">
        <v>1</v>
      </c>
      <c r="N5" s="22">
        <f>N2</f>
        <v>3</v>
      </c>
      <c r="P5" s="36">
        <v>42417</v>
      </c>
      <c r="Q5" s="22"/>
      <c r="R5" s="22">
        <v>1</v>
      </c>
      <c r="S5" s="22">
        <f>S2</f>
        <v>4</v>
      </c>
    </row>
    <row r="6" spans="1:19" x14ac:dyDescent="0.2">
      <c r="A6" s="36">
        <v>42144</v>
      </c>
      <c r="B6" s="22"/>
      <c r="C6" s="31">
        <v>1</v>
      </c>
      <c r="D6" s="22">
        <f>D2</f>
        <v>1</v>
      </c>
      <c r="F6" s="36">
        <v>42235</v>
      </c>
      <c r="G6" s="22"/>
      <c r="H6" s="22">
        <v>1</v>
      </c>
      <c r="I6" s="22">
        <f>I2</f>
        <v>2</v>
      </c>
      <c r="K6" s="36">
        <v>42333</v>
      </c>
      <c r="L6" s="22"/>
      <c r="M6" s="22">
        <v>1</v>
      </c>
      <c r="N6" s="22">
        <f>N2</f>
        <v>3</v>
      </c>
      <c r="P6" s="36">
        <v>42424</v>
      </c>
      <c r="Q6" s="22"/>
      <c r="R6" s="22">
        <v>1</v>
      </c>
      <c r="S6" s="22">
        <f>S2</f>
        <v>4</v>
      </c>
    </row>
    <row r="7" spans="1:19" x14ac:dyDescent="0.2">
      <c r="A7" s="37">
        <v>42113</v>
      </c>
      <c r="B7" s="23"/>
      <c r="C7" s="32">
        <v>2</v>
      </c>
      <c r="D7" s="23">
        <f>D2</f>
        <v>1</v>
      </c>
      <c r="F7" s="37">
        <v>42211</v>
      </c>
      <c r="G7" s="23"/>
      <c r="H7" s="23">
        <v>2</v>
      </c>
      <c r="I7" s="23">
        <f>I2</f>
        <v>2</v>
      </c>
      <c r="K7" s="37">
        <v>42302</v>
      </c>
      <c r="L7" s="23"/>
      <c r="M7" s="23">
        <v>2</v>
      </c>
      <c r="N7" s="23">
        <f>N2</f>
        <v>3</v>
      </c>
      <c r="P7" s="37">
        <v>42393</v>
      </c>
      <c r="Q7" s="23"/>
      <c r="R7" s="23">
        <v>2</v>
      </c>
      <c r="S7" s="23">
        <f>S2</f>
        <v>4</v>
      </c>
    </row>
    <row r="8" spans="1:19" x14ac:dyDescent="0.2">
      <c r="A8" s="37">
        <v>42120</v>
      </c>
      <c r="B8" s="23"/>
      <c r="C8" s="32">
        <v>2</v>
      </c>
      <c r="D8" s="23">
        <v>1</v>
      </c>
      <c r="F8" s="37">
        <v>42218</v>
      </c>
      <c r="G8" s="23"/>
      <c r="H8" s="23">
        <v>2</v>
      </c>
      <c r="I8" s="23">
        <f>I2</f>
        <v>2</v>
      </c>
      <c r="K8" s="37">
        <v>42309</v>
      </c>
      <c r="L8" s="23"/>
      <c r="M8" s="23">
        <v>2</v>
      </c>
      <c r="N8" s="23">
        <f>N2</f>
        <v>3</v>
      </c>
      <c r="P8" s="37">
        <v>42400</v>
      </c>
      <c r="Q8" s="23"/>
      <c r="R8" s="23">
        <v>2</v>
      </c>
      <c r="S8" s="23">
        <f>S2</f>
        <v>4</v>
      </c>
    </row>
    <row r="9" spans="1:19" x14ac:dyDescent="0.2">
      <c r="A9" s="37">
        <v>42134</v>
      </c>
      <c r="B9" s="23"/>
      <c r="C9" s="32">
        <v>2</v>
      </c>
      <c r="D9" s="23">
        <f>D2</f>
        <v>1</v>
      </c>
      <c r="F9" s="37">
        <v>42225</v>
      </c>
      <c r="G9" s="23"/>
      <c r="H9" s="23">
        <v>2</v>
      </c>
      <c r="I9" s="23">
        <f>I2</f>
        <v>2</v>
      </c>
      <c r="K9" s="37">
        <v>42316</v>
      </c>
      <c r="L9" s="23"/>
      <c r="M9" s="23">
        <v>2</v>
      </c>
      <c r="N9" s="23">
        <f>N2</f>
        <v>3</v>
      </c>
      <c r="P9" s="37">
        <v>42414</v>
      </c>
      <c r="Q9" s="23"/>
      <c r="R9" s="23">
        <v>2</v>
      </c>
      <c r="S9" s="23">
        <f>S2</f>
        <v>4</v>
      </c>
    </row>
    <row r="10" spans="1:19" x14ac:dyDescent="0.2">
      <c r="A10" s="37">
        <v>42141</v>
      </c>
      <c r="B10" s="23"/>
      <c r="C10" s="32">
        <v>2</v>
      </c>
      <c r="D10" s="23">
        <f>D2</f>
        <v>1</v>
      </c>
      <c r="F10" s="37">
        <v>42232</v>
      </c>
      <c r="G10" s="23"/>
      <c r="H10" s="23">
        <v>2</v>
      </c>
      <c r="I10" s="23">
        <f>I2</f>
        <v>2</v>
      </c>
      <c r="K10" s="37">
        <v>42323</v>
      </c>
      <c r="L10" s="23"/>
      <c r="M10" s="23">
        <v>2</v>
      </c>
      <c r="N10" s="23">
        <f>N2</f>
        <v>3</v>
      </c>
      <c r="P10" s="37">
        <v>42421</v>
      </c>
      <c r="Q10" s="23"/>
      <c r="R10" s="23">
        <v>2</v>
      </c>
      <c r="S10" s="23">
        <f>S2</f>
        <v>4</v>
      </c>
    </row>
    <row r="11" spans="1:19" x14ac:dyDescent="0.2">
      <c r="A11" s="37">
        <v>42148</v>
      </c>
      <c r="B11" s="23"/>
      <c r="C11" s="32">
        <v>2</v>
      </c>
      <c r="D11" s="23">
        <f>D2</f>
        <v>1</v>
      </c>
      <c r="F11" s="37">
        <v>42239</v>
      </c>
      <c r="G11" s="23"/>
      <c r="H11" s="23">
        <v>2</v>
      </c>
      <c r="I11" s="23">
        <f>I2</f>
        <v>2</v>
      </c>
      <c r="K11" s="37">
        <v>42337</v>
      </c>
      <c r="L11" s="23"/>
      <c r="M11" s="23">
        <v>2</v>
      </c>
      <c r="N11" s="23">
        <f>N2</f>
        <v>3</v>
      </c>
      <c r="P11" s="37">
        <v>42428</v>
      </c>
      <c r="Q11" s="23"/>
      <c r="R11" s="23">
        <v>2</v>
      </c>
      <c r="S11" s="23">
        <f>S2</f>
        <v>4</v>
      </c>
    </row>
    <row r="12" spans="1:19" x14ac:dyDescent="0.2">
      <c r="A12" s="38">
        <v>42112</v>
      </c>
      <c r="B12" s="26"/>
      <c r="C12" s="33">
        <v>3</v>
      </c>
      <c r="D12" s="26">
        <f>D2</f>
        <v>1</v>
      </c>
      <c r="F12" s="38">
        <v>42210</v>
      </c>
      <c r="G12" s="26"/>
      <c r="H12" s="26">
        <v>3</v>
      </c>
      <c r="I12" s="26">
        <f>I2</f>
        <v>2</v>
      </c>
      <c r="K12" s="38">
        <v>42301</v>
      </c>
      <c r="L12" s="26"/>
      <c r="M12" s="26">
        <v>3</v>
      </c>
      <c r="N12" s="26">
        <f>N2</f>
        <v>3</v>
      </c>
      <c r="P12" s="38">
        <v>42392</v>
      </c>
      <c r="Q12" s="26"/>
      <c r="R12" s="26">
        <v>3</v>
      </c>
      <c r="S12" s="26">
        <f>S2</f>
        <v>4</v>
      </c>
    </row>
    <row r="13" spans="1:19" x14ac:dyDescent="0.2">
      <c r="A13" s="38">
        <v>42119</v>
      </c>
      <c r="B13" s="26"/>
      <c r="C13" s="33">
        <v>3</v>
      </c>
      <c r="D13" s="26">
        <f>D2</f>
        <v>1</v>
      </c>
      <c r="F13" s="38">
        <v>42217</v>
      </c>
      <c r="G13" s="26"/>
      <c r="H13" s="26">
        <v>3</v>
      </c>
      <c r="I13" s="26">
        <f>I2</f>
        <v>2</v>
      </c>
      <c r="K13" s="38">
        <v>42308</v>
      </c>
      <c r="L13" s="26"/>
      <c r="M13" s="26">
        <v>3</v>
      </c>
      <c r="N13" s="26">
        <f>N2</f>
        <v>3</v>
      </c>
      <c r="P13" s="38">
        <v>42399</v>
      </c>
      <c r="Q13" s="26"/>
      <c r="R13" s="26">
        <v>3</v>
      </c>
      <c r="S13" s="26">
        <f>S2</f>
        <v>4</v>
      </c>
    </row>
    <row r="14" spans="1:19" x14ac:dyDescent="0.2">
      <c r="A14" s="38">
        <v>42133</v>
      </c>
      <c r="B14" s="26"/>
      <c r="C14" s="33">
        <v>3</v>
      </c>
      <c r="D14" s="26">
        <f>D2</f>
        <v>1</v>
      </c>
      <c r="F14" s="38">
        <v>42224</v>
      </c>
      <c r="G14" s="26"/>
      <c r="H14" s="26">
        <v>3</v>
      </c>
      <c r="I14" s="26">
        <f>I2</f>
        <v>2</v>
      </c>
      <c r="K14" s="38">
        <v>42315</v>
      </c>
      <c r="L14" s="26"/>
      <c r="M14" s="26">
        <v>3</v>
      </c>
      <c r="N14" s="26">
        <f>N2</f>
        <v>3</v>
      </c>
      <c r="P14" s="38">
        <v>42413</v>
      </c>
      <c r="Q14" s="26"/>
      <c r="R14" s="26">
        <v>3</v>
      </c>
      <c r="S14" s="26">
        <f>S2</f>
        <v>4</v>
      </c>
    </row>
    <row r="15" spans="1:19" x14ac:dyDescent="0.2">
      <c r="A15" s="38">
        <v>42140</v>
      </c>
      <c r="B15" s="26"/>
      <c r="C15" s="33">
        <v>3</v>
      </c>
      <c r="D15" s="26">
        <f>D2</f>
        <v>1</v>
      </c>
      <c r="F15" s="38">
        <v>42231</v>
      </c>
      <c r="G15" s="26"/>
      <c r="H15" s="26">
        <v>3</v>
      </c>
      <c r="I15" s="26">
        <f>I2</f>
        <v>2</v>
      </c>
      <c r="K15" s="38">
        <v>42322</v>
      </c>
      <c r="L15" s="26"/>
      <c r="M15" s="26">
        <v>3</v>
      </c>
      <c r="N15" s="26">
        <f>N2</f>
        <v>3</v>
      </c>
      <c r="P15" s="38">
        <v>42420</v>
      </c>
      <c r="Q15" s="26"/>
      <c r="R15" s="26">
        <v>3</v>
      </c>
      <c r="S15" s="26">
        <f>S2</f>
        <v>4</v>
      </c>
    </row>
    <row r="16" spans="1:19" x14ac:dyDescent="0.2">
      <c r="A16" s="38">
        <v>42147</v>
      </c>
      <c r="B16" s="26"/>
      <c r="C16" s="33">
        <v>3</v>
      </c>
      <c r="D16" s="26">
        <f>D2</f>
        <v>1</v>
      </c>
      <c r="F16" s="38">
        <v>42146</v>
      </c>
      <c r="G16" s="26"/>
      <c r="H16" s="26">
        <v>3</v>
      </c>
      <c r="I16" s="26">
        <f>I2</f>
        <v>2</v>
      </c>
      <c r="K16" s="38">
        <v>42336</v>
      </c>
      <c r="L16" s="26"/>
      <c r="M16" s="26">
        <v>3</v>
      </c>
      <c r="N16" s="26">
        <f>N2</f>
        <v>3</v>
      </c>
      <c r="P16" s="38">
        <v>42427</v>
      </c>
      <c r="Q16" s="26"/>
      <c r="R16" s="26">
        <v>3</v>
      </c>
      <c r="S16" s="26">
        <f>S2</f>
        <v>4</v>
      </c>
    </row>
    <row r="17" spans="1:19" x14ac:dyDescent="0.2">
      <c r="A17" s="39">
        <v>42107</v>
      </c>
      <c r="B17" s="25"/>
      <c r="C17" s="34">
        <v>4</v>
      </c>
      <c r="D17" s="25">
        <f>D2</f>
        <v>1</v>
      </c>
      <c r="F17" s="39">
        <v>42205</v>
      </c>
      <c r="G17" s="25"/>
      <c r="H17" s="25">
        <v>4</v>
      </c>
      <c r="I17" s="25">
        <f>I2</f>
        <v>2</v>
      </c>
      <c r="K17" s="39">
        <v>42296</v>
      </c>
      <c r="L17" s="25"/>
      <c r="M17" s="25">
        <v>4</v>
      </c>
      <c r="N17" s="25">
        <f>N2</f>
        <v>3</v>
      </c>
      <c r="P17" s="39">
        <v>42387</v>
      </c>
      <c r="Q17" s="25"/>
      <c r="R17" s="25">
        <v>4</v>
      </c>
      <c r="S17" s="25">
        <f>S2</f>
        <v>4</v>
      </c>
    </row>
    <row r="18" spans="1:19" x14ac:dyDescent="0.2">
      <c r="A18" s="39">
        <v>42114</v>
      </c>
      <c r="B18" s="25"/>
      <c r="C18" s="34">
        <v>4</v>
      </c>
      <c r="D18" s="25">
        <f>D2</f>
        <v>1</v>
      </c>
      <c r="F18" s="39">
        <v>42212</v>
      </c>
      <c r="G18" s="25"/>
      <c r="H18" s="25">
        <v>4</v>
      </c>
      <c r="I18" s="25">
        <f>I2</f>
        <v>2</v>
      </c>
      <c r="K18" s="39">
        <v>42303</v>
      </c>
      <c r="L18" s="25"/>
      <c r="M18" s="25">
        <v>4</v>
      </c>
      <c r="N18" s="25">
        <f>N2</f>
        <v>3</v>
      </c>
      <c r="P18" s="39">
        <v>42394</v>
      </c>
      <c r="Q18" s="25"/>
      <c r="R18" s="25">
        <v>4</v>
      </c>
      <c r="S18" s="25">
        <f>S2</f>
        <v>4</v>
      </c>
    </row>
    <row r="19" spans="1:19" x14ac:dyDescent="0.2">
      <c r="A19" s="39">
        <v>42128</v>
      </c>
      <c r="B19" s="25"/>
      <c r="C19" s="34">
        <v>4</v>
      </c>
      <c r="D19" s="25">
        <v>1</v>
      </c>
      <c r="F19" s="39">
        <v>42219</v>
      </c>
      <c r="G19" s="25"/>
      <c r="H19" s="25">
        <v>4</v>
      </c>
      <c r="I19" s="25">
        <f>I2</f>
        <v>2</v>
      </c>
      <c r="K19" s="39">
        <v>42310</v>
      </c>
      <c r="L19" s="25"/>
      <c r="M19" s="25">
        <v>4</v>
      </c>
      <c r="N19" s="25">
        <f>N2</f>
        <v>3</v>
      </c>
      <c r="P19" s="39">
        <v>42712</v>
      </c>
      <c r="Q19" s="25"/>
      <c r="R19" s="25">
        <v>4</v>
      </c>
      <c r="S19" s="25">
        <f>S2</f>
        <v>4</v>
      </c>
    </row>
    <row r="20" spans="1:19" x14ac:dyDescent="0.2">
      <c r="A20" s="39">
        <v>42135</v>
      </c>
      <c r="B20" s="25"/>
      <c r="C20" s="34">
        <v>4</v>
      </c>
      <c r="D20" s="25">
        <f>D2</f>
        <v>1</v>
      </c>
      <c r="F20" s="39">
        <v>42226</v>
      </c>
      <c r="G20" s="25"/>
      <c r="H20" s="25">
        <v>4</v>
      </c>
      <c r="I20" s="25">
        <f>I2</f>
        <v>2</v>
      </c>
      <c r="K20" s="39">
        <v>42317</v>
      </c>
      <c r="L20" s="25"/>
      <c r="M20" s="25">
        <v>4</v>
      </c>
      <c r="N20" s="25">
        <f>N2</f>
        <v>3</v>
      </c>
      <c r="P20" s="39">
        <v>42415</v>
      </c>
      <c r="Q20" s="25"/>
      <c r="R20" s="25">
        <v>4</v>
      </c>
      <c r="S20" s="25">
        <f>S2</f>
        <v>4</v>
      </c>
    </row>
    <row r="21" spans="1:19" x14ac:dyDescent="0.2">
      <c r="A21" s="39">
        <v>42142</v>
      </c>
      <c r="B21" s="25"/>
      <c r="C21" s="34">
        <v>4</v>
      </c>
      <c r="D21" s="25">
        <f>D2</f>
        <v>1</v>
      </c>
      <c r="F21" s="39">
        <v>42233</v>
      </c>
      <c r="G21" s="25"/>
      <c r="H21" s="25">
        <v>4</v>
      </c>
      <c r="I21" s="25">
        <f>I2</f>
        <v>2</v>
      </c>
      <c r="K21" s="39">
        <v>42331</v>
      </c>
      <c r="L21" s="25"/>
      <c r="M21" s="25">
        <v>4</v>
      </c>
      <c r="N21" s="25">
        <f>N2</f>
        <v>3</v>
      </c>
      <c r="P21" s="39">
        <v>42422</v>
      </c>
      <c r="Q21" s="25"/>
      <c r="R21" s="25">
        <v>4</v>
      </c>
      <c r="S21" s="25">
        <f>S2</f>
        <v>4</v>
      </c>
    </row>
    <row r="22" spans="1:19" x14ac:dyDescent="0.2">
      <c r="A22" s="40">
        <v>42111</v>
      </c>
      <c r="B22" s="24"/>
      <c r="C22" s="35">
        <v>5</v>
      </c>
      <c r="D22" s="24">
        <f>D2</f>
        <v>1</v>
      </c>
      <c r="F22" s="40">
        <v>42209</v>
      </c>
      <c r="G22" s="24"/>
      <c r="H22" s="24">
        <v>5</v>
      </c>
      <c r="I22" s="24">
        <f>I2</f>
        <v>2</v>
      </c>
      <c r="K22" s="40">
        <v>42300</v>
      </c>
      <c r="L22" s="24"/>
      <c r="M22" s="24">
        <v>5</v>
      </c>
      <c r="N22" s="24">
        <f>N2</f>
        <v>3</v>
      </c>
      <c r="P22" s="40">
        <v>42391</v>
      </c>
      <c r="Q22" s="24"/>
      <c r="R22" s="24">
        <v>5</v>
      </c>
      <c r="S22" s="24">
        <f>S2</f>
        <v>4</v>
      </c>
    </row>
    <row r="23" spans="1:19" x14ac:dyDescent="0.2">
      <c r="A23" s="40">
        <v>42118</v>
      </c>
      <c r="B23" s="24"/>
      <c r="C23" s="35">
        <v>5</v>
      </c>
      <c r="D23" s="24">
        <f>D2</f>
        <v>1</v>
      </c>
      <c r="F23" s="40">
        <v>42216</v>
      </c>
      <c r="G23" s="24"/>
      <c r="H23" s="24">
        <v>5</v>
      </c>
      <c r="I23" s="24">
        <f>I2</f>
        <v>2</v>
      </c>
      <c r="K23" s="40">
        <v>42307</v>
      </c>
      <c r="L23" s="24"/>
      <c r="M23" s="24">
        <v>5</v>
      </c>
      <c r="N23" s="24">
        <f>N2</f>
        <v>3</v>
      </c>
      <c r="P23" s="40">
        <v>42398</v>
      </c>
      <c r="Q23" s="24"/>
      <c r="R23" s="24">
        <v>5</v>
      </c>
      <c r="S23" s="24">
        <f>S2</f>
        <v>4</v>
      </c>
    </row>
    <row r="24" spans="1:19" x14ac:dyDescent="0.2">
      <c r="A24" s="40">
        <v>42132</v>
      </c>
      <c r="B24" s="24"/>
      <c r="C24" s="35">
        <v>5</v>
      </c>
      <c r="D24" s="24">
        <f>D2</f>
        <v>1</v>
      </c>
      <c r="F24" s="40">
        <v>42223</v>
      </c>
      <c r="G24" s="24"/>
      <c r="H24" s="24">
        <v>5</v>
      </c>
      <c r="I24" s="24">
        <f>I2</f>
        <v>2</v>
      </c>
      <c r="K24" s="40">
        <v>42314</v>
      </c>
      <c r="L24" s="24"/>
      <c r="M24" s="24">
        <v>5</v>
      </c>
      <c r="N24" s="24">
        <f>N2</f>
        <v>3</v>
      </c>
      <c r="P24" s="40">
        <v>42412</v>
      </c>
      <c r="Q24" s="24"/>
      <c r="R24" s="24">
        <v>5</v>
      </c>
      <c r="S24" s="24">
        <f>S2</f>
        <v>4</v>
      </c>
    </row>
    <row r="25" spans="1:19" x14ac:dyDescent="0.2">
      <c r="A25" s="40">
        <v>42139</v>
      </c>
      <c r="B25" s="24"/>
      <c r="C25" s="35">
        <v>5</v>
      </c>
      <c r="D25" s="24">
        <f>D2</f>
        <v>1</v>
      </c>
      <c r="F25" s="40">
        <v>42230</v>
      </c>
      <c r="G25" s="24"/>
      <c r="H25" s="24">
        <v>5</v>
      </c>
      <c r="I25" s="24">
        <f>I2</f>
        <v>2</v>
      </c>
      <c r="K25" s="40">
        <v>42321</v>
      </c>
      <c r="L25" s="24"/>
      <c r="M25" s="24">
        <v>5</v>
      </c>
      <c r="N25" s="24">
        <f>N2</f>
        <v>3</v>
      </c>
      <c r="P25" s="40">
        <v>42419</v>
      </c>
      <c r="Q25" s="24"/>
      <c r="R25" s="24">
        <v>5</v>
      </c>
      <c r="S25" s="24">
        <f>S2</f>
        <v>4</v>
      </c>
    </row>
    <row r="26" spans="1:19" x14ac:dyDescent="0.2">
      <c r="A26" s="40">
        <v>42146</v>
      </c>
      <c r="B26" s="24"/>
      <c r="C26" s="35">
        <v>5</v>
      </c>
      <c r="D26" s="24">
        <f>D2</f>
        <v>1</v>
      </c>
      <c r="F26" s="40">
        <v>42237</v>
      </c>
      <c r="G26" s="24"/>
      <c r="H26" s="24">
        <v>5</v>
      </c>
      <c r="I26" s="24">
        <f>I2</f>
        <v>2</v>
      </c>
      <c r="K26" s="40">
        <v>42335</v>
      </c>
      <c r="L26" s="24"/>
      <c r="M26" s="24">
        <v>5</v>
      </c>
      <c r="N26" s="24">
        <f>N2</f>
        <v>3</v>
      </c>
      <c r="P26" s="40">
        <v>42426</v>
      </c>
      <c r="Q26" s="24"/>
      <c r="R26" s="24">
        <v>5</v>
      </c>
      <c r="S26" s="24">
        <f>S2</f>
        <v>4</v>
      </c>
    </row>
  </sheetData>
  <dataValidations count="11">
    <dataValidation type="whole" allowBlank="1" showInputMessage="1" showErrorMessage="1" errorTitle="no acepta valores fuera de rango" error="vuelve a intentar" promptTitle="tipo de dia" sqref="C2:C26">
      <formula1>1</formula1>
      <formula2>5</formula2>
    </dataValidation>
    <dataValidation allowBlank="1" showInputMessage="1" showErrorMessage="1" errorTitle="VALORES NO PERMITIDOS" error="VUELVE A INTENTAR" promptTitle="ESTACION" sqref="A2:A26 F2:F26 K2:K26 P2:P26"/>
    <dataValidation type="whole" operator="equal" allowBlank="1" showInputMessage="1" showErrorMessage="1" sqref="D2:D26">
      <formula1>1</formula1>
    </dataValidation>
    <dataValidation type="whole" operator="equal" allowBlank="1" showInputMessage="1" showErrorMessage="1" sqref="I2:I26">
      <formula1>2</formula1>
    </dataValidation>
    <dataValidation type="whole" operator="equal" allowBlank="1" showInputMessage="1" showErrorMessage="1" errorTitle="no acepta valores fuera de rango" error="vuelve a intentar" promptTitle="tipo de dia" sqref="H22:H26 M22:M26 R22:R26">
      <formula1>5</formula1>
    </dataValidation>
    <dataValidation type="whole" operator="equal" allowBlank="1" showInputMessage="1" showErrorMessage="1" errorTitle="no acepta valores fuera de rango" error="vuelve a intentar" promptTitle="tipo de dia" sqref="H2:H6 M2:M6 R2:R6">
      <formula1>1</formula1>
    </dataValidation>
    <dataValidation type="whole" operator="equal" allowBlank="1" showInputMessage="1" showErrorMessage="1" errorTitle="no acepta valores fuera de rango" error="vuelve a intentar" promptTitle="tipo de dia" sqref="H7:H11 M7:M11 R7:R11">
      <formula1>2</formula1>
    </dataValidation>
    <dataValidation type="whole" operator="equal" allowBlank="1" showInputMessage="1" showErrorMessage="1" errorTitle="no acepta valores fuera de rango" error="vuelve a intentar" promptTitle="tipo de dia" sqref="H12:H16 M12:M16 R12:R16">
      <formula1>3</formula1>
    </dataValidation>
    <dataValidation type="whole" operator="equal" allowBlank="1" showInputMessage="1" showErrorMessage="1" errorTitle="no acepta valores fuera de rango" error="vuelve a intentar" promptTitle="tipo de dia" sqref="H17:H21 M17:M21 R17:R21">
      <formula1>4</formula1>
    </dataValidation>
    <dataValidation type="whole" operator="equal" allowBlank="1" showInputMessage="1" showErrorMessage="1" sqref="N2:N26">
      <formula1>3</formula1>
    </dataValidation>
    <dataValidation type="whole" operator="equal" allowBlank="1" showInputMessage="1" showErrorMessage="1" sqref="S2:S26">
      <formula1>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 enableFormatConditionsCalculation="0"/>
  <dimension ref="A2:M1125"/>
  <sheetViews>
    <sheetView workbookViewId="0">
      <selection activeCell="M2" sqref="M2"/>
    </sheetView>
  </sheetViews>
  <sheetFormatPr baseColWidth="10" defaultColWidth="11.5" defaultRowHeight="15" x14ac:dyDescent="0.2"/>
  <sheetData>
    <row r="2" spans="1:13" x14ac:dyDescent="0.2">
      <c r="B2" t="s">
        <v>294</v>
      </c>
      <c r="D2" t="s">
        <v>295</v>
      </c>
      <c r="K2" t="str">
        <f>MID(D2,11,1)</f>
        <v>1</v>
      </c>
      <c r="L2" t="str">
        <f>MID(E4,24,3)</f>
        <v>ARP</v>
      </c>
      <c r="M2" t="str">
        <f>MID(E5,22,25)</f>
        <v>"AEROPUERTO";</v>
      </c>
    </row>
    <row r="3" spans="1:13" hidden="1" x14ac:dyDescent="0.2">
      <c r="B3" t="s">
        <v>294</v>
      </c>
      <c r="E3" t="s">
        <v>296</v>
      </c>
      <c r="K3" t="str">
        <f t="shared" ref="K3:K66" si="0">MID(D3,11,1)</f>
        <v/>
      </c>
    </row>
    <row r="4" spans="1:13" hidden="1" x14ac:dyDescent="0.2">
      <c r="E4" t="s">
        <v>591</v>
      </c>
      <c r="K4" t="str">
        <f t="shared" si="0"/>
        <v/>
      </c>
    </row>
    <row r="5" spans="1:13" hidden="1" x14ac:dyDescent="0.2">
      <c r="E5" t="s">
        <v>592</v>
      </c>
      <c r="K5" t="str">
        <f t="shared" si="0"/>
        <v/>
      </c>
    </row>
    <row r="6" spans="1:13" hidden="1" x14ac:dyDescent="0.2">
      <c r="E6" t="s">
        <v>297</v>
      </c>
      <c r="K6" t="str">
        <f t="shared" si="0"/>
        <v/>
      </c>
    </row>
    <row r="7" spans="1:13" hidden="1" x14ac:dyDescent="0.2">
      <c r="D7" t="s">
        <v>298</v>
      </c>
      <c r="K7" t="str">
        <f t="shared" si="0"/>
        <v/>
      </c>
    </row>
    <row r="8" spans="1:13" hidden="1" x14ac:dyDescent="0.2">
      <c r="A8" t="s">
        <v>294</v>
      </c>
      <c r="K8" t="str">
        <f t="shared" si="0"/>
        <v/>
      </c>
    </row>
    <row r="9" spans="1:13" x14ac:dyDescent="0.2">
      <c r="B9" t="s">
        <v>294</v>
      </c>
      <c r="D9" t="s">
        <v>295</v>
      </c>
      <c r="K9" t="str">
        <f t="shared" si="0"/>
        <v>1</v>
      </c>
      <c r="L9" t="str">
        <f>MID(E11,24,3)</f>
        <v>AGF</v>
      </c>
      <c r="M9" t="str">
        <f>MID(E12,22,25)</f>
        <v>"AGUA FRIA";</v>
      </c>
    </row>
    <row r="10" spans="1:13" hidden="1" x14ac:dyDescent="0.2">
      <c r="B10" t="s">
        <v>294</v>
      </c>
      <c r="E10" t="s">
        <v>296</v>
      </c>
      <c r="K10" t="str">
        <f t="shared" si="0"/>
        <v/>
      </c>
    </row>
    <row r="11" spans="1:13" hidden="1" x14ac:dyDescent="0.2">
      <c r="E11" t="s">
        <v>593</v>
      </c>
      <c r="K11" t="str">
        <f t="shared" si="0"/>
        <v/>
      </c>
    </row>
    <row r="12" spans="1:13" hidden="1" x14ac:dyDescent="0.2">
      <c r="E12" t="s">
        <v>594</v>
      </c>
      <c r="K12" t="str">
        <f t="shared" si="0"/>
        <v/>
      </c>
    </row>
    <row r="13" spans="1:13" hidden="1" x14ac:dyDescent="0.2">
      <c r="E13" t="s">
        <v>297</v>
      </c>
      <c r="K13" t="str">
        <f t="shared" si="0"/>
        <v/>
      </c>
    </row>
    <row r="14" spans="1:13" hidden="1" x14ac:dyDescent="0.2">
      <c r="D14" t="s">
        <v>298</v>
      </c>
      <c r="K14" t="str">
        <f t="shared" si="0"/>
        <v/>
      </c>
    </row>
    <row r="15" spans="1:13" hidden="1" x14ac:dyDescent="0.2">
      <c r="A15" t="s">
        <v>294</v>
      </c>
      <c r="K15" t="str">
        <f t="shared" si="0"/>
        <v/>
      </c>
    </row>
    <row r="16" spans="1:13" x14ac:dyDescent="0.2">
      <c r="B16" t="s">
        <v>294</v>
      </c>
      <c r="D16" t="s">
        <v>295</v>
      </c>
      <c r="K16" t="str">
        <f t="shared" si="0"/>
        <v>1</v>
      </c>
      <c r="L16" t="str">
        <f>MID(E18,24,3)</f>
        <v>BVI</v>
      </c>
      <c r="M16" t="str">
        <f>MID(E19,22,25)</f>
        <v>"BUENA VISTA";</v>
      </c>
    </row>
    <row r="17" spans="1:13" hidden="1" x14ac:dyDescent="0.2">
      <c r="B17" t="s">
        <v>294</v>
      </c>
      <c r="E17" t="s">
        <v>296</v>
      </c>
      <c r="K17" t="str">
        <f t="shared" si="0"/>
        <v/>
      </c>
    </row>
    <row r="18" spans="1:13" hidden="1" x14ac:dyDescent="0.2">
      <c r="E18" t="s">
        <v>595</v>
      </c>
      <c r="K18" t="str">
        <f t="shared" si="0"/>
        <v/>
      </c>
    </row>
    <row r="19" spans="1:13" hidden="1" x14ac:dyDescent="0.2">
      <c r="E19" t="s">
        <v>596</v>
      </c>
      <c r="K19" t="str">
        <f t="shared" si="0"/>
        <v/>
      </c>
    </row>
    <row r="20" spans="1:13" hidden="1" x14ac:dyDescent="0.2">
      <c r="E20" t="s">
        <v>297</v>
      </c>
      <c r="K20" t="str">
        <f t="shared" si="0"/>
        <v/>
      </c>
    </row>
    <row r="21" spans="1:13" hidden="1" x14ac:dyDescent="0.2">
      <c r="D21" t="s">
        <v>298</v>
      </c>
      <c r="K21" t="str">
        <f t="shared" si="0"/>
        <v/>
      </c>
    </row>
    <row r="22" spans="1:13" hidden="1" x14ac:dyDescent="0.2">
      <c r="A22" t="s">
        <v>294</v>
      </c>
      <c r="K22" t="str">
        <f t="shared" si="0"/>
        <v/>
      </c>
    </row>
    <row r="23" spans="1:13" x14ac:dyDescent="0.2">
      <c r="B23" t="s">
        <v>294</v>
      </c>
      <c r="D23" t="s">
        <v>295</v>
      </c>
      <c r="K23" t="str">
        <f t="shared" si="0"/>
        <v>1</v>
      </c>
      <c r="L23" t="str">
        <f>MID(E25,24,3)</f>
        <v>CDO</v>
      </c>
      <c r="M23" t="str">
        <f>MID(E26,22,25)</f>
        <v>"CERRO AZUL DOS";</v>
      </c>
    </row>
    <row r="24" spans="1:13" hidden="1" x14ac:dyDescent="0.2">
      <c r="B24" t="s">
        <v>294</v>
      </c>
      <c r="E24" t="s">
        <v>296</v>
      </c>
      <c r="K24" t="str">
        <f t="shared" si="0"/>
        <v/>
      </c>
    </row>
    <row r="25" spans="1:13" hidden="1" x14ac:dyDescent="0.2">
      <c r="E25" t="s">
        <v>597</v>
      </c>
      <c r="K25" t="str">
        <f t="shared" si="0"/>
        <v/>
      </c>
    </row>
    <row r="26" spans="1:13" hidden="1" x14ac:dyDescent="0.2">
      <c r="E26" t="s">
        <v>598</v>
      </c>
      <c r="K26" t="str">
        <f t="shared" si="0"/>
        <v/>
      </c>
    </row>
    <row r="27" spans="1:13" hidden="1" x14ac:dyDescent="0.2">
      <c r="E27" t="s">
        <v>297</v>
      </c>
      <c r="K27" t="str">
        <f t="shared" si="0"/>
        <v/>
      </c>
    </row>
    <row r="28" spans="1:13" hidden="1" x14ac:dyDescent="0.2">
      <c r="D28" t="s">
        <v>298</v>
      </c>
      <c r="K28" t="str">
        <f t="shared" si="0"/>
        <v/>
      </c>
    </row>
    <row r="29" spans="1:13" hidden="1" x14ac:dyDescent="0.2">
      <c r="A29" t="s">
        <v>294</v>
      </c>
      <c r="K29" t="str">
        <f t="shared" si="0"/>
        <v/>
      </c>
    </row>
    <row r="30" spans="1:13" x14ac:dyDescent="0.2">
      <c r="B30" t="s">
        <v>294</v>
      </c>
      <c r="D30" t="s">
        <v>295</v>
      </c>
      <c r="K30" t="str">
        <f t="shared" si="0"/>
        <v>1</v>
      </c>
      <c r="L30" t="str">
        <f>MID(E32,24,3)</f>
        <v>CHI</v>
      </c>
      <c r="M30" t="str">
        <f>MID(E33,22,25)</f>
        <v>"CHICONTEPEC";</v>
      </c>
    </row>
    <row r="31" spans="1:13" hidden="1" x14ac:dyDescent="0.2">
      <c r="B31" t="s">
        <v>294</v>
      </c>
      <c r="E31" t="s">
        <v>296</v>
      </c>
      <c r="K31" t="str">
        <f t="shared" si="0"/>
        <v/>
      </c>
    </row>
    <row r="32" spans="1:13" hidden="1" x14ac:dyDescent="0.2">
      <c r="E32" t="s">
        <v>299</v>
      </c>
      <c r="K32" t="str">
        <f t="shared" si="0"/>
        <v/>
      </c>
    </row>
    <row r="33" spans="1:13" hidden="1" x14ac:dyDescent="0.2">
      <c r="E33" t="s">
        <v>599</v>
      </c>
      <c r="K33" t="str">
        <f t="shared" si="0"/>
        <v/>
      </c>
    </row>
    <row r="34" spans="1:13" hidden="1" x14ac:dyDescent="0.2">
      <c r="E34" t="s">
        <v>297</v>
      </c>
      <c r="K34" t="str">
        <f t="shared" si="0"/>
        <v/>
      </c>
    </row>
    <row r="35" spans="1:13" hidden="1" x14ac:dyDescent="0.2">
      <c r="D35" t="s">
        <v>298</v>
      </c>
      <c r="K35" t="str">
        <f t="shared" si="0"/>
        <v/>
      </c>
    </row>
    <row r="36" spans="1:13" hidden="1" x14ac:dyDescent="0.2">
      <c r="A36" t="s">
        <v>294</v>
      </c>
      <c r="K36" t="str">
        <f t="shared" si="0"/>
        <v/>
      </c>
    </row>
    <row r="37" spans="1:13" x14ac:dyDescent="0.2">
      <c r="B37" t="s">
        <v>294</v>
      </c>
      <c r="D37" t="s">
        <v>295</v>
      </c>
      <c r="K37" t="str">
        <f t="shared" si="0"/>
        <v>1</v>
      </c>
      <c r="L37" t="str">
        <f>MID(E39,24,3)</f>
        <v>COI</v>
      </c>
      <c r="M37" t="str">
        <f>MID(E40,22,25)</f>
        <v>"COATZINTLA";</v>
      </c>
    </row>
    <row r="38" spans="1:13" hidden="1" x14ac:dyDescent="0.2">
      <c r="B38" t="s">
        <v>294</v>
      </c>
      <c r="E38" t="s">
        <v>296</v>
      </c>
      <c r="K38" t="str">
        <f t="shared" si="0"/>
        <v/>
      </c>
    </row>
    <row r="39" spans="1:13" hidden="1" x14ac:dyDescent="0.2">
      <c r="E39" t="s">
        <v>600</v>
      </c>
      <c r="K39" t="str">
        <f t="shared" si="0"/>
        <v/>
      </c>
    </row>
    <row r="40" spans="1:13" hidden="1" x14ac:dyDescent="0.2">
      <c r="E40" t="s">
        <v>601</v>
      </c>
      <c r="K40" t="str">
        <f t="shared" si="0"/>
        <v/>
      </c>
    </row>
    <row r="41" spans="1:13" hidden="1" x14ac:dyDescent="0.2">
      <c r="E41" t="s">
        <v>297</v>
      </c>
      <c r="K41" t="str">
        <f t="shared" si="0"/>
        <v/>
      </c>
    </row>
    <row r="42" spans="1:13" hidden="1" x14ac:dyDescent="0.2">
      <c r="D42" t="s">
        <v>298</v>
      </c>
      <c r="K42" t="str">
        <f t="shared" si="0"/>
        <v/>
      </c>
    </row>
    <row r="43" spans="1:13" hidden="1" x14ac:dyDescent="0.2">
      <c r="A43" t="s">
        <v>294</v>
      </c>
      <c r="K43" t="str">
        <f t="shared" si="0"/>
        <v/>
      </c>
    </row>
    <row r="44" spans="1:13" x14ac:dyDescent="0.2">
      <c r="B44" t="s">
        <v>294</v>
      </c>
      <c r="D44" t="s">
        <v>295</v>
      </c>
      <c r="K44" t="str">
        <f t="shared" si="0"/>
        <v>1</v>
      </c>
      <c r="L44" t="str">
        <f>MID(E46,24,3)</f>
        <v>ETD</v>
      </c>
      <c r="M44" t="str">
        <f>MID(E47,22,25)</f>
        <v>"ENTABLADERO";</v>
      </c>
    </row>
    <row r="45" spans="1:13" hidden="1" x14ac:dyDescent="0.2">
      <c r="B45" t="s">
        <v>294</v>
      </c>
      <c r="E45" t="s">
        <v>296</v>
      </c>
      <c r="K45" t="str">
        <f t="shared" si="0"/>
        <v/>
      </c>
    </row>
    <row r="46" spans="1:13" hidden="1" x14ac:dyDescent="0.2">
      <c r="E46" t="s">
        <v>602</v>
      </c>
      <c r="K46" t="str">
        <f t="shared" si="0"/>
        <v/>
      </c>
    </row>
    <row r="47" spans="1:13" hidden="1" x14ac:dyDescent="0.2">
      <c r="E47" t="s">
        <v>603</v>
      </c>
      <c r="K47" t="str">
        <f t="shared" si="0"/>
        <v/>
      </c>
    </row>
    <row r="48" spans="1:13" hidden="1" x14ac:dyDescent="0.2">
      <c r="E48" t="s">
        <v>297</v>
      </c>
      <c r="K48" t="str">
        <f t="shared" si="0"/>
        <v/>
      </c>
    </row>
    <row r="49" spans="1:13" hidden="1" x14ac:dyDescent="0.2">
      <c r="D49" t="s">
        <v>298</v>
      </c>
      <c r="K49" t="str">
        <f t="shared" si="0"/>
        <v/>
      </c>
    </row>
    <row r="50" spans="1:13" hidden="1" x14ac:dyDescent="0.2">
      <c r="A50" t="s">
        <v>294</v>
      </c>
      <c r="K50" t="str">
        <f t="shared" si="0"/>
        <v/>
      </c>
    </row>
    <row r="51" spans="1:13" x14ac:dyDescent="0.2">
      <c r="B51" t="s">
        <v>294</v>
      </c>
      <c r="D51" t="s">
        <v>295</v>
      </c>
      <c r="K51" t="str">
        <f t="shared" si="0"/>
        <v>1</v>
      </c>
      <c r="L51" t="str">
        <f>MID(E53,24,3)</f>
        <v>ESF</v>
      </c>
      <c r="M51" t="str">
        <f>MID(E54,22,25)</f>
        <v>"ESFUERZO";</v>
      </c>
    </row>
    <row r="52" spans="1:13" hidden="1" x14ac:dyDescent="0.2">
      <c r="B52" t="s">
        <v>294</v>
      </c>
      <c r="E52" t="s">
        <v>296</v>
      </c>
      <c r="K52" t="str">
        <f t="shared" si="0"/>
        <v/>
      </c>
    </row>
    <row r="53" spans="1:13" hidden="1" x14ac:dyDescent="0.2">
      <c r="E53" t="s">
        <v>604</v>
      </c>
      <c r="K53" t="str">
        <f t="shared" si="0"/>
        <v/>
      </c>
    </row>
    <row r="54" spans="1:13" hidden="1" x14ac:dyDescent="0.2">
      <c r="E54" t="s">
        <v>605</v>
      </c>
      <c r="K54" t="str">
        <f t="shared" si="0"/>
        <v/>
      </c>
    </row>
    <row r="55" spans="1:13" hidden="1" x14ac:dyDescent="0.2">
      <c r="E55" t="s">
        <v>297</v>
      </c>
      <c r="K55" t="str">
        <f t="shared" si="0"/>
        <v/>
      </c>
    </row>
    <row r="56" spans="1:13" hidden="1" x14ac:dyDescent="0.2">
      <c r="D56" t="s">
        <v>298</v>
      </c>
      <c r="K56" t="str">
        <f t="shared" si="0"/>
        <v/>
      </c>
    </row>
    <row r="57" spans="1:13" hidden="1" x14ac:dyDescent="0.2">
      <c r="A57" t="s">
        <v>294</v>
      </c>
      <c r="K57" t="str">
        <f t="shared" si="0"/>
        <v/>
      </c>
    </row>
    <row r="58" spans="1:13" x14ac:dyDescent="0.2">
      <c r="B58" t="s">
        <v>294</v>
      </c>
      <c r="D58" t="s">
        <v>295</v>
      </c>
      <c r="K58" t="str">
        <f t="shared" si="0"/>
        <v>1</v>
      </c>
      <c r="L58" t="str">
        <f>MID(E60,24,3)</f>
        <v>GZD</v>
      </c>
      <c r="M58" t="str">
        <f>MID(E61,22,25)</f>
        <v>"GUTIERREZ ZAMORA";</v>
      </c>
    </row>
    <row r="59" spans="1:13" hidden="1" x14ac:dyDescent="0.2">
      <c r="B59" t="s">
        <v>294</v>
      </c>
      <c r="E59" t="s">
        <v>296</v>
      </c>
      <c r="K59" t="str">
        <f t="shared" si="0"/>
        <v/>
      </c>
    </row>
    <row r="60" spans="1:13" hidden="1" x14ac:dyDescent="0.2">
      <c r="E60" t="s">
        <v>606</v>
      </c>
      <c r="K60" t="str">
        <f t="shared" si="0"/>
        <v/>
      </c>
    </row>
    <row r="61" spans="1:13" hidden="1" x14ac:dyDescent="0.2">
      <c r="E61" t="s">
        <v>607</v>
      </c>
      <c r="K61" t="str">
        <f t="shared" si="0"/>
        <v/>
      </c>
    </row>
    <row r="62" spans="1:13" hidden="1" x14ac:dyDescent="0.2">
      <c r="E62" t="s">
        <v>297</v>
      </c>
      <c r="K62" t="str">
        <f t="shared" si="0"/>
        <v/>
      </c>
    </row>
    <row r="63" spans="1:13" hidden="1" x14ac:dyDescent="0.2">
      <c r="D63" t="s">
        <v>298</v>
      </c>
      <c r="K63" t="str">
        <f t="shared" si="0"/>
        <v/>
      </c>
    </row>
    <row r="64" spans="1:13" hidden="1" x14ac:dyDescent="0.2">
      <c r="A64" t="s">
        <v>294</v>
      </c>
      <c r="K64" t="str">
        <f t="shared" si="0"/>
        <v/>
      </c>
    </row>
    <row r="65" spans="1:13" x14ac:dyDescent="0.2">
      <c r="B65" t="s">
        <v>294</v>
      </c>
      <c r="D65" t="s">
        <v>295</v>
      </c>
      <c r="K65" t="str">
        <f t="shared" si="0"/>
        <v>1</v>
      </c>
      <c r="L65" t="str">
        <f>MID(E67,24,3)</f>
        <v>IXH</v>
      </c>
      <c r="M65" t="str">
        <f>MID(E68,22,25)</f>
        <v>"IXHUATLAN";</v>
      </c>
    </row>
    <row r="66" spans="1:13" hidden="1" x14ac:dyDescent="0.2">
      <c r="B66" t="s">
        <v>294</v>
      </c>
      <c r="E66" t="s">
        <v>296</v>
      </c>
      <c r="K66" t="str">
        <f t="shared" si="0"/>
        <v/>
      </c>
    </row>
    <row r="67" spans="1:13" hidden="1" x14ac:dyDescent="0.2">
      <c r="E67" t="s">
        <v>608</v>
      </c>
      <c r="K67" t="str">
        <f t="shared" ref="K67:K130" si="1">MID(D67,11,1)</f>
        <v/>
      </c>
    </row>
    <row r="68" spans="1:13" hidden="1" x14ac:dyDescent="0.2">
      <c r="E68" t="s">
        <v>609</v>
      </c>
      <c r="K68" t="str">
        <f t="shared" si="1"/>
        <v/>
      </c>
    </row>
    <row r="69" spans="1:13" hidden="1" x14ac:dyDescent="0.2">
      <c r="E69" t="s">
        <v>297</v>
      </c>
      <c r="K69" t="str">
        <f t="shared" si="1"/>
        <v/>
      </c>
    </row>
    <row r="70" spans="1:13" hidden="1" x14ac:dyDescent="0.2">
      <c r="D70" t="s">
        <v>298</v>
      </c>
      <c r="K70" t="str">
        <f t="shared" si="1"/>
        <v/>
      </c>
    </row>
    <row r="71" spans="1:13" hidden="1" x14ac:dyDescent="0.2">
      <c r="A71" t="s">
        <v>294</v>
      </c>
      <c r="K71" t="str">
        <f t="shared" si="1"/>
        <v/>
      </c>
    </row>
    <row r="72" spans="1:13" x14ac:dyDescent="0.2">
      <c r="B72" t="s">
        <v>294</v>
      </c>
      <c r="D72" t="s">
        <v>295</v>
      </c>
      <c r="K72" t="str">
        <f t="shared" si="1"/>
        <v>1</v>
      </c>
      <c r="L72" t="str">
        <f>MID(E74,24,3)</f>
        <v>LBR</v>
      </c>
      <c r="M72" t="str">
        <f>MID(E75,22,25)</f>
        <v>"LA BARRA";</v>
      </c>
    </row>
    <row r="73" spans="1:13" hidden="1" x14ac:dyDescent="0.2">
      <c r="B73" t="s">
        <v>294</v>
      </c>
      <c r="E73" t="s">
        <v>296</v>
      </c>
      <c r="K73" t="str">
        <f t="shared" si="1"/>
        <v/>
      </c>
    </row>
    <row r="74" spans="1:13" hidden="1" x14ac:dyDescent="0.2">
      <c r="E74" t="s">
        <v>610</v>
      </c>
      <c r="K74" t="str">
        <f t="shared" si="1"/>
        <v/>
      </c>
    </row>
    <row r="75" spans="1:13" hidden="1" x14ac:dyDescent="0.2">
      <c r="E75" t="s">
        <v>611</v>
      </c>
      <c r="K75" t="str">
        <f t="shared" si="1"/>
        <v/>
      </c>
    </row>
    <row r="76" spans="1:13" hidden="1" x14ac:dyDescent="0.2">
      <c r="E76" t="s">
        <v>297</v>
      </c>
      <c r="K76" t="str">
        <f t="shared" si="1"/>
        <v/>
      </c>
    </row>
    <row r="77" spans="1:13" hidden="1" x14ac:dyDescent="0.2">
      <c r="D77" t="s">
        <v>298</v>
      </c>
      <c r="K77" t="str">
        <f t="shared" si="1"/>
        <v/>
      </c>
    </row>
    <row r="78" spans="1:13" hidden="1" x14ac:dyDescent="0.2">
      <c r="A78" t="s">
        <v>294</v>
      </c>
      <c r="K78" t="str">
        <f t="shared" si="1"/>
        <v/>
      </c>
    </row>
    <row r="79" spans="1:13" x14ac:dyDescent="0.2">
      <c r="B79" t="s">
        <v>294</v>
      </c>
      <c r="D79" t="s">
        <v>295</v>
      </c>
      <c r="K79" t="str">
        <f t="shared" si="1"/>
        <v>1</v>
      </c>
      <c r="L79" t="str">
        <f>MID(E81,24,3)</f>
        <v>PMM</v>
      </c>
      <c r="M79" t="str">
        <f>MID(E82,22,25)</f>
        <v>"PALMAS";</v>
      </c>
    </row>
    <row r="80" spans="1:13" hidden="1" x14ac:dyDescent="0.2">
      <c r="B80" t="s">
        <v>294</v>
      </c>
      <c r="E80" t="s">
        <v>296</v>
      </c>
      <c r="K80" t="str">
        <f t="shared" si="1"/>
        <v/>
      </c>
    </row>
    <row r="81" spans="1:13" hidden="1" x14ac:dyDescent="0.2">
      <c r="E81" t="s">
        <v>612</v>
      </c>
      <c r="K81" t="str">
        <f t="shared" si="1"/>
        <v/>
      </c>
    </row>
    <row r="82" spans="1:13" hidden="1" x14ac:dyDescent="0.2">
      <c r="E82" t="s">
        <v>613</v>
      </c>
      <c r="K82" t="str">
        <f t="shared" si="1"/>
        <v/>
      </c>
    </row>
    <row r="83" spans="1:13" hidden="1" x14ac:dyDescent="0.2">
      <c r="E83" t="s">
        <v>297</v>
      </c>
      <c r="K83" t="str">
        <f t="shared" si="1"/>
        <v/>
      </c>
    </row>
    <row r="84" spans="1:13" hidden="1" x14ac:dyDescent="0.2">
      <c r="D84" t="s">
        <v>298</v>
      </c>
      <c r="K84" t="str">
        <f t="shared" si="1"/>
        <v/>
      </c>
    </row>
    <row r="85" spans="1:13" hidden="1" x14ac:dyDescent="0.2">
      <c r="A85" t="s">
        <v>294</v>
      </c>
      <c r="K85" t="str">
        <f t="shared" si="1"/>
        <v/>
      </c>
    </row>
    <row r="86" spans="1:13" x14ac:dyDescent="0.2">
      <c r="B86" t="s">
        <v>294</v>
      </c>
      <c r="D86" t="s">
        <v>295</v>
      </c>
      <c r="K86" t="str">
        <f t="shared" si="1"/>
        <v>1</v>
      </c>
      <c r="L86" t="str">
        <f>MID(E88,24,3)</f>
        <v>PPC</v>
      </c>
      <c r="M86" t="str">
        <f>MID(E89,22,25)</f>
        <v>"PANTEPEC";</v>
      </c>
    </row>
    <row r="87" spans="1:13" hidden="1" x14ac:dyDescent="0.2">
      <c r="B87" t="s">
        <v>294</v>
      </c>
      <c r="E87" t="s">
        <v>296</v>
      </c>
      <c r="K87" t="str">
        <f t="shared" si="1"/>
        <v/>
      </c>
    </row>
    <row r="88" spans="1:13" hidden="1" x14ac:dyDescent="0.2">
      <c r="E88" t="s">
        <v>614</v>
      </c>
      <c r="K88" t="str">
        <f t="shared" si="1"/>
        <v/>
      </c>
    </row>
    <row r="89" spans="1:13" hidden="1" x14ac:dyDescent="0.2">
      <c r="E89" t="s">
        <v>615</v>
      </c>
      <c r="K89" t="str">
        <f t="shared" si="1"/>
        <v/>
      </c>
    </row>
    <row r="90" spans="1:13" hidden="1" x14ac:dyDescent="0.2">
      <c r="E90" t="s">
        <v>297</v>
      </c>
      <c r="K90" t="str">
        <f t="shared" si="1"/>
        <v/>
      </c>
    </row>
    <row r="91" spans="1:13" hidden="1" x14ac:dyDescent="0.2">
      <c r="D91" t="s">
        <v>298</v>
      </c>
      <c r="K91" t="str">
        <f t="shared" si="1"/>
        <v/>
      </c>
    </row>
    <row r="92" spans="1:13" hidden="1" x14ac:dyDescent="0.2">
      <c r="A92" t="s">
        <v>294</v>
      </c>
      <c r="K92" t="str">
        <f t="shared" si="1"/>
        <v/>
      </c>
    </row>
    <row r="93" spans="1:13" x14ac:dyDescent="0.2">
      <c r="B93" t="s">
        <v>294</v>
      </c>
      <c r="D93" t="s">
        <v>295</v>
      </c>
      <c r="K93" t="str">
        <f t="shared" si="1"/>
        <v>1</v>
      </c>
      <c r="L93" t="str">
        <f>MID(E95,24,3)</f>
        <v>PPT</v>
      </c>
      <c r="M93" t="str">
        <f>MID(E96,22,25)</f>
        <v>"PAPANTLA POTENCIA";</v>
      </c>
    </row>
    <row r="94" spans="1:13" hidden="1" x14ac:dyDescent="0.2">
      <c r="B94" t="s">
        <v>294</v>
      </c>
      <c r="E94" t="s">
        <v>296</v>
      </c>
      <c r="K94" t="str">
        <f t="shared" si="1"/>
        <v/>
      </c>
    </row>
    <row r="95" spans="1:13" hidden="1" x14ac:dyDescent="0.2">
      <c r="E95" t="s">
        <v>616</v>
      </c>
      <c r="K95" t="str">
        <f t="shared" si="1"/>
        <v/>
      </c>
    </row>
    <row r="96" spans="1:13" hidden="1" x14ac:dyDescent="0.2">
      <c r="E96" t="s">
        <v>617</v>
      </c>
      <c r="K96" t="str">
        <f t="shared" si="1"/>
        <v/>
      </c>
    </row>
    <row r="97" spans="1:13" hidden="1" x14ac:dyDescent="0.2">
      <c r="E97" t="s">
        <v>297</v>
      </c>
      <c r="K97" t="str">
        <f t="shared" si="1"/>
        <v/>
      </c>
    </row>
    <row r="98" spans="1:13" hidden="1" x14ac:dyDescent="0.2">
      <c r="D98" t="s">
        <v>298</v>
      </c>
      <c r="K98" t="str">
        <f t="shared" si="1"/>
        <v/>
      </c>
    </row>
    <row r="99" spans="1:13" hidden="1" x14ac:dyDescent="0.2">
      <c r="A99" t="s">
        <v>294</v>
      </c>
      <c r="K99" t="str">
        <f t="shared" si="1"/>
        <v/>
      </c>
    </row>
    <row r="100" spans="1:13" x14ac:dyDescent="0.2">
      <c r="B100" t="s">
        <v>294</v>
      </c>
      <c r="D100" t="s">
        <v>295</v>
      </c>
      <c r="K100" t="str">
        <f t="shared" si="1"/>
        <v>1</v>
      </c>
      <c r="L100" t="str">
        <f>MID(E102,24,3)</f>
        <v>PRT</v>
      </c>
      <c r="M100" t="str">
        <f>MID(E103,22,25)</f>
        <v>"POZA RICA III";</v>
      </c>
    </row>
    <row r="101" spans="1:13" hidden="1" x14ac:dyDescent="0.2">
      <c r="B101" t="s">
        <v>294</v>
      </c>
      <c r="E101" t="s">
        <v>296</v>
      </c>
      <c r="K101" t="str">
        <f t="shared" si="1"/>
        <v/>
      </c>
    </row>
    <row r="102" spans="1:13" hidden="1" x14ac:dyDescent="0.2">
      <c r="E102" t="s">
        <v>618</v>
      </c>
      <c r="K102" t="str">
        <f t="shared" si="1"/>
        <v/>
      </c>
    </row>
    <row r="103" spans="1:13" hidden="1" x14ac:dyDescent="0.2">
      <c r="E103" t="s">
        <v>619</v>
      </c>
      <c r="K103" t="str">
        <f t="shared" si="1"/>
        <v/>
      </c>
    </row>
    <row r="104" spans="1:13" hidden="1" x14ac:dyDescent="0.2">
      <c r="E104" t="s">
        <v>297</v>
      </c>
      <c r="K104" t="str">
        <f t="shared" si="1"/>
        <v/>
      </c>
    </row>
    <row r="105" spans="1:13" hidden="1" x14ac:dyDescent="0.2">
      <c r="D105" t="s">
        <v>298</v>
      </c>
      <c r="K105" t="str">
        <f t="shared" si="1"/>
        <v/>
      </c>
    </row>
    <row r="106" spans="1:13" hidden="1" x14ac:dyDescent="0.2">
      <c r="A106" t="s">
        <v>294</v>
      </c>
      <c r="K106" t="str">
        <f t="shared" si="1"/>
        <v/>
      </c>
    </row>
    <row r="107" spans="1:13" x14ac:dyDescent="0.2">
      <c r="B107" t="s">
        <v>294</v>
      </c>
      <c r="D107" t="s">
        <v>295</v>
      </c>
      <c r="K107" t="str">
        <f t="shared" si="1"/>
        <v>1</v>
      </c>
      <c r="L107" t="str">
        <f>MID(E109,24,3)</f>
        <v>TAJ</v>
      </c>
      <c r="M107" t="str">
        <f>MID(E110,22,25)</f>
        <v>"TAJIN";</v>
      </c>
    </row>
    <row r="108" spans="1:13" hidden="1" x14ac:dyDescent="0.2">
      <c r="B108" t="s">
        <v>294</v>
      </c>
      <c r="E108" t="s">
        <v>296</v>
      </c>
      <c r="K108" t="str">
        <f t="shared" si="1"/>
        <v/>
      </c>
    </row>
    <row r="109" spans="1:13" hidden="1" x14ac:dyDescent="0.2">
      <c r="E109" t="s">
        <v>620</v>
      </c>
      <c r="K109" t="str">
        <f t="shared" si="1"/>
        <v/>
      </c>
    </row>
    <row r="110" spans="1:13" hidden="1" x14ac:dyDescent="0.2">
      <c r="E110" t="s">
        <v>621</v>
      </c>
      <c r="K110" t="str">
        <f t="shared" si="1"/>
        <v/>
      </c>
    </row>
    <row r="111" spans="1:13" hidden="1" x14ac:dyDescent="0.2">
      <c r="E111" t="s">
        <v>297</v>
      </c>
      <c r="K111" t="str">
        <f t="shared" si="1"/>
        <v/>
      </c>
    </row>
    <row r="112" spans="1:13" hidden="1" x14ac:dyDescent="0.2">
      <c r="D112" t="s">
        <v>298</v>
      </c>
      <c r="K112" t="str">
        <f t="shared" si="1"/>
        <v/>
      </c>
    </row>
    <row r="113" spans="1:13" hidden="1" x14ac:dyDescent="0.2">
      <c r="A113" t="s">
        <v>294</v>
      </c>
      <c r="K113" t="str">
        <f t="shared" si="1"/>
        <v/>
      </c>
    </row>
    <row r="114" spans="1:13" x14ac:dyDescent="0.2">
      <c r="B114" t="s">
        <v>294</v>
      </c>
      <c r="D114" t="s">
        <v>295</v>
      </c>
      <c r="K114" t="str">
        <f t="shared" si="1"/>
        <v>1</v>
      </c>
      <c r="L114" t="str">
        <f>MID(E116,24,3)</f>
        <v>TPY</v>
      </c>
      <c r="M114" t="str">
        <f>MID(E117,22,25)</f>
        <v>"TEPEYAC";</v>
      </c>
    </row>
    <row r="115" spans="1:13" hidden="1" x14ac:dyDescent="0.2">
      <c r="B115" t="s">
        <v>294</v>
      </c>
      <c r="E115" t="s">
        <v>296</v>
      </c>
      <c r="K115" t="str">
        <f t="shared" si="1"/>
        <v/>
      </c>
    </row>
    <row r="116" spans="1:13" hidden="1" x14ac:dyDescent="0.2">
      <c r="E116" t="s">
        <v>622</v>
      </c>
      <c r="K116" t="str">
        <f t="shared" si="1"/>
        <v/>
      </c>
    </row>
    <row r="117" spans="1:13" hidden="1" x14ac:dyDescent="0.2">
      <c r="E117" t="s">
        <v>623</v>
      </c>
      <c r="K117" t="str">
        <f t="shared" si="1"/>
        <v/>
      </c>
    </row>
    <row r="118" spans="1:13" hidden="1" x14ac:dyDescent="0.2">
      <c r="E118" t="s">
        <v>297</v>
      </c>
      <c r="K118" t="str">
        <f t="shared" si="1"/>
        <v/>
      </c>
    </row>
    <row r="119" spans="1:13" hidden="1" x14ac:dyDescent="0.2">
      <c r="D119" t="s">
        <v>298</v>
      </c>
      <c r="K119" t="str">
        <f t="shared" si="1"/>
        <v/>
      </c>
    </row>
    <row r="120" spans="1:13" hidden="1" x14ac:dyDescent="0.2">
      <c r="A120" t="s">
        <v>294</v>
      </c>
      <c r="K120" t="str">
        <f t="shared" si="1"/>
        <v/>
      </c>
    </row>
    <row r="121" spans="1:13" x14ac:dyDescent="0.2">
      <c r="B121" t="s">
        <v>294</v>
      </c>
      <c r="D121" t="s">
        <v>295</v>
      </c>
      <c r="K121" t="str">
        <f t="shared" si="1"/>
        <v>1</v>
      </c>
      <c r="L121" t="str">
        <f>MID(E123,24,3)</f>
        <v>THD</v>
      </c>
      <c r="M121" t="str">
        <f>MID(E124,22,25)</f>
        <v>"TIHUATLAN DOS";</v>
      </c>
    </row>
    <row r="122" spans="1:13" hidden="1" x14ac:dyDescent="0.2">
      <c r="B122" t="s">
        <v>294</v>
      </c>
      <c r="E122" t="s">
        <v>296</v>
      </c>
      <c r="K122" t="str">
        <f t="shared" si="1"/>
        <v/>
      </c>
    </row>
    <row r="123" spans="1:13" hidden="1" x14ac:dyDescent="0.2">
      <c r="E123" t="s">
        <v>624</v>
      </c>
      <c r="K123" t="str">
        <f t="shared" si="1"/>
        <v/>
      </c>
    </row>
    <row r="124" spans="1:13" hidden="1" x14ac:dyDescent="0.2">
      <c r="E124" t="s">
        <v>625</v>
      </c>
      <c r="K124" t="str">
        <f t="shared" si="1"/>
        <v/>
      </c>
    </row>
    <row r="125" spans="1:13" hidden="1" x14ac:dyDescent="0.2">
      <c r="E125" t="s">
        <v>297</v>
      </c>
      <c r="K125" t="str">
        <f t="shared" si="1"/>
        <v/>
      </c>
    </row>
    <row r="126" spans="1:13" hidden="1" x14ac:dyDescent="0.2">
      <c r="D126" t="s">
        <v>298</v>
      </c>
      <c r="K126" t="str">
        <f t="shared" si="1"/>
        <v/>
      </c>
    </row>
    <row r="127" spans="1:13" hidden="1" x14ac:dyDescent="0.2">
      <c r="A127" t="s">
        <v>294</v>
      </c>
      <c r="K127" t="str">
        <f t="shared" si="1"/>
        <v/>
      </c>
    </row>
    <row r="128" spans="1:13" x14ac:dyDescent="0.2">
      <c r="B128" t="s">
        <v>294</v>
      </c>
      <c r="D128" t="s">
        <v>295</v>
      </c>
      <c r="K128" t="str">
        <f t="shared" si="1"/>
        <v>1</v>
      </c>
      <c r="L128" t="str">
        <f>MID(E130,24,3)</f>
        <v>TUD</v>
      </c>
      <c r="M128" t="str">
        <f>MID(E131,22,25)</f>
        <v>"TUXPAN DOS";</v>
      </c>
    </row>
    <row r="129" spans="1:13" hidden="1" x14ac:dyDescent="0.2">
      <c r="B129" t="s">
        <v>294</v>
      </c>
      <c r="E129" t="s">
        <v>296</v>
      </c>
      <c r="K129" t="str">
        <f t="shared" si="1"/>
        <v/>
      </c>
    </row>
    <row r="130" spans="1:13" hidden="1" x14ac:dyDescent="0.2">
      <c r="E130" t="s">
        <v>626</v>
      </c>
      <c r="K130" t="str">
        <f t="shared" si="1"/>
        <v/>
      </c>
    </row>
    <row r="131" spans="1:13" hidden="1" x14ac:dyDescent="0.2">
      <c r="E131" t="s">
        <v>627</v>
      </c>
      <c r="K131" t="str">
        <f t="shared" ref="K131:K194" si="2">MID(D131,11,1)</f>
        <v/>
      </c>
    </row>
    <row r="132" spans="1:13" hidden="1" x14ac:dyDescent="0.2">
      <c r="E132" t="s">
        <v>297</v>
      </c>
      <c r="K132" t="str">
        <f t="shared" si="2"/>
        <v/>
      </c>
    </row>
    <row r="133" spans="1:13" hidden="1" x14ac:dyDescent="0.2">
      <c r="D133" t="s">
        <v>298</v>
      </c>
      <c r="K133" t="str">
        <f t="shared" si="2"/>
        <v/>
      </c>
    </row>
    <row r="134" spans="1:13" hidden="1" x14ac:dyDescent="0.2">
      <c r="A134" t="s">
        <v>294</v>
      </c>
      <c r="K134" t="str">
        <f t="shared" si="2"/>
        <v/>
      </c>
    </row>
    <row r="135" spans="1:13" x14ac:dyDescent="0.2">
      <c r="B135" t="s">
        <v>294</v>
      </c>
      <c r="D135" t="s">
        <v>295</v>
      </c>
      <c r="K135" t="str">
        <f t="shared" si="2"/>
        <v>1</v>
      </c>
      <c r="L135" t="str">
        <f>MID(E137,24,3)</f>
        <v>XIP</v>
      </c>
      <c r="M135" t="str">
        <f>MID(E138,22,25)</f>
        <v>"XICOTEPEC";</v>
      </c>
    </row>
    <row r="136" spans="1:13" hidden="1" x14ac:dyDescent="0.2">
      <c r="B136" t="s">
        <v>294</v>
      </c>
      <c r="E136" t="s">
        <v>296</v>
      </c>
      <c r="K136" t="str">
        <f t="shared" si="2"/>
        <v/>
      </c>
    </row>
    <row r="137" spans="1:13" hidden="1" x14ac:dyDescent="0.2">
      <c r="E137" t="s">
        <v>628</v>
      </c>
      <c r="K137" t="str">
        <f t="shared" si="2"/>
        <v/>
      </c>
    </row>
    <row r="138" spans="1:13" hidden="1" x14ac:dyDescent="0.2">
      <c r="E138" t="s">
        <v>629</v>
      </c>
      <c r="K138" t="str">
        <f t="shared" si="2"/>
        <v/>
      </c>
    </row>
    <row r="139" spans="1:13" hidden="1" x14ac:dyDescent="0.2">
      <c r="E139" t="s">
        <v>297</v>
      </c>
      <c r="K139" t="str">
        <f t="shared" si="2"/>
        <v/>
      </c>
    </row>
    <row r="140" spans="1:13" hidden="1" x14ac:dyDescent="0.2">
      <c r="D140" t="s">
        <v>298</v>
      </c>
      <c r="K140" t="str">
        <f t="shared" si="2"/>
        <v/>
      </c>
    </row>
    <row r="141" spans="1:13" hidden="1" x14ac:dyDescent="0.2">
      <c r="A141" t="s">
        <v>294</v>
      </c>
      <c r="K141" t="str">
        <f t="shared" si="2"/>
        <v/>
      </c>
    </row>
    <row r="142" spans="1:13" x14ac:dyDescent="0.2">
      <c r="B142" t="s">
        <v>294</v>
      </c>
      <c r="D142" t="s">
        <v>300</v>
      </c>
      <c r="K142" t="str">
        <f t="shared" si="2"/>
        <v>2</v>
      </c>
      <c r="L142" t="str">
        <f>MID(E144,24,3)</f>
        <v>AOC</v>
      </c>
      <c r="M142" t="str">
        <f>MID(E145,22,25)</f>
        <v>"ACTOPAN";</v>
      </c>
    </row>
    <row r="143" spans="1:13" hidden="1" x14ac:dyDescent="0.2">
      <c r="B143" t="s">
        <v>294</v>
      </c>
      <c r="E143" t="s">
        <v>296</v>
      </c>
      <c r="K143" t="str">
        <f t="shared" si="2"/>
        <v/>
      </c>
    </row>
    <row r="144" spans="1:13" hidden="1" x14ac:dyDescent="0.2">
      <c r="E144" t="s">
        <v>630</v>
      </c>
      <c r="K144" t="str">
        <f t="shared" si="2"/>
        <v/>
      </c>
    </row>
    <row r="145" spans="1:13" hidden="1" x14ac:dyDescent="0.2">
      <c r="E145" t="s">
        <v>631</v>
      </c>
      <c r="K145" t="str">
        <f t="shared" si="2"/>
        <v/>
      </c>
    </row>
    <row r="146" spans="1:13" hidden="1" x14ac:dyDescent="0.2">
      <c r="E146" t="s">
        <v>297</v>
      </c>
      <c r="K146" t="str">
        <f t="shared" si="2"/>
        <v/>
      </c>
    </row>
    <row r="147" spans="1:13" hidden="1" x14ac:dyDescent="0.2">
      <c r="D147" t="s">
        <v>298</v>
      </c>
      <c r="K147" t="str">
        <f t="shared" si="2"/>
        <v/>
      </c>
    </row>
    <row r="148" spans="1:13" hidden="1" x14ac:dyDescent="0.2">
      <c r="A148" t="s">
        <v>294</v>
      </c>
      <c r="K148" t="str">
        <f t="shared" si="2"/>
        <v/>
      </c>
    </row>
    <row r="149" spans="1:13" x14ac:dyDescent="0.2">
      <c r="B149" t="s">
        <v>294</v>
      </c>
      <c r="D149" t="s">
        <v>300</v>
      </c>
      <c r="K149" t="str">
        <f t="shared" si="2"/>
        <v>2</v>
      </c>
      <c r="L149" t="str">
        <f>MID(E151,24,3)</f>
        <v>CMT</v>
      </c>
      <c r="M149" t="str">
        <f>MID(E152,22,25)</f>
        <v>"CEMENTOS MOCTEZUMA";</v>
      </c>
    </row>
    <row r="150" spans="1:13" hidden="1" x14ac:dyDescent="0.2">
      <c r="B150" t="s">
        <v>294</v>
      </c>
      <c r="E150" t="s">
        <v>296</v>
      </c>
      <c r="K150" t="str">
        <f t="shared" si="2"/>
        <v/>
      </c>
    </row>
    <row r="151" spans="1:13" hidden="1" x14ac:dyDescent="0.2">
      <c r="E151" t="s">
        <v>632</v>
      </c>
      <c r="K151" t="str">
        <f t="shared" si="2"/>
        <v/>
      </c>
    </row>
    <row r="152" spans="1:13" hidden="1" x14ac:dyDescent="0.2">
      <c r="E152" t="s">
        <v>633</v>
      </c>
      <c r="K152" t="str">
        <f t="shared" si="2"/>
        <v/>
      </c>
    </row>
    <row r="153" spans="1:13" hidden="1" x14ac:dyDescent="0.2">
      <c r="E153" t="s">
        <v>297</v>
      </c>
      <c r="K153" t="str">
        <f t="shared" si="2"/>
        <v/>
      </c>
    </row>
    <row r="154" spans="1:13" hidden="1" x14ac:dyDescent="0.2">
      <c r="D154" t="s">
        <v>298</v>
      </c>
      <c r="K154" t="str">
        <f t="shared" si="2"/>
        <v/>
      </c>
    </row>
    <row r="155" spans="1:13" hidden="1" x14ac:dyDescent="0.2">
      <c r="A155" t="s">
        <v>294</v>
      </c>
      <c r="K155" t="str">
        <f t="shared" si="2"/>
        <v/>
      </c>
    </row>
    <row r="156" spans="1:13" x14ac:dyDescent="0.2">
      <c r="B156" t="s">
        <v>294</v>
      </c>
      <c r="D156" t="s">
        <v>300</v>
      </c>
      <c r="K156" t="str">
        <f t="shared" si="2"/>
        <v>2</v>
      </c>
      <c r="L156" t="str">
        <f>MID(E158,24,3)</f>
        <v>COP</v>
      </c>
      <c r="M156" t="str">
        <f>MID(E159,22,25)</f>
        <v>"COATEPEC";</v>
      </c>
    </row>
    <row r="157" spans="1:13" hidden="1" x14ac:dyDescent="0.2">
      <c r="B157" t="s">
        <v>294</v>
      </c>
      <c r="E157" t="s">
        <v>296</v>
      </c>
      <c r="K157" t="str">
        <f t="shared" si="2"/>
        <v/>
      </c>
    </row>
    <row r="158" spans="1:13" hidden="1" x14ac:dyDescent="0.2">
      <c r="E158" t="s">
        <v>301</v>
      </c>
      <c r="K158" t="str">
        <f t="shared" si="2"/>
        <v/>
      </c>
    </row>
    <row r="159" spans="1:13" hidden="1" x14ac:dyDescent="0.2">
      <c r="E159" t="s">
        <v>634</v>
      </c>
      <c r="K159" t="str">
        <f t="shared" si="2"/>
        <v/>
      </c>
    </row>
    <row r="160" spans="1:13" hidden="1" x14ac:dyDescent="0.2">
      <c r="E160" t="s">
        <v>297</v>
      </c>
      <c r="K160" t="str">
        <f t="shared" si="2"/>
        <v/>
      </c>
    </row>
    <row r="161" spans="1:13" hidden="1" x14ac:dyDescent="0.2">
      <c r="D161" t="s">
        <v>298</v>
      </c>
      <c r="K161" t="str">
        <f t="shared" si="2"/>
        <v/>
      </c>
    </row>
    <row r="162" spans="1:13" hidden="1" x14ac:dyDescent="0.2">
      <c r="A162" t="s">
        <v>294</v>
      </c>
      <c r="K162" t="str">
        <f t="shared" si="2"/>
        <v/>
      </c>
    </row>
    <row r="163" spans="1:13" x14ac:dyDescent="0.2">
      <c r="B163" t="s">
        <v>294</v>
      </c>
      <c r="D163" t="s">
        <v>300</v>
      </c>
      <c r="K163" t="str">
        <f t="shared" si="2"/>
        <v>2</v>
      </c>
      <c r="L163" t="str">
        <f>MID(E165,24,3)</f>
        <v>ELC</v>
      </c>
      <c r="M163" t="str">
        <f>MID(E166,22,25)</f>
        <v>"EL CASTILLO";</v>
      </c>
    </row>
    <row r="164" spans="1:13" hidden="1" x14ac:dyDescent="0.2">
      <c r="B164" t="s">
        <v>294</v>
      </c>
      <c r="E164" t="s">
        <v>296</v>
      </c>
      <c r="K164" t="str">
        <f t="shared" si="2"/>
        <v/>
      </c>
    </row>
    <row r="165" spans="1:13" hidden="1" x14ac:dyDescent="0.2">
      <c r="E165" t="s">
        <v>635</v>
      </c>
      <c r="K165" t="str">
        <f t="shared" si="2"/>
        <v/>
      </c>
    </row>
    <row r="166" spans="1:13" hidden="1" x14ac:dyDescent="0.2">
      <c r="E166" t="s">
        <v>636</v>
      </c>
      <c r="K166" t="str">
        <f t="shared" si="2"/>
        <v/>
      </c>
    </row>
    <row r="167" spans="1:13" hidden="1" x14ac:dyDescent="0.2">
      <c r="E167" t="s">
        <v>297</v>
      </c>
      <c r="K167" t="str">
        <f t="shared" si="2"/>
        <v/>
      </c>
    </row>
    <row r="168" spans="1:13" hidden="1" x14ac:dyDescent="0.2">
      <c r="D168" t="s">
        <v>298</v>
      </c>
      <c r="K168" t="str">
        <f t="shared" si="2"/>
        <v/>
      </c>
    </row>
    <row r="169" spans="1:13" hidden="1" x14ac:dyDescent="0.2">
      <c r="A169" t="s">
        <v>294</v>
      </c>
      <c r="K169" t="str">
        <f t="shared" si="2"/>
        <v/>
      </c>
    </row>
    <row r="170" spans="1:13" x14ac:dyDescent="0.2">
      <c r="B170" t="s">
        <v>294</v>
      </c>
      <c r="D170" t="s">
        <v>300</v>
      </c>
      <c r="K170" t="str">
        <f t="shared" si="2"/>
        <v>2</v>
      </c>
      <c r="L170" t="str">
        <f>MID(E172,24,3)</f>
        <v>CEO</v>
      </c>
      <c r="M170" t="str">
        <f>MID(E173,22,25)</f>
        <v>"EL CERRO";</v>
      </c>
    </row>
    <row r="171" spans="1:13" hidden="1" x14ac:dyDescent="0.2">
      <c r="B171" t="s">
        <v>294</v>
      </c>
      <c r="E171" t="s">
        <v>296</v>
      </c>
      <c r="K171" t="str">
        <f t="shared" si="2"/>
        <v/>
      </c>
    </row>
    <row r="172" spans="1:13" hidden="1" x14ac:dyDescent="0.2">
      <c r="E172" t="s">
        <v>637</v>
      </c>
      <c r="K172" t="str">
        <f t="shared" si="2"/>
        <v/>
      </c>
    </row>
    <row r="173" spans="1:13" hidden="1" x14ac:dyDescent="0.2">
      <c r="E173" t="s">
        <v>638</v>
      </c>
      <c r="K173" t="str">
        <f t="shared" si="2"/>
        <v/>
      </c>
    </row>
    <row r="174" spans="1:13" hidden="1" x14ac:dyDescent="0.2">
      <c r="E174" t="s">
        <v>297</v>
      </c>
      <c r="K174" t="str">
        <f t="shared" si="2"/>
        <v/>
      </c>
    </row>
    <row r="175" spans="1:13" hidden="1" x14ac:dyDescent="0.2">
      <c r="D175" t="s">
        <v>298</v>
      </c>
      <c r="K175" t="str">
        <f t="shared" si="2"/>
        <v/>
      </c>
    </row>
    <row r="176" spans="1:13" hidden="1" x14ac:dyDescent="0.2">
      <c r="A176" t="s">
        <v>294</v>
      </c>
      <c r="K176" t="str">
        <f t="shared" si="2"/>
        <v/>
      </c>
    </row>
    <row r="177" spans="1:13" x14ac:dyDescent="0.2">
      <c r="B177" t="s">
        <v>294</v>
      </c>
      <c r="D177" t="s">
        <v>300</v>
      </c>
      <c r="K177" t="str">
        <f t="shared" si="2"/>
        <v>2</v>
      </c>
      <c r="L177" t="str">
        <f>MID(E179,24,3)</f>
        <v>JLD</v>
      </c>
      <c r="M177" t="str">
        <f>MID(E180,22,25)</f>
        <v>"JALAPA DOS";</v>
      </c>
    </row>
    <row r="178" spans="1:13" hidden="1" x14ac:dyDescent="0.2">
      <c r="B178" t="s">
        <v>294</v>
      </c>
      <c r="E178" t="s">
        <v>296</v>
      </c>
      <c r="K178" t="str">
        <f t="shared" si="2"/>
        <v/>
      </c>
    </row>
    <row r="179" spans="1:13" hidden="1" x14ac:dyDescent="0.2">
      <c r="E179" t="s">
        <v>639</v>
      </c>
      <c r="K179" t="str">
        <f t="shared" si="2"/>
        <v/>
      </c>
    </row>
    <row r="180" spans="1:13" hidden="1" x14ac:dyDescent="0.2">
      <c r="E180" t="s">
        <v>640</v>
      </c>
      <c r="K180" t="str">
        <f t="shared" si="2"/>
        <v/>
      </c>
    </row>
    <row r="181" spans="1:13" hidden="1" x14ac:dyDescent="0.2">
      <c r="E181" t="s">
        <v>297</v>
      </c>
      <c r="K181" t="str">
        <f t="shared" si="2"/>
        <v/>
      </c>
    </row>
    <row r="182" spans="1:13" hidden="1" x14ac:dyDescent="0.2">
      <c r="D182" t="s">
        <v>298</v>
      </c>
      <c r="K182" t="str">
        <f t="shared" si="2"/>
        <v/>
      </c>
    </row>
    <row r="183" spans="1:13" hidden="1" x14ac:dyDescent="0.2">
      <c r="A183" t="s">
        <v>294</v>
      </c>
      <c r="K183" t="str">
        <f t="shared" si="2"/>
        <v/>
      </c>
    </row>
    <row r="184" spans="1:13" x14ac:dyDescent="0.2">
      <c r="B184" t="s">
        <v>294</v>
      </c>
      <c r="D184" t="s">
        <v>300</v>
      </c>
      <c r="K184" t="str">
        <f t="shared" si="2"/>
        <v>2</v>
      </c>
      <c r="L184" t="str">
        <f>MID(E186,24,3)</f>
        <v>RNA</v>
      </c>
      <c r="M184" t="str">
        <f>MID(E187,22,25)</f>
        <v>"LA REINA";</v>
      </c>
    </row>
    <row r="185" spans="1:13" hidden="1" x14ac:dyDescent="0.2">
      <c r="B185" t="s">
        <v>294</v>
      </c>
      <c r="E185" t="s">
        <v>296</v>
      </c>
      <c r="K185" t="str">
        <f t="shared" si="2"/>
        <v/>
      </c>
    </row>
    <row r="186" spans="1:13" hidden="1" x14ac:dyDescent="0.2">
      <c r="E186" t="s">
        <v>641</v>
      </c>
      <c r="K186" t="str">
        <f t="shared" si="2"/>
        <v/>
      </c>
    </row>
    <row r="187" spans="1:13" hidden="1" x14ac:dyDescent="0.2">
      <c r="E187" t="s">
        <v>642</v>
      </c>
      <c r="K187" t="str">
        <f t="shared" si="2"/>
        <v/>
      </c>
    </row>
    <row r="188" spans="1:13" hidden="1" x14ac:dyDescent="0.2">
      <c r="E188" t="s">
        <v>297</v>
      </c>
      <c r="K188" t="str">
        <f t="shared" si="2"/>
        <v/>
      </c>
    </row>
    <row r="189" spans="1:13" hidden="1" x14ac:dyDescent="0.2">
      <c r="D189" t="s">
        <v>298</v>
      </c>
      <c r="K189" t="str">
        <f t="shared" si="2"/>
        <v/>
      </c>
    </row>
    <row r="190" spans="1:13" hidden="1" x14ac:dyDescent="0.2">
      <c r="A190" t="s">
        <v>294</v>
      </c>
      <c r="K190" t="str">
        <f t="shared" si="2"/>
        <v/>
      </c>
    </row>
    <row r="191" spans="1:13" x14ac:dyDescent="0.2">
      <c r="B191" t="s">
        <v>294</v>
      </c>
      <c r="D191" t="s">
        <v>300</v>
      </c>
      <c r="K191" t="str">
        <f t="shared" si="2"/>
        <v>2</v>
      </c>
      <c r="L191" t="str">
        <f>MID(E193,24,3)</f>
        <v>TRN</v>
      </c>
      <c r="M191" t="str">
        <f>MID(E194,22,25)</f>
        <v>"LAS TRANCAS";</v>
      </c>
    </row>
    <row r="192" spans="1:13" hidden="1" x14ac:dyDescent="0.2">
      <c r="B192" t="s">
        <v>294</v>
      </c>
      <c r="E192" t="s">
        <v>296</v>
      </c>
      <c r="K192" t="str">
        <f t="shared" si="2"/>
        <v/>
      </c>
    </row>
    <row r="193" spans="1:13" hidden="1" x14ac:dyDescent="0.2">
      <c r="E193" t="s">
        <v>643</v>
      </c>
      <c r="K193" t="str">
        <f t="shared" si="2"/>
        <v/>
      </c>
    </row>
    <row r="194" spans="1:13" hidden="1" x14ac:dyDescent="0.2">
      <c r="E194" t="s">
        <v>644</v>
      </c>
      <c r="K194" t="str">
        <f t="shared" si="2"/>
        <v/>
      </c>
    </row>
    <row r="195" spans="1:13" hidden="1" x14ac:dyDescent="0.2">
      <c r="E195" t="s">
        <v>297</v>
      </c>
      <c r="K195" t="str">
        <f t="shared" ref="K195:K258" si="3">MID(D195,11,1)</f>
        <v/>
      </c>
    </row>
    <row r="196" spans="1:13" hidden="1" x14ac:dyDescent="0.2">
      <c r="D196" t="s">
        <v>298</v>
      </c>
      <c r="K196" t="str">
        <f t="shared" si="3"/>
        <v/>
      </c>
    </row>
    <row r="197" spans="1:13" hidden="1" x14ac:dyDescent="0.2">
      <c r="A197" t="s">
        <v>294</v>
      </c>
      <c r="K197" t="str">
        <f t="shared" si="3"/>
        <v/>
      </c>
    </row>
    <row r="198" spans="1:13" x14ac:dyDescent="0.2">
      <c r="B198" t="s">
        <v>294</v>
      </c>
      <c r="D198" t="s">
        <v>302</v>
      </c>
      <c r="K198" t="str">
        <f t="shared" si="3"/>
        <v>3</v>
      </c>
      <c r="L198" t="str">
        <f>MID(E200,24,3)</f>
        <v>TTG</v>
      </c>
      <c r="M198" t="str">
        <f>MID(E201,22,25)</f>
        <v>"ALTOTONGA II";</v>
      </c>
    </row>
    <row r="199" spans="1:13" hidden="1" x14ac:dyDescent="0.2">
      <c r="B199" t="s">
        <v>294</v>
      </c>
      <c r="E199" t="s">
        <v>296</v>
      </c>
      <c r="K199" t="str">
        <f t="shared" si="3"/>
        <v/>
      </c>
    </row>
    <row r="200" spans="1:13" hidden="1" x14ac:dyDescent="0.2">
      <c r="E200" t="s">
        <v>645</v>
      </c>
      <c r="K200" t="str">
        <f t="shared" si="3"/>
        <v/>
      </c>
    </row>
    <row r="201" spans="1:13" hidden="1" x14ac:dyDescent="0.2">
      <c r="E201" t="s">
        <v>646</v>
      </c>
      <c r="K201" t="str">
        <f t="shared" si="3"/>
        <v/>
      </c>
    </row>
    <row r="202" spans="1:13" hidden="1" x14ac:dyDescent="0.2">
      <c r="E202" t="s">
        <v>297</v>
      </c>
      <c r="K202" t="str">
        <f t="shared" si="3"/>
        <v/>
      </c>
    </row>
    <row r="203" spans="1:13" hidden="1" x14ac:dyDescent="0.2">
      <c r="D203" t="s">
        <v>298</v>
      </c>
      <c r="K203" t="str">
        <f t="shared" si="3"/>
        <v/>
      </c>
    </row>
    <row r="204" spans="1:13" hidden="1" x14ac:dyDescent="0.2">
      <c r="A204" t="s">
        <v>294</v>
      </c>
      <c r="K204" t="str">
        <f t="shared" si="3"/>
        <v/>
      </c>
    </row>
    <row r="205" spans="1:13" x14ac:dyDescent="0.2">
      <c r="B205" t="s">
        <v>294</v>
      </c>
      <c r="D205" t="s">
        <v>302</v>
      </c>
      <c r="K205" t="str">
        <f t="shared" si="3"/>
        <v>3</v>
      </c>
      <c r="L205" t="str">
        <f>MID(E207,24,3)</f>
        <v>AXO</v>
      </c>
      <c r="M205" t="str">
        <f>MID(E208,22,25)</f>
        <v>"ATEXCACO";</v>
      </c>
    </row>
    <row r="206" spans="1:13" hidden="1" x14ac:dyDescent="0.2">
      <c r="B206" t="s">
        <v>294</v>
      </c>
      <c r="E206" t="s">
        <v>296</v>
      </c>
      <c r="K206" t="str">
        <f t="shared" si="3"/>
        <v/>
      </c>
    </row>
    <row r="207" spans="1:13" hidden="1" x14ac:dyDescent="0.2">
      <c r="E207" t="s">
        <v>647</v>
      </c>
      <c r="K207" t="str">
        <f t="shared" si="3"/>
        <v/>
      </c>
    </row>
    <row r="208" spans="1:13" hidden="1" x14ac:dyDescent="0.2">
      <c r="E208" t="s">
        <v>648</v>
      </c>
      <c r="K208" t="str">
        <f t="shared" si="3"/>
        <v/>
      </c>
    </row>
    <row r="209" spans="1:13" hidden="1" x14ac:dyDescent="0.2">
      <c r="E209" t="s">
        <v>297</v>
      </c>
      <c r="K209" t="str">
        <f t="shared" si="3"/>
        <v/>
      </c>
    </row>
    <row r="210" spans="1:13" hidden="1" x14ac:dyDescent="0.2">
      <c r="D210" t="s">
        <v>298</v>
      </c>
      <c r="K210" t="str">
        <f t="shared" si="3"/>
        <v/>
      </c>
    </row>
    <row r="211" spans="1:13" hidden="1" x14ac:dyDescent="0.2">
      <c r="A211" t="s">
        <v>294</v>
      </c>
      <c r="K211" t="str">
        <f t="shared" si="3"/>
        <v/>
      </c>
    </row>
    <row r="212" spans="1:13" x14ac:dyDescent="0.2">
      <c r="B212" t="s">
        <v>294</v>
      </c>
      <c r="D212" t="s">
        <v>302</v>
      </c>
      <c r="K212" t="str">
        <f t="shared" si="3"/>
        <v>3</v>
      </c>
      <c r="L212" t="str">
        <f>MID(E214,24,3)</f>
        <v>ECT</v>
      </c>
      <c r="M212" t="str">
        <f>MID(E215,22,25)</f>
        <v>"EL ENCANTO";</v>
      </c>
    </row>
    <row r="213" spans="1:13" hidden="1" x14ac:dyDescent="0.2">
      <c r="B213" t="s">
        <v>294</v>
      </c>
      <c r="E213" t="s">
        <v>296</v>
      </c>
      <c r="K213" t="str">
        <f t="shared" si="3"/>
        <v/>
      </c>
    </row>
    <row r="214" spans="1:13" hidden="1" x14ac:dyDescent="0.2">
      <c r="E214" t="s">
        <v>649</v>
      </c>
      <c r="K214" t="str">
        <f t="shared" si="3"/>
        <v/>
      </c>
    </row>
    <row r="215" spans="1:13" hidden="1" x14ac:dyDescent="0.2">
      <c r="E215" t="s">
        <v>650</v>
      </c>
      <c r="K215" t="str">
        <f t="shared" si="3"/>
        <v/>
      </c>
    </row>
    <row r="216" spans="1:13" hidden="1" x14ac:dyDescent="0.2">
      <c r="E216" t="s">
        <v>297</v>
      </c>
      <c r="K216" t="str">
        <f t="shared" si="3"/>
        <v/>
      </c>
    </row>
    <row r="217" spans="1:13" hidden="1" x14ac:dyDescent="0.2">
      <c r="D217" t="s">
        <v>298</v>
      </c>
      <c r="K217" t="str">
        <f t="shared" si="3"/>
        <v/>
      </c>
    </row>
    <row r="218" spans="1:13" hidden="1" x14ac:dyDescent="0.2">
      <c r="A218" t="s">
        <v>294</v>
      </c>
      <c r="K218" t="str">
        <f t="shared" si="3"/>
        <v/>
      </c>
    </row>
    <row r="219" spans="1:13" x14ac:dyDescent="0.2">
      <c r="B219" t="s">
        <v>294</v>
      </c>
      <c r="D219" t="s">
        <v>302</v>
      </c>
      <c r="K219" t="str">
        <f t="shared" si="3"/>
        <v>3</v>
      </c>
      <c r="L219" t="str">
        <f>MID(E221,24,3)</f>
        <v>HYN</v>
      </c>
      <c r="M219" t="str">
        <f>MID(E222,22,25)</f>
        <v>"HUEYAPAN II";</v>
      </c>
    </row>
    <row r="220" spans="1:13" hidden="1" x14ac:dyDescent="0.2">
      <c r="B220" t="s">
        <v>294</v>
      </c>
      <c r="E220" t="s">
        <v>296</v>
      </c>
      <c r="K220" t="str">
        <f t="shared" si="3"/>
        <v/>
      </c>
    </row>
    <row r="221" spans="1:13" hidden="1" x14ac:dyDescent="0.2">
      <c r="E221" t="s">
        <v>651</v>
      </c>
      <c r="K221" t="str">
        <f t="shared" si="3"/>
        <v/>
      </c>
    </row>
    <row r="222" spans="1:13" hidden="1" x14ac:dyDescent="0.2">
      <c r="E222" t="s">
        <v>652</v>
      </c>
      <c r="K222" t="str">
        <f t="shared" si="3"/>
        <v/>
      </c>
    </row>
    <row r="223" spans="1:13" hidden="1" x14ac:dyDescent="0.2">
      <c r="E223" t="s">
        <v>297</v>
      </c>
      <c r="K223" t="str">
        <f t="shared" si="3"/>
        <v/>
      </c>
    </row>
    <row r="224" spans="1:13" hidden="1" x14ac:dyDescent="0.2">
      <c r="D224" t="s">
        <v>298</v>
      </c>
      <c r="K224" t="str">
        <f t="shared" si="3"/>
        <v/>
      </c>
    </row>
    <row r="225" spans="1:13" hidden="1" x14ac:dyDescent="0.2">
      <c r="A225" t="s">
        <v>294</v>
      </c>
      <c r="K225" t="str">
        <f t="shared" si="3"/>
        <v/>
      </c>
    </row>
    <row r="226" spans="1:13" x14ac:dyDescent="0.2">
      <c r="B226" t="s">
        <v>294</v>
      </c>
      <c r="D226" t="s">
        <v>302</v>
      </c>
      <c r="K226" t="str">
        <f t="shared" si="3"/>
        <v>3</v>
      </c>
      <c r="L226" t="str">
        <f>MID(E228,24,3)</f>
        <v>HMD</v>
      </c>
      <c r="M226" t="str">
        <f>MID(E229,22,25)</f>
        <v>"HUMEROS DOS";</v>
      </c>
    </row>
    <row r="227" spans="1:13" hidden="1" x14ac:dyDescent="0.2">
      <c r="B227" t="s">
        <v>294</v>
      </c>
      <c r="E227" t="s">
        <v>296</v>
      </c>
      <c r="K227" t="str">
        <f t="shared" si="3"/>
        <v/>
      </c>
    </row>
    <row r="228" spans="1:13" hidden="1" x14ac:dyDescent="0.2">
      <c r="E228" t="s">
        <v>653</v>
      </c>
      <c r="K228" t="str">
        <f t="shared" si="3"/>
        <v/>
      </c>
    </row>
    <row r="229" spans="1:13" hidden="1" x14ac:dyDescent="0.2">
      <c r="E229" t="s">
        <v>654</v>
      </c>
      <c r="K229" t="str">
        <f t="shared" si="3"/>
        <v/>
      </c>
    </row>
    <row r="230" spans="1:13" hidden="1" x14ac:dyDescent="0.2">
      <c r="E230" t="s">
        <v>297</v>
      </c>
      <c r="K230" t="str">
        <f t="shared" si="3"/>
        <v/>
      </c>
    </row>
    <row r="231" spans="1:13" hidden="1" x14ac:dyDescent="0.2">
      <c r="D231" t="s">
        <v>298</v>
      </c>
      <c r="K231" t="str">
        <f t="shared" si="3"/>
        <v/>
      </c>
    </row>
    <row r="232" spans="1:13" hidden="1" x14ac:dyDescent="0.2">
      <c r="A232" t="s">
        <v>294</v>
      </c>
      <c r="K232" t="str">
        <f t="shared" si="3"/>
        <v/>
      </c>
    </row>
    <row r="233" spans="1:13" x14ac:dyDescent="0.2">
      <c r="B233" t="s">
        <v>294</v>
      </c>
      <c r="D233" t="s">
        <v>302</v>
      </c>
      <c r="K233" t="str">
        <f t="shared" si="3"/>
        <v>3</v>
      </c>
      <c r="L233" t="str">
        <f>MID(E235,24,3)</f>
        <v>HMT</v>
      </c>
      <c r="M233" t="str">
        <f>MID(E236,22,25)</f>
        <v>"Humeros Tres";</v>
      </c>
    </row>
    <row r="234" spans="1:13" hidden="1" x14ac:dyDescent="0.2">
      <c r="B234" t="s">
        <v>294</v>
      </c>
      <c r="E234" t="s">
        <v>296</v>
      </c>
      <c r="K234" t="str">
        <f t="shared" si="3"/>
        <v/>
      </c>
    </row>
    <row r="235" spans="1:13" hidden="1" x14ac:dyDescent="0.2">
      <c r="E235" t="s">
        <v>655</v>
      </c>
      <c r="K235" t="str">
        <f t="shared" si="3"/>
        <v/>
      </c>
    </row>
    <row r="236" spans="1:13" hidden="1" x14ac:dyDescent="0.2">
      <c r="E236" t="s">
        <v>656</v>
      </c>
      <c r="K236" t="str">
        <f t="shared" si="3"/>
        <v/>
      </c>
    </row>
    <row r="237" spans="1:13" hidden="1" x14ac:dyDescent="0.2">
      <c r="E237" t="s">
        <v>297</v>
      </c>
      <c r="K237" t="str">
        <f t="shared" si="3"/>
        <v/>
      </c>
    </row>
    <row r="238" spans="1:13" hidden="1" x14ac:dyDescent="0.2">
      <c r="D238" t="s">
        <v>298</v>
      </c>
      <c r="K238" t="str">
        <f t="shared" si="3"/>
        <v/>
      </c>
    </row>
    <row r="239" spans="1:13" hidden="1" x14ac:dyDescent="0.2">
      <c r="A239" t="s">
        <v>294</v>
      </c>
      <c r="K239" t="str">
        <f t="shared" si="3"/>
        <v/>
      </c>
    </row>
    <row r="240" spans="1:13" x14ac:dyDescent="0.2">
      <c r="B240" t="s">
        <v>294</v>
      </c>
      <c r="D240" t="s">
        <v>302</v>
      </c>
      <c r="K240" t="str">
        <f t="shared" si="3"/>
        <v>3</v>
      </c>
      <c r="L240" t="str">
        <f>MID(E242,24,3)</f>
        <v>JAL</v>
      </c>
      <c r="M240" t="str">
        <f>MID(E243,22,25)</f>
        <v>"JALACINGO";</v>
      </c>
    </row>
    <row r="241" spans="1:13" hidden="1" x14ac:dyDescent="0.2">
      <c r="B241" t="s">
        <v>294</v>
      </c>
      <c r="E241" t="s">
        <v>296</v>
      </c>
      <c r="K241" t="str">
        <f t="shared" si="3"/>
        <v/>
      </c>
    </row>
    <row r="242" spans="1:13" hidden="1" x14ac:dyDescent="0.2">
      <c r="E242" t="s">
        <v>657</v>
      </c>
      <c r="K242" t="str">
        <f t="shared" si="3"/>
        <v/>
      </c>
    </row>
    <row r="243" spans="1:13" hidden="1" x14ac:dyDescent="0.2">
      <c r="E243" t="s">
        <v>658</v>
      </c>
      <c r="K243" t="str">
        <f t="shared" si="3"/>
        <v/>
      </c>
    </row>
    <row r="244" spans="1:13" hidden="1" x14ac:dyDescent="0.2">
      <c r="E244" t="s">
        <v>297</v>
      </c>
      <c r="K244" t="str">
        <f t="shared" si="3"/>
        <v/>
      </c>
    </row>
    <row r="245" spans="1:13" hidden="1" x14ac:dyDescent="0.2">
      <c r="D245" t="s">
        <v>298</v>
      </c>
      <c r="K245" t="str">
        <f t="shared" si="3"/>
        <v/>
      </c>
    </row>
    <row r="246" spans="1:13" hidden="1" x14ac:dyDescent="0.2">
      <c r="A246" t="s">
        <v>294</v>
      </c>
      <c r="K246" t="str">
        <f t="shared" si="3"/>
        <v/>
      </c>
    </row>
    <row r="247" spans="1:13" x14ac:dyDescent="0.2">
      <c r="B247" t="s">
        <v>294</v>
      </c>
      <c r="D247" t="s">
        <v>302</v>
      </c>
      <c r="K247" t="str">
        <f t="shared" si="3"/>
        <v>3</v>
      </c>
      <c r="L247" t="str">
        <f>MID(E249,24,3)</f>
        <v>LGP</v>
      </c>
      <c r="M247" t="str">
        <f>MID(E250,22,25)</f>
        <v>"LA GUADALUPE";</v>
      </c>
    </row>
    <row r="248" spans="1:13" hidden="1" x14ac:dyDescent="0.2">
      <c r="B248" t="s">
        <v>294</v>
      </c>
      <c r="E248" t="s">
        <v>296</v>
      </c>
      <c r="K248" t="str">
        <f t="shared" si="3"/>
        <v/>
      </c>
    </row>
    <row r="249" spans="1:13" hidden="1" x14ac:dyDescent="0.2">
      <c r="E249" t="s">
        <v>659</v>
      </c>
      <c r="K249" t="str">
        <f t="shared" si="3"/>
        <v/>
      </c>
    </row>
    <row r="250" spans="1:13" hidden="1" x14ac:dyDescent="0.2">
      <c r="E250" t="s">
        <v>660</v>
      </c>
      <c r="K250" t="str">
        <f t="shared" si="3"/>
        <v/>
      </c>
    </row>
    <row r="251" spans="1:13" hidden="1" x14ac:dyDescent="0.2">
      <c r="E251" t="s">
        <v>297</v>
      </c>
      <c r="K251" t="str">
        <f t="shared" si="3"/>
        <v/>
      </c>
    </row>
    <row r="252" spans="1:13" hidden="1" x14ac:dyDescent="0.2">
      <c r="D252" t="s">
        <v>298</v>
      </c>
      <c r="K252" t="str">
        <f t="shared" si="3"/>
        <v/>
      </c>
    </row>
    <row r="253" spans="1:13" hidden="1" x14ac:dyDescent="0.2">
      <c r="A253" t="s">
        <v>294</v>
      </c>
      <c r="K253" t="str">
        <f t="shared" si="3"/>
        <v/>
      </c>
    </row>
    <row r="254" spans="1:13" x14ac:dyDescent="0.2">
      <c r="B254" t="s">
        <v>294</v>
      </c>
      <c r="D254" t="s">
        <v>302</v>
      </c>
      <c r="K254" t="str">
        <f t="shared" si="3"/>
        <v>3</v>
      </c>
      <c r="L254" t="str">
        <f>MID(E256,24,3)</f>
        <v>MIS</v>
      </c>
      <c r="M254" t="str">
        <f>MID(E257,22,25)</f>
        <v>"LAS MINAS";</v>
      </c>
    </row>
    <row r="255" spans="1:13" hidden="1" x14ac:dyDescent="0.2">
      <c r="B255" t="s">
        <v>294</v>
      </c>
      <c r="E255" t="s">
        <v>296</v>
      </c>
      <c r="K255" t="str">
        <f t="shared" si="3"/>
        <v/>
      </c>
    </row>
    <row r="256" spans="1:13" hidden="1" x14ac:dyDescent="0.2">
      <c r="E256" t="s">
        <v>661</v>
      </c>
      <c r="K256" t="str">
        <f t="shared" si="3"/>
        <v/>
      </c>
    </row>
    <row r="257" spans="1:13" hidden="1" x14ac:dyDescent="0.2">
      <c r="E257" t="s">
        <v>662</v>
      </c>
      <c r="K257" t="str">
        <f t="shared" si="3"/>
        <v/>
      </c>
    </row>
    <row r="258" spans="1:13" hidden="1" x14ac:dyDescent="0.2">
      <c r="E258" t="s">
        <v>297</v>
      </c>
      <c r="K258" t="str">
        <f t="shared" si="3"/>
        <v/>
      </c>
    </row>
    <row r="259" spans="1:13" hidden="1" x14ac:dyDescent="0.2">
      <c r="D259" t="s">
        <v>298</v>
      </c>
      <c r="K259" t="str">
        <f t="shared" ref="K259:K322" si="4">MID(D259,11,1)</f>
        <v/>
      </c>
    </row>
    <row r="260" spans="1:13" hidden="1" x14ac:dyDescent="0.2">
      <c r="A260" t="s">
        <v>294</v>
      </c>
      <c r="K260" t="str">
        <f t="shared" si="4"/>
        <v/>
      </c>
    </row>
    <row r="261" spans="1:13" x14ac:dyDescent="0.2">
      <c r="B261" t="s">
        <v>294</v>
      </c>
      <c r="D261" t="s">
        <v>302</v>
      </c>
      <c r="K261" t="str">
        <f t="shared" si="4"/>
        <v>3</v>
      </c>
      <c r="L261" t="str">
        <f>MID(E263,24,3)</f>
        <v>VGS</v>
      </c>
      <c r="M261" t="str">
        <f>MID(E264,22,25)</f>
        <v>"LAS VIGAS II";</v>
      </c>
    </row>
    <row r="262" spans="1:13" hidden="1" x14ac:dyDescent="0.2">
      <c r="B262" t="s">
        <v>294</v>
      </c>
      <c r="E262" t="s">
        <v>296</v>
      </c>
      <c r="K262" t="str">
        <f t="shared" si="4"/>
        <v/>
      </c>
    </row>
    <row r="263" spans="1:13" hidden="1" x14ac:dyDescent="0.2">
      <c r="E263" t="s">
        <v>663</v>
      </c>
      <c r="K263" t="str">
        <f t="shared" si="4"/>
        <v/>
      </c>
    </row>
    <row r="264" spans="1:13" hidden="1" x14ac:dyDescent="0.2">
      <c r="E264" t="s">
        <v>664</v>
      </c>
      <c r="K264" t="str">
        <f t="shared" si="4"/>
        <v/>
      </c>
    </row>
    <row r="265" spans="1:13" hidden="1" x14ac:dyDescent="0.2">
      <c r="E265" t="s">
        <v>297</v>
      </c>
      <c r="K265" t="str">
        <f t="shared" si="4"/>
        <v/>
      </c>
    </row>
    <row r="266" spans="1:13" hidden="1" x14ac:dyDescent="0.2">
      <c r="D266" t="s">
        <v>298</v>
      </c>
      <c r="K266" t="str">
        <f t="shared" si="4"/>
        <v/>
      </c>
    </row>
    <row r="267" spans="1:13" hidden="1" x14ac:dyDescent="0.2">
      <c r="A267" t="s">
        <v>294</v>
      </c>
      <c r="K267" t="str">
        <f t="shared" si="4"/>
        <v/>
      </c>
    </row>
    <row r="268" spans="1:13" x14ac:dyDescent="0.2">
      <c r="B268" t="s">
        <v>294</v>
      </c>
      <c r="D268" t="s">
        <v>302</v>
      </c>
      <c r="K268" t="str">
        <f t="shared" si="4"/>
        <v>3</v>
      </c>
      <c r="L268" t="str">
        <f>MID(E270,24,3)</f>
        <v>MGS</v>
      </c>
      <c r="M268" t="str">
        <f>MID(E271,22,25)</f>
        <v>"MARGARITAS";</v>
      </c>
    </row>
    <row r="269" spans="1:13" hidden="1" x14ac:dyDescent="0.2">
      <c r="B269" t="s">
        <v>294</v>
      </c>
      <c r="E269" t="s">
        <v>296</v>
      </c>
      <c r="K269" t="str">
        <f t="shared" si="4"/>
        <v/>
      </c>
    </row>
    <row r="270" spans="1:13" hidden="1" x14ac:dyDescent="0.2">
      <c r="E270" t="s">
        <v>665</v>
      </c>
      <c r="K270" t="str">
        <f t="shared" si="4"/>
        <v/>
      </c>
    </row>
    <row r="271" spans="1:13" hidden="1" x14ac:dyDescent="0.2">
      <c r="E271" t="s">
        <v>666</v>
      </c>
      <c r="K271" t="str">
        <f t="shared" si="4"/>
        <v/>
      </c>
    </row>
    <row r="272" spans="1:13" hidden="1" x14ac:dyDescent="0.2">
      <c r="E272" t="s">
        <v>297</v>
      </c>
      <c r="K272" t="str">
        <f t="shared" si="4"/>
        <v/>
      </c>
    </row>
    <row r="273" spans="1:13" hidden="1" x14ac:dyDescent="0.2">
      <c r="D273" t="s">
        <v>298</v>
      </c>
      <c r="K273" t="str">
        <f t="shared" si="4"/>
        <v/>
      </c>
    </row>
    <row r="274" spans="1:13" hidden="1" x14ac:dyDescent="0.2">
      <c r="A274" t="s">
        <v>294</v>
      </c>
      <c r="K274" t="str">
        <f t="shared" si="4"/>
        <v/>
      </c>
    </row>
    <row r="275" spans="1:13" x14ac:dyDescent="0.2">
      <c r="B275" t="s">
        <v>294</v>
      </c>
      <c r="D275" t="s">
        <v>302</v>
      </c>
      <c r="K275" t="str">
        <f t="shared" si="4"/>
        <v>3</v>
      </c>
      <c r="L275" t="str">
        <f>MID(E277,24,3)</f>
        <v>MDD</v>
      </c>
      <c r="M275" t="str">
        <f>MID(E278,22,25)</f>
        <v>"MARTINEZ II";</v>
      </c>
    </row>
    <row r="276" spans="1:13" hidden="1" x14ac:dyDescent="0.2">
      <c r="B276" t="s">
        <v>294</v>
      </c>
      <c r="E276" t="s">
        <v>296</v>
      </c>
      <c r="K276" t="str">
        <f t="shared" si="4"/>
        <v/>
      </c>
    </row>
    <row r="277" spans="1:13" hidden="1" x14ac:dyDescent="0.2">
      <c r="E277" t="s">
        <v>667</v>
      </c>
      <c r="K277" t="str">
        <f t="shared" si="4"/>
        <v/>
      </c>
    </row>
    <row r="278" spans="1:13" hidden="1" x14ac:dyDescent="0.2">
      <c r="E278" t="s">
        <v>668</v>
      </c>
      <c r="K278" t="str">
        <f t="shared" si="4"/>
        <v/>
      </c>
    </row>
    <row r="279" spans="1:13" hidden="1" x14ac:dyDescent="0.2">
      <c r="E279" t="s">
        <v>297</v>
      </c>
      <c r="K279" t="str">
        <f t="shared" si="4"/>
        <v/>
      </c>
    </row>
    <row r="280" spans="1:13" hidden="1" x14ac:dyDescent="0.2">
      <c r="D280" t="s">
        <v>298</v>
      </c>
      <c r="K280" t="str">
        <f t="shared" si="4"/>
        <v/>
      </c>
    </row>
    <row r="281" spans="1:13" hidden="1" x14ac:dyDescent="0.2">
      <c r="A281" t="s">
        <v>294</v>
      </c>
      <c r="K281" t="str">
        <f t="shared" si="4"/>
        <v/>
      </c>
    </row>
    <row r="282" spans="1:13" x14ac:dyDescent="0.2">
      <c r="B282" t="s">
        <v>294</v>
      </c>
      <c r="D282" t="s">
        <v>302</v>
      </c>
      <c r="K282" t="str">
        <f t="shared" si="4"/>
        <v>3</v>
      </c>
      <c r="L282" t="str">
        <f>MID(E284,24,3)</f>
        <v>MTT</v>
      </c>
      <c r="M282" t="str">
        <f>MID(E285,22,25)</f>
        <v>"MARTINEZ III";</v>
      </c>
    </row>
    <row r="283" spans="1:13" hidden="1" x14ac:dyDescent="0.2">
      <c r="B283" t="s">
        <v>294</v>
      </c>
      <c r="E283" t="s">
        <v>296</v>
      </c>
      <c r="K283" t="str">
        <f t="shared" si="4"/>
        <v/>
      </c>
    </row>
    <row r="284" spans="1:13" hidden="1" x14ac:dyDescent="0.2">
      <c r="E284" t="s">
        <v>669</v>
      </c>
      <c r="K284" t="str">
        <f t="shared" si="4"/>
        <v/>
      </c>
    </row>
    <row r="285" spans="1:13" hidden="1" x14ac:dyDescent="0.2">
      <c r="E285" t="s">
        <v>670</v>
      </c>
      <c r="K285" t="str">
        <f t="shared" si="4"/>
        <v/>
      </c>
    </row>
    <row r="286" spans="1:13" hidden="1" x14ac:dyDescent="0.2">
      <c r="E286" t="s">
        <v>297</v>
      </c>
      <c r="K286" t="str">
        <f t="shared" si="4"/>
        <v/>
      </c>
    </row>
    <row r="287" spans="1:13" hidden="1" x14ac:dyDescent="0.2">
      <c r="D287" t="s">
        <v>298</v>
      </c>
      <c r="K287" t="str">
        <f t="shared" si="4"/>
        <v/>
      </c>
    </row>
    <row r="288" spans="1:13" hidden="1" x14ac:dyDescent="0.2">
      <c r="A288" t="s">
        <v>294</v>
      </c>
      <c r="K288" t="str">
        <f t="shared" si="4"/>
        <v/>
      </c>
    </row>
    <row r="289" spans="1:13" x14ac:dyDescent="0.2">
      <c r="B289" t="s">
        <v>294</v>
      </c>
      <c r="D289" t="s">
        <v>302</v>
      </c>
      <c r="K289" t="str">
        <f t="shared" si="4"/>
        <v>3</v>
      </c>
      <c r="L289" t="str">
        <f>MID(E291,24,3)</f>
        <v>MSD</v>
      </c>
      <c r="M289" t="str">
        <f>MID(E292,22,25)</f>
        <v>"MISANTLA II";</v>
      </c>
    </row>
    <row r="290" spans="1:13" hidden="1" x14ac:dyDescent="0.2">
      <c r="B290" t="s">
        <v>294</v>
      </c>
      <c r="E290" t="s">
        <v>296</v>
      </c>
      <c r="K290" t="str">
        <f t="shared" si="4"/>
        <v/>
      </c>
    </row>
    <row r="291" spans="1:13" hidden="1" x14ac:dyDescent="0.2">
      <c r="E291" t="s">
        <v>671</v>
      </c>
      <c r="K291" t="str">
        <f t="shared" si="4"/>
        <v/>
      </c>
    </row>
    <row r="292" spans="1:13" hidden="1" x14ac:dyDescent="0.2">
      <c r="E292" t="s">
        <v>672</v>
      </c>
      <c r="K292" t="str">
        <f t="shared" si="4"/>
        <v/>
      </c>
    </row>
    <row r="293" spans="1:13" hidden="1" x14ac:dyDescent="0.2">
      <c r="E293" t="s">
        <v>297</v>
      </c>
      <c r="K293" t="str">
        <f t="shared" si="4"/>
        <v/>
      </c>
    </row>
    <row r="294" spans="1:13" hidden="1" x14ac:dyDescent="0.2">
      <c r="D294" t="s">
        <v>298</v>
      </c>
      <c r="K294" t="str">
        <f t="shared" si="4"/>
        <v/>
      </c>
    </row>
    <row r="295" spans="1:13" hidden="1" x14ac:dyDescent="0.2">
      <c r="A295" t="s">
        <v>294</v>
      </c>
      <c r="K295" t="str">
        <f t="shared" si="4"/>
        <v/>
      </c>
    </row>
    <row r="296" spans="1:13" x14ac:dyDescent="0.2">
      <c r="B296" t="s">
        <v>294</v>
      </c>
      <c r="D296" t="s">
        <v>302</v>
      </c>
      <c r="K296" t="str">
        <f t="shared" si="4"/>
        <v>3</v>
      </c>
      <c r="L296" t="str">
        <f>MID(E298,24,3)</f>
        <v>PEE</v>
      </c>
      <c r="M296" t="str">
        <f>MID(E299,22,25)</f>
        <v>"PEROTE II";</v>
      </c>
    </row>
    <row r="297" spans="1:13" hidden="1" x14ac:dyDescent="0.2">
      <c r="B297" t="s">
        <v>294</v>
      </c>
      <c r="E297" t="s">
        <v>296</v>
      </c>
      <c r="K297" t="str">
        <f t="shared" si="4"/>
        <v/>
      </c>
    </row>
    <row r="298" spans="1:13" hidden="1" x14ac:dyDescent="0.2">
      <c r="E298" t="s">
        <v>673</v>
      </c>
      <c r="K298" t="str">
        <f t="shared" si="4"/>
        <v/>
      </c>
    </row>
    <row r="299" spans="1:13" hidden="1" x14ac:dyDescent="0.2">
      <c r="E299" t="s">
        <v>674</v>
      </c>
      <c r="K299" t="str">
        <f t="shared" si="4"/>
        <v/>
      </c>
    </row>
    <row r="300" spans="1:13" hidden="1" x14ac:dyDescent="0.2">
      <c r="E300" t="s">
        <v>297</v>
      </c>
      <c r="K300" t="str">
        <f t="shared" si="4"/>
        <v/>
      </c>
    </row>
    <row r="301" spans="1:13" hidden="1" x14ac:dyDescent="0.2">
      <c r="D301" t="s">
        <v>298</v>
      </c>
      <c r="K301" t="str">
        <f t="shared" si="4"/>
        <v/>
      </c>
    </row>
    <row r="302" spans="1:13" hidden="1" x14ac:dyDescent="0.2">
      <c r="A302" t="s">
        <v>294</v>
      </c>
      <c r="K302" t="str">
        <f t="shared" si="4"/>
        <v/>
      </c>
    </row>
    <row r="303" spans="1:13" x14ac:dyDescent="0.2">
      <c r="B303" t="s">
        <v>294</v>
      </c>
      <c r="D303" t="s">
        <v>302</v>
      </c>
      <c r="K303" t="str">
        <f t="shared" si="4"/>
        <v>3</v>
      </c>
      <c r="L303" t="str">
        <f>MID(E305,24,3)</f>
        <v>RFD</v>
      </c>
      <c r="M303" t="str">
        <f>MID(E306,22,25)</f>
        <v>"SAN RAFAEL II";</v>
      </c>
    </row>
    <row r="304" spans="1:13" hidden="1" x14ac:dyDescent="0.2">
      <c r="B304" t="s">
        <v>294</v>
      </c>
      <c r="E304" t="s">
        <v>296</v>
      </c>
      <c r="K304" t="str">
        <f t="shared" si="4"/>
        <v/>
      </c>
    </row>
    <row r="305" spans="1:13" hidden="1" x14ac:dyDescent="0.2">
      <c r="E305" t="s">
        <v>675</v>
      </c>
      <c r="K305" t="str">
        <f t="shared" si="4"/>
        <v/>
      </c>
    </row>
    <row r="306" spans="1:13" hidden="1" x14ac:dyDescent="0.2">
      <c r="E306" t="s">
        <v>676</v>
      </c>
      <c r="K306" t="str">
        <f t="shared" si="4"/>
        <v/>
      </c>
    </row>
    <row r="307" spans="1:13" hidden="1" x14ac:dyDescent="0.2">
      <c r="E307" t="s">
        <v>297</v>
      </c>
      <c r="K307" t="str">
        <f t="shared" si="4"/>
        <v/>
      </c>
    </row>
    <row r="308" spans="1:13" hidden="1" x14ac:dyDescent="0.2">
      <c r="D308" t="s">
        <v>298</v>
      </c>
      <c r="K308" t="str">
        <f t="shared" si="4"/>
        <v/>
      </c>
    </row>
    <row r="309" spans="1:13" hidden="1" x14ac:dyDescent="0.2">
      <c r="A309" t="s">
        <v>294</v>
      </c>
      <c r="K309" t="str">
        <f t="shared" si="4"/>
        <v/>
      </c>
    </row>
    <row r="310" spans="1:13" x14ac:dyDescent="0.2">
      <c r="B310" t="s">
        <v>294</v>
      </c>
      <c r="D310" t="s">
        <v>302</v>
      </c>
      <c r="K310" t="str">
        <f t="shared" si="4"/>
        <v>3</v>
      </c>
      <c r="L310" t="str">
        <f>MID(E312,24,3)</f>
        <v>SNS</v>
      </c>
      <c r="M310" t="str">
        <f>MID(E313,22,25)</f>
        <v>"SANTA SOFIA";</v>
      </c>
    </row>
    <row r="311" spans="1:13" hidden="1" x14ac:dyDescent="0.2">
      <c r="B311" t="s">
        <v>294</v>
      </c>
      <c r="E311" t="s">
        <v>296</v>
      </c>
      <c r="K311" t="str">
        <f t="shared" si="4"/>
        <v/>
      </c>
    </row>
    <row r="312" spans="1:13" hidden="1" x14ac:dyDescent="0.2">
      <c r="E312" t="s">
        <v>677</v>
      </c>
      <c r="K312" t="str">
        <f t="shared" si="4"/>
        <v/>
      </c>
    </row>
    <row r="313" spans="1:13" hidden="1" x14ac:dyDescent="0.2">
      <c r="E313" t="s">
        <v>678</v>
      </c>
      <c r="K313" t="str">
        <f t="shared" si="4"/>
        <v/>
      </c>
    </row>
    <row r="314" spans="1:13" hidden="1" x14ac:dyDescent="0.2">
      <c r="E314" t="s">
        <v>297</v>
      </c>
      <c r="K314" t="str">
        <f t="shared" si="4"/>
        <v/>
      </c>
    </row>
    <row r="315" spans="1:13" hidden="1" x14ac:dyDescent="0.2">
      <c r="D315" t="s">
        <v>298</v>
      </c>
      <c r="K315" t="str">
        <f t="shared" si="4"/>
        <v/>
      </c>
    </row>
    <row r="316" spans="1:13" hidden="1" x14ac:dyDescent="0.2">
      <c r="A316" t="s">
        <v>294</v>
      </c>
      <c r="K316" t="str">
        <f t="shared" si="4"/>
        <v/>
      </c>
    </row>
    <row r="317" spans="1:13" x14ac:dyDescent="0.2">
      <c r="B317" t="s">
        <v>294</v>
      </c>
      <c r="D317" t="s">
        <v>302</v>
      </c>
      <c r="K317" t="str">
        <f t="shared" si="4"/>
        <v>3</v>
      </c>
      <c r="L317" t="str">
        <f>MID(E319,24,3)</f>
        <v>TZT</v>
      </c>
      <c r="M317" t="str">
        <f>MID(E320,22,25)</f>
        <v>"TEZIUTLAN I";</v>
      </c>
    </row>
    <row r="318" spans="1:13" hidden="1" x14ac:dyDescent="0.2">
      <c r="B318" t="s">
        <v>294</v>
      </c>
      <c r="E318" t="s">
        <v>296</v>
      </c>
      <c r="K318" t="str">
        <f t="shared" si="4"/>
        <v/>
      </c>
    </row>
    <row r="319" spans="1:13" hidden="1" x14ac:dyDescent="0.2">
      <c r="E319" t="s">
        <v>679</v>
      </c>
      <c r="K319" t="str">
        <f t="shared" si="4"/>
        <v/>
      </c>
    </row>
    <row r="320" spans="1:13" hidden="1" x14ac:dyDescent="0.2">
      <c r="E320" t="s">
        <v>680</v>
      </c>
      <c r="K320" t="str">
        <f t="shared" si="4"/>
        <v/>
      </c>
    </row>
    <row r="321" spans="1:13" hidden="1" x14ac:dyDescent="0.2">
      <c r="E321" t="s">
        <v>297</v>
      </c>
      <c r="K321" t="str">
        <f t="shared" si="4"/>
        <v/>
      </c>
    </row>
    <row r="322" spans="1:13" hidden="1" x14ac:dyDescent="0.2">
      <c r="D322" t="s">
        <v>298</v>
      </c>
      <c r="K322" t="str">
        <f t="shared" si="4"/>
        <v/>
      </c>
    </row>
    <row r="323" spans="1:13" hidden="1" x14ac:dyDescent="0.2">
      <c r="A323" t="s">
        <v>294</v>
      </c>
      <c r="K323" t="str">
        <f t="shared" ref="K323:K386" si="5">MID(D323,11,1)</f>
        <v/>
      </c>
    </row>
    <row r="324" spans="1:13" x14ac:dyDescent="0.2">
      <c r="B324" t="s">
        <v>294</v>
      </c>
      <c r="D324" t="s">
        <v>302</v>
      </c>
      <c r="K324" t="str">
        <f t="shared" si="5"/>
        <v>3</v>
      </c>
      <c r="L324" t="str">
        <f>MID(E326,24,3)</f>
        <v>TZD</v>
      </c>
      <c r="M324" t="str">
        <f>MID(E327,22,25)</f>
        <v>"TEZIUTLAN II";</v>
      </c>
    </row>
    <row r="325" spans="1:13" hidden="1" x14ac:dyDescent="0.2">
      <c r="B325" t="s">
        <v>294</v>
      </c>
      <c r="E325" t="s">
        <v>296</v>
      </c>
      <c r="K325" t="str">
        <f t="shared" si="5"/>
        <v/>
      </c>
    </row>
    <row r="326" spans="1:13" hidden="1" x14ac:dyDescent="0.2">
      <c r="E326" t="s">
        <v>681</v>
      </c>
      <c r="K326" t="str">
        <f t="shared" si="5"/>
        <v/>
      </c>
    </row>
    <row r="327" spans="1:13" hidden="1" x14ac:dyDescent="0.2">
      <c r="E327" t="s">
        <v>682</v>
      </c>
      <c r="K327" t="str">
        <f t="shared" si="5"/>
        <v/>
      </c>
    </row>
    <row r="328" spans="1:13" hidden="1" x14ac:dyDescent="0.2">
      <c r="E328" t="s">
        <v>297</v>
      </c>
      <c r="K328" t="str">
        <f t="shared" si="5"/>
        <v/>
      </c>
    </row>
    <row r="329" spans="1:13" hidden="1" x14ac:dyDescent="0.2">
      <c r="D329" t="s">
        <v>298</v>
      </c>
      <c r="K329" t="str">
        <f t="shared" si="5"/>
        <v/>
      </c>
    </row>
    <row r="330" spans="1:13" hidden="1" x14ac:dyDescent="0.2">
      <c r="A330" t="s">
        <v>294</v>
      </c>
      <c r="K330" t="str">
        <f t="shared" si="5"/>
        <v/>
      </c>
    </row>
    <row r="331" spans="1:13" x14ac:dyDescent="0.2">
      <c r="B331" t="s">
        <v>294</v>
      </c>
      <c r="D331" t="s">
        <v>302</v>
      </c>
      <c r="K331" t="str">
        <f t="shared" si="5"/>
        <v>3</v>
      </c>
      <c r="L331" t="str">
        <f>MID(E333,24,3)</f>
        <v>TLY</v>
      </c>
      <c r="M331" t="str">
        <f>MID(E334,22,25)</f>
        <v>"TLAPACOYAN";</v>
      </c>
    </row>
    <row r="332" spans="1:13" hidden="1" x14ac:dyDescent="0.2">
      <c r="B332" t="s">
        <v>294</v>
      </c>
      <c r="E332" t="s">
        <v>296</v>
      </c>
      <c r="K332" t="str">
        <f t="shared" si="5"/>
        <v/>
      </c>
    </row>
    <row r="333" spans="1:13" hidden="1" x14ac:dyDescent="0.2">
      <c r="E333" t="s">
        <v>683</v>
      </c>
      <c r="K333" t="str">
        <f t="shared" si="5"/>
        <v/>
      </c>
    </row>
    <row r="334" spans="1:13" hidden="1" x14ac:dyDescent="0.2">
      <c r="E334" t="s">
        <v>684</v>
      </c>
      <c r="K334" t="str">
        <f t="shared" si="5"/>
        <v/>
      </c>
    </row>
    <row r="335" spans="1:13" hidden="1" x14ac:dyDescent="0.2">
      <c r="E335" t="s">
        <v>297</v>
      </c>
      <c r="K335" t="str">
        <f t="shared" si="5"/>
        <v/>
      </c>
    </row>
    <row r="336" spans="1:13" hidden="1" x14ac:dyDescent="0.2">
      <c r="D336" t="s">
        <v>298</v>
      </c>
      <c r="K336" t="str">
        <f t="shared" si="5"/>
        <v/>
      </c>
    </row>
    <row r="337" spans="1:13" hidden="1" x14ac:dyDescent="0.2">
      <c r="A337" t="s">
        <v>294</v>
      </c>
      <c r="K337" t="str">
        <f t="shared" si="5"/>
        <v/>
      </c>
    </row>
    <row r="338" spans="1:13" x14ac:dyDescent="0.2">
      <c r="B338" t="s">
        <v>294</v>
      </c>
      <c r="D338" t="s">
        <v>302</v>
      </c>
      <c r="K338" t="str">
        <f t="shared" si="5"/>
        <v>3</v>
      </c>
      <c r="L338" t="str">
        <f>MID(E340,24,3)</f>
        <v>VDA</v>
      </c>
      <c r="M338" t="str">
        <f>MID(E341,22,25)</f>
        <v>"VEGA DE ALATORRE";</v>
      </c>
    </row>
    <row r="339" spans="1:13" hidden="1" x14ac:dyDescent="0.2">
      <c r="B339" t="s">
        <v>294</v>
      </c>
      <c r="E339" t="s">
        <v>296</v>
      </c>
      <c r="K339" t="str">
        <f t="shared" si="5"/>
        <v/>
      </c>
    </row>
    <row r="340" spans="1:13" hidden="1" x14ac:dyDescent="0.2">
      <c r="E340" t="s">
        <v>685</v>
      </c>
      <c r="K340" t="str">
        <f t="shared" si="5"/>
        <v/>
      </c>
    </row>
    <row r="341" spans="1:13" hidden="1" x14ac:dyDescent="0.2">
      <c r="E341" t="s">
        <v>686</v>
      </c>
      <c r="K341" t="str">
        <f t="shared" si="5"/>
        <v/>
      </c>
    </row>
    <row r="342" spans="1:13" hidden="1" x14ac:dyDescent="0.2">
      <c r="E342" t="s">
        <v>297</v>
      </c>
      <c r="K342" t="str">
        <f t="shared" si="5"/>
        <v/>
      </c>
    </row>
    <row r="343" spans="1:13" hidden="1" x14ac:dyDescent="0.2">
      <c r="D343" t="s">
        <v>298</v>
      </c>
      <c r="K343" t="str">
        <f t="shared" si="5"/>
        <v/>
      </c>
    </row>
    <row r="344" spans="1:13" hidden="1" x14ac:dyDescent="0.2">
      <c r="A344" t="s">
        <v>294</v>
      </c>
      <c r="K344" t="str">
        <f t="shared" si="5"/>
        <v/>
      </c>
    </row>
    <row r="345" spans="1:13" x14ac:dyDescent="0.2">
      <c r="B345" t="s">
        <v>294</v>
      </c>
      <c r="D345" t="s">
        <v>302</v>
      </c>
      <c r="K345" t="str">
        <f t="shared" si="5"/>
        <v>3</v>
      </c>
      <c r="L345" t="str">
        <f>MID(E347,24,3)</f>
        <v>VGA</v>
      </c>
      <c r="M345" t="str">
        <f>MID(E348,22,25)</f>
        <v>"VIGAS";</v>
      </c>
    </row>
    <row r="346" spans="1:13" hidden="1" x14ac:dyDescent="0.2">
      <c r="B346" t="s">
        <v>294</v>
      </c>
      <c r="E346" t="s">
        <v>296</v>
      </c>
      <c r="K346" t="str">
        <f t="shared" si="5"/>
        <v/>
      </c>
    </row>
    <row r="347" spans="1:13" hidden="1" x14ac:dyDescent="0.2">
      <c r="E347" t="s">
        <v>687</v>
      </c>
      <c r="K347" t="str">
        <f t="shared" si="5"/>
        <v/>
      </c>
    </row>
    <row r="348" spans="1:13" hidden="1" x14ac:dyDescent="0.2">
      <c r="E348" t="s">
        <v>688</v>
      </c>
      <c r="K348" t="str">
        <f t="shared" si="5"/>
        <v/>
      </c>
    </row>
    <row r="349" spans="1:13" hidden="1" x14ac:dyDescent="0.2">
      <c r="E349" t="s">
        <v>297</v>
      </c>
      <c r="K349" t="str">
        <f t="shared" si="5"/>
        <v/>
      </c>
    </row>
    <row r="350" spans="1:13" hidden="1" x14ac:dyDescent="0.2">
      <c r="D350" t="s">
        <v>298</v>
      </c>
      <c r="K350" t="str">
        <f t="shared" si="5"/>
        <v/>
      </c>
    </row>
    <row r="351" spans="1:13" hidden="1" x14ac:dyDescent="0.2">
      <c r="A351" t="s">
        <v>294</v>
      </c>
      <c r="K351" t="str">
        <f t="shared" si="5"/>
        <v/>
      </c>
    </row>
    <row r="352" spans="1:13" x14ac:dyDescent="0.2">
      <c r="B352" t="s">
        <v>294</v>
      </c>
      <c r="D352" t="s">
        <v>302</v>
      </c>
      <c r="K352" t="str">
        <f t="shared" si="5"/>
        <v>3</v>
      </c>
      <c r="L352" t="str">
        <f>MID(E354,24,3)</f>
        <v>ZXP</v>
      </c>
      <c r="M352" t="str">
        <f>MID(E355,22,25)</f>
        <v>"ZACAPOAXTLA";</v>
      </c>
    </row>
    <row r="353" spans="1:13" hidden="1" x14ac:dyDescent="0.2">
      <c r="B353" t="s">
        <v>294</v>
      </c>
      <c r="E353" t="s">
        <v>296</v>
      </c>
      <c r="K353" t="str">
        <f t="shared" si="5"/>
        <v/>
      </c>
    </row>
    <row r="354" spans="1:13" hidden="1" x14ac:dyDescent="0.2">
      <c r="E354" t="s">
        <v>689</v>
      </c>
      <c r="K354" t="str">
        <f t="shared" si="5"/>
        <v/>
      </c>
    </row>
    <row r="355" spans="1:13" hidden="1" x14ac:dyDescent="0.2">
      <c r="E355" t="s">
        <v>690</v>
      </c>
      <c r="K355" t="str">
        <f t="shared" si="5"/>
        <v/>
      </c>
    </row>
    <row r="356" spans="1:13" hidden="1" x14ac:dyDescent="0.2">
      <c r="E356" t="s">
        <v>297</v>
      </c>
      <c r="K356" t="str">
        <f t="shared" si="5"/>
        <v/>
      </c>
    </row>
    <row r="357" spans="1:13" hidden="1" x14ac:dyDescent="0.2">
      <c r="D357" t="s">
        <v>298</v>
      </c>
      <c r="K357" t="str">
        <f t="shared" si="5"/>
        <v/>
      </c>
    </row>
    <row r="358" spans="1:13" hidden="1" x14ac:dyDescent="0.2">
      <c r="A358" t="s">
        <v>294</v>
      </c>
      <c r="K358" t="str">
        <f t="shared" si="5"/>
        <v/>
      </c>
    </row>
    <row r="359" spans="1:13" x14ac:dyDescent="0.2">
      <c r="B359" t="s">
        <v>294</v>
      </c>
      <c r="D359" t="s">
        <v>303</v>
      </c>
      <c r="K359" t="str">
        <f t="shared" si="5"/>
        <v>4</v>
      </c>
      <c r="L359" t="str">
        <f>MID(E361,24,3)</f>
        <v>AMN</v>
      </c>
      <c r="M359" t="str">
        <f>MID(E362,22,25)</f>
        <v>"ALUMINIO";</v>
      </c>
    </row>
    <row r="360" spans="1:13" hidden="1" x14ac:dyDescent="0.2">
      <c r="B360" t="s">
        <v>294</v>
      </c>
      <c r="E360" t="s">
        <v>296</v>
      </c>
      <c r="K360" t="str">
        <f t="shared" si="5"/>
        <v/>
      </c>
    </row>
    <row r="361" spans="1:13" hidden="1" x14ac:dyDescent="0.2">
      <c r="E361" t="s">
        <v>691</v>
      </c>
      <c r="K361" t="str">
        <f t="shared" si="5"/>
        <v/>
      </c>
    </row>
    <row r="362" spans="1:13" hidden="1" x14ac:dyDescent="0.2">
      <c r="E362" t="s">
        <v>692</v>
      </c>
      <c r="K362" t="str">
        <f t="shared" si="5"/>
        <v/>
      </c>
    </row>
    <row r="363" spans="1:13" hidden="1" x14ac:dyDescent="0.2">
      <c r="E363" t="s">
        <v>297</v>
      </c>
      <c r="K363" t="str">
        <f t="shared" si="5"/>
        <v/>
      </c>
    </row>
    <row r="364" spans="1:13" hidden="1" x14ac:dyDescent="0.2">
      <c r="D364" t="s">
        <v>298</v>
      </c>
      <c r="K364" t="str">
        <f t="shared" si="5"/>
        <v/>
      </c>
    </row>
    <row r="365" spans="1:13" hidden="1" x14ac:dyDescent="0.2">
      <c r="A365" t="s">
        <v>294</v>
      </c>
      <c r="K365" t="str">
        <f t="shared" si="5"/>
        <v/>
      </c>
    </row>
    <row r="366" spans="1:13" x14ac:dyDescent="0.2">
      <c r="B366" t="s">
        <v>294</v>
      </c>
      <c r="D366" t="s">
        <v>303</v>
      </c>
      <c r="K366" t="str">
        <f t="shared" si="5"/>
        <v>4</v>
      </c>
      <c r="L366" t="str">
        <f>MID(E368,24,3)</f>
        <v>AVD</v>
      </c>
      <c r="M366" t="str">
        <f>MID(E369,22,25)</f>
        <v>"ALVARADO DOS";</v>
      </c>
    </row>
    <row r="367" spans="1:13" hidden="1" x14ac:dyDescent="0.2">
      <c r="B367" t="s">
        <v>294</v>
      </c>
      <c r="E367" t="s">
        <v>296</v>
      </c>
      <c r="K367" t="str">
        <f t="shared" si="5"/>
        <v/>
      </c>
    </row>
    <row r="368" spans="1:13" hidden="1" x14ac:dyDescent="0.2">
      <c r="E368" t="s">
        <v>693</v>
      </c>
      <c r="K368" t="str">
        <f t="shared" si="5"/>
        <v/>
      </c>
    </row>
    <row r="369" spans="1:13" hidden="1" x14ac:dyDescent="0.2">
      <c r="E369" t="s">
        <v>694</v>
      </c>
      <c r="K369" t="str">
        <f t="shared" si="5"/>
        <v/>
      </c>
    </row>
    <row r="370" spans="1:13" hidden="1" x14ac:dyDescent="0.2">
      <c r="E370" t="s">
        <v>297</v>
      </c>
      <c r="K370" t="str">
        <f t="shared" si="5"/>
        <v/>
      </c>
    </row>
    <row r="371" spans="1:13" hidden="1" x14ac:dyDescent="0.2">
      <c r="D371" t="s">
        <v>298</v>
      </c>
      <c r="K371" t="str">
        <f t="shared" si="5"/>
        <v/>
      </c>
    </row>
    <row r="372" spans="1:13" hidden="1" x14ac:dyDescent="0.2">
      <c r="A372" t="s">
        <v>294</v>
      </c>
      <c r="K372" t="str">
        <f t="shared" si="5"/>
        <v/>
      </c>
    </row>
    <row r="373" spans="1:13" x14ac:dyDescent="0.2">
      <c r="B373" t="s">
        <v>294</v>
      </c>
      <c r="D373" t="s">
        <v>303</v>
      </c>
      <c r="K373" t="str">
        <f t="shared" si="5"/>
        <v>4</v>
      </c>
      <c r="L373" t="str">
        <f>MID(E375,24,3)</f>
        <v>BDR</v>
      </c>
      <c r="M373" t="str">
        <f>MID(E376,22,25)</f>
        <v>"BOCA DEL RIO";</v>
      </c>
    </row>
    <row r="374" spans="1:13" hidden="1" x14ac:dyDescent="0.2">
      <c r="B374" t="s">
        <v>294</v>
      </c>
      <c r="E374" t="s">
        <v>296</v>
      </c>
      <c r="K374" t="str">
        <f t="shared" si="5"/>
        <v/>
      </c>
    </row>
    <row r="375" spans="1:13" hidden="1" x14ac:dyDescent="0.2">
      <c r="E375" t="s">
        <v>695</v>
      </c>
      <c r="K375" t="str">
        <f t="shared" si="5"/>
        <v/>
      </c>
    </row>
    <row r="376" spans="1:13" hidden="1" x14ac:dyDescent="0.2">
      <c r="E376" t="s">
        <v>696</v>
      </c>
      <c r="K376" t="str">
        <f t="shared" si="5"/>
        <v/>
      </c>
    </row>
    <row r="377" spans="1:13" hidden="1" x14ac:dyDescent="0.2">
      <c r="E377" t="s">
        <v>297</v>
      </c>
      <c r="K377" t="str">
        <f t="shared" si="5"/>
        <v/>
      </c>
    </row>
    <row r="378" spans="1:13" hidden="1" x14ac:dyDescent="0.2">
      <c r="D378" t="s">
        <v>298</v>
      </c>
      <c r="K378" t="str">
        <f t="shared" si="5"/>
        <v/>
      </c>
    </row>
    <row r="379" spans="1:13" hidden="1" x14ac:dyDescent="0.2">
      <c r="A379" t="s">
        <v>294</v>
      </c>
      <c r="K379" t="str">
        <f t="shared" si="5"/>
        <v/>
      </c>
    </row>
    <row r="380" spans="1:13" x14ac:dyDescent="0.2">
      <c r="B380" t="s">
        <v>294</v>
      </c>
      <c r="D380" t="s">
        <v>303</v>
      </c>
      <c r="K380" t="str">
        <f t="shared" si="5"/>
        <v>4</v>
      </c>
      <c r="L380" t="str">
        <f>MID(E382,24,3)</f>
        <v>BRS</v>
      </c>
      <c r="M380" t="str">
        <f>MID(E383,22,25)</f>
        <v>"BRISAS";</v>
      </c>
    </row>
    <row r="381" spans="1:13" hidden="1" x14ac:dyDescent="0.2">
      <c r="B381" t="s">
        <v>294</v>
      </c>
      <c r="E381" t="s">
        <v>296</v>
      </c>
      <c r="K381" t="str">
        <f t="shared" si="5"/>
        <v/>
      </c>
    </row>
    <row r="382" spans="1:13" hidden="1" x14ac:dyDescent="0.2">
      <c r="E382" t="s">
        <v>697</v>
      </c>
      <c r="K382" t="str">
        <f t="shared" si="5"/>
        <v/>
      </c>
    </row>
    <row r="383" spans="1:13" hidden="1" x14ac:dyDescent="0.2">
      <c r="E383" t="s">
        <v>698</v>
      </c>
      <c r="K383" t="str">
        <f t="shared" si="5"/>
        <v/>
      </c>
    </row>
    <row r="384" spans="1:13" hidden="1" x14ac:dyDescent="0.2">
      <c r="E384" t="s">
        <v>297</v>
      </c>
      <c r="K384" t="str">
        <f t="shared" si="5"/>
        <v/>
      </c>
    </row>
    <row r="385" spans="1:13" hidden="1" x14ac:dyDescent="0.2">
      <c r="D385" t="s">
        <v>298</v>
      </c>
      <c r="K385" t="str">
        <f t="shared" si="5"/>
        <v/>
      </c>
    </row>
    <row r="386" spans="1:13" hidden="1" x14ac:dyDescent="0.2">
      <c r="A386" t="s">
        <v>294</v>
      </c>
      <c r="K386" t="str">
        <f t="shared" si="5"/>
        <v/>
      </c>
    </row>
    <row r="387" spans="1:13" x14ac:dyDescent="0.2">
      <c r="B387" t="s">
        <v>294</v>
      </c>
      <c r="D387" t="s">
        <v>303</v>
      </c>
      <c r="K387" t="str">
        <f t="shared" ref="K387:K450" si="6">MID(D387,11,1)</f>
        <v>4</v>
      </c>
      <c r="L387" t="str">
        <f>MID(E389,24,3)</f>
        <v>CAE</v>
      </c>
      <c r="M387" t="str">
        <f>MID(E390,22,25)</f>
        <v>"CARDEL";</v>
      </c>
    </row>
    <row r="388" spans="1:13" hidden="1" x14ac:dyDescent="0.2">
      <c r="B388" t="s">
        <v>294</v>
      </c>
      <c r="E388" t="s">
        <v>296</v>
      </c>
      <c r="K388" t="str">
        <f t="shared" si="6"/>
        <v/>
      </c>
    </row>
    <row r="389" spans="1:13" hidden="1" x14ac:dyDescent="0.2">
      <c r="E389" t="s">
        <v>699</v>
      </c>
      <c r="K389" t="str">
        <f t="shared" si="6"/>
        <v/>
      </c>
    </row>
    <row r="390" spans="1:13" hidden="1" x14ac:dyDescent="0.2">
      <c r="E390" t="s">
        <v>700</v>
      </c>
      <c r="K390" t="str">
        <f t="shared" si="6"/>
        <v/>
      </c>
    </row>
    <row r="391" spans="1:13" hidden="1" x14ac:dyDescent="0.2">
      <c r="E391" t="s">
        <v>297</v>
      </c>
      <c r="K391" t="str">
        <f t="shared" si="6"/>
        <v/>
      </c>
    </row>
    <row r="392" spans="1:13" hidden="1" x14ac:dyDescent="0.2">
      <c r="D392" t="s">
        <v>298</v>
      </c>
      <c r="K392" t="str">
        <f t="shared" si="6"/>
        <v/>
      </c>
    </row>
    <row r="393" spans="1:13" hidden="1" x14ac:dyDescent="0.2">
      <c r="A393" t="s">
        <v>294</v>
      </c>
      <c r="K393" t="str">
        <f t="shared" si="6"/>
        <v/>
      </c>
    </row>
    <row r="394" spans="1:13" x14ac:dyDescent="0.2">
      <c r="B394" t="s">
        <v>294</v>
      </c>
      <c r="D394" t="s">
        <v>303</v>
      </c>
      <c r="K394" t="str">
        <f t="shared" si="6"/>
        <v>4</v>
      </c>
      <c r="L394" t="str">
        <f>MID(E396,24,3)</f>
        <v>GYB</v>
      </c>
      <c r="M394" t="str">
        <f>MID(E397,22,25)</f>
        <v>"EL GUAYABO";</v>
      </c>
    </row>
    <row r="395" spans="1:13" hidden="1" x14ac:dyDescent="0.2">
      <c r="B395" t="s">
        <v>294</v>
      </c>
      <c r="E395" t="s">
        <v>296</v>
      </c>
      <c r="K395" t="str">
        <f t="shared" si="6"/>
        <v/>
      </c>
    </row>
    <row r="396" spans="1:13" hidden="1" x14ac:dyDescent="0.2">
      <c r="E396" t="s">
        <v>701</v>
      </c>
      <c r="K396" t="str">
        <f t="shared" si="6"/>
        <v/>
      </c>
    </row>
    <row r="397" spans="1:13" hidden="1" x14ac:dyDescent="0.2">
      <c r="E397" t="s">
        <v>702</v>
      </c>
      <c r="K397" t="str">
        <f t="shared" si="6"/>
        <v/>
      </c>
    </row>
    <row r="398" spans="1:13" hidden="1" x14ac:dyDescent="0.2">
      <c r="E398" t="s">
        <v>297</v>
      </c>
      <c r="K398" t="str">
        <f t="shared" si="6"/>
        <v/>
      </c>
    </row>
    <row r="399" spans="1:13" hidden="1" x14ac:dyDescent="0.2">
      <c r="D399" t="s">
        <v>298</v>
      </c>
      <c r="K399" t="str">
        <f t="shared" si="6"/>
        <v/>
      </c>
    </row>
    <row r="400" spans="1:13" hidden="1" x14ac:dyDescent="0.2">
      <c r="A400" t="s">
        <v>294</v>
      </c>
      <c r="K400" t="str">
        <f t="shared" si="6"/>
        <v/>
      </c>
    </row>
    <row r="401" spans="1:13" x14ac:dyDescent="0.2">
      <c r="B401" t="s">
        <v>294</v>
      </c>
      <c r="D401" t="s">
        <v>303</v>
      </c>
      <c r="K401" t="str">
        <f t="shared" si="6"/>
        <v>4</v>
      </c>
      <c r="L401" t="str">
        <f>MID(E403,24,3)</f>
        <v>FRY</v>
      </c>
      <c r="M401" t="str">
        <f>MID(E404,22,25)</f>
        <v>"FRAMBOYANES";</v>
      </c>
    </row>
    <row r="402" spans="1:13" hidden="1" x14ac:dyDescent="0.2">
      <c r="B402" t="s">
        <v>294</v>
      </c>
      <c r="E402" t="s">
        <v>296</v>
      </c>
      <c r="K402" t="str">
        <f t="shared" si="6"/>
        <v/>
      </c>
    </row>
    <row r="403" spans="1:13" hidden="1" x14ac:dyDescent="0.2">
      <c r="E403" t="s">
        <v>703</v>
      </c>
      <c r="K403" t="str">
        <f t="shared" si="6"/>
        <v/>
      </c>
    </row>
    <row r="404" spans="1:13" hidden="1" x14ac:dyDescent="0.2">
      <c r="E404" t="s">
        <v>704</v>
      </c>
      <c r="K404" t="str">
        <f t="shared" si="6"/>
        <v/>
      </c>
    </row>
    <row r="405" spans="1:13" hidden="1" x14ac:dyDescent="0.2">
      <c r="E405" t="s">
        <v>297</v>
      </c>
      <c r="K405" t="str">
        <f t="shared" si="6"/>
        <v/>
      </c>
    </row>
    <row r="406" spans="1:13" hidden="1" x14ac:dyDescent="0.2">
      <c r="D406" t="s">
        <v>298</v>
      </c>
      <c r="K406" t="str">
        <f t="shared" si="6"/>
        <v/>
      </c>
    </row>
    <row r="407" spans="1:13" hidden="1" x14ac:dyDescent="0.2">
      <c r="A407" t="s">
        <v>294</v>
      </c>
      <c r="K407" t="str">
        <f t="shared" si="6"/>
        <v/>
      </c>
    </row>
    <row r="408" spans="1:13" x14ac:dyDescent="0.2">
      <c r="B408" t="s">
        <v>294</v>
      </c>
      <c r="D408" t="s">
        <v>303</v>
      </c>
      <c r="K408" t="str">
        <f t="shared" si="6"/>
        <v>4</v>
      </c>
      <c r="L408" t="str">
        <f>MID(E410,24,3)</f>
        <v>IFN</v>
      </c>
      <c r="M408" t="str">
        <f>MID(E411,22,25)</f>
        <v>"INFONAVIT";</v>
      </c>
    </row>
    <row r="409" spans="1:13" hidden="1" x14ac:dyDescent="0.2">
      <c r="B409" t="s">
        <v>294</v>
      </c>
      <c r="E409" t="s">
        <v>296</v>
      </c>
      <c r="K409" t="str">
        <f t="shared" si="6"/>
        <v/>
      </c>
    </row>
    <row r="410" spans="1:13" hidden="1" x14ac:dyDescent="0.2">
      <c r="E410" t="s">
        <v>705</v>
      </c>
      <c r="K410" t="str">
        <f t="shared" si="6"/>
        <v/>
      </c>
    </row>
    <row r="411" spans="1:13" hidden="1" x14ac:dyDescent="0.2">
      <c r="E411" t="s">
        <v>706</v>
      </c>
      <c r="K411" t="str">
        <f t="shared" si="6"/>
        <v/>
      </c>
    </row>
    <row r="412" spans="1:13" hidden="1" x14ac:dyDescent="0.2">
      <c r="E412" t="s">
        <v>297</v>
      </c>
      <c r="K412" t="str">
        <f t="shared" si="6"/>
        <v/>
      </c>
    </row>
    <row r="413" spans="1:13" hidden="1" x14ac:dyDescent="0.2">
      <c r="D413" t="s">
        <v>298</v>
      </c>
      <c r="K413" t="str">
        <f t="shared" si="6"/>
        <v/>
      </c>
    </row>
    <row r="414" spans="1:13" hidden="1" x14ac:dyDescent="0.2">
      <c r="A414" t="s">
        <v>294</v>
      </c>
      <c r="K414" t="str">
        <f t="shared" si="6"/>
        <v/>
      </c>
    </row>
    <row r="415" spans="1:13" x14ac:dyDescent="0.2">
      <c r="B415" t="s">
        <v>294</v>
      </c>
      <c r="D415" t="s">
        <v>303</v>
      </c>
      <c r="K415" t="str">
        <f t="shared" si="6"/>
        <v>4</v>
      </c>
      <c r="L415" t="str">
        <f>MID(E417,24,3)</f>
        <v>JBL</v>
      </c>
      <c r="M415" t="str">
        <f>MID(E418,22,25)</f>
        <v>"JB.LOBOS";</v>
      </c>
    </row>
    <row r="416" spans="1:13" hidden="1" x14ac:dyDescent="0.2">
      <c r="B416" t="s">
        <v>294</v>
      </c>
      <c r="E416" t="s">
        <v>296</v>
      </c>
      <c r="K416" t="str">
        <f t="shared" si="6"/>
        <v/>
      </c>
    </row>
    <row r="417" spans="1:13" hidden="1" x14ac:dyDescent="0.2">
      <c r="E417" t="s">
        <v>707</v>
      </c>
      <c r="K417" t="str">
        <f t="shared" si="6"/>
        <v/>
      </c>
    </row>
    <row r="418" spans="1:13" hidden="1" x14ac:dyDescent="0.2">
      <c r="E418" t="s">
        <v>708</v>
      </c>
      <c r="K418" t="str">
        <f t="shared" si="6"/>
        <v/>
      </c>
    </row>
    <row r="419" spans="1:13" hidden="1" x14ac:dyDescent="0.2">
      <c r="E419" t="s">
        <v>297</v>
      </c>
      <c r="K419" t="str">
        <f t="shared" si="6"/>
        <v/>
      </c>
    </row>
    <row r="420" spans="1:13" hidden="1" x14ac:dyDescent="0.2">
      <c r="D420" t="s">
        <v>298</v>
      </c>
      <c r="K420" t="str">
        <f t="shared" si="6"/>
        <v/>
      </c>
    </row>
    <row r="421" spans="1:13" hidden="1" x14ac:dyDescent="0.2">
      <c r="A421" t="s">
        <v>294</v>
      </c>
      <c r="K421" t="str">
        <f t="shared" si="6"/>
        <v/>
      </c>
    </row>
    <row r="422" spans="1:13" x14ac:dyDescent="0.2">
      <c r="B422" t="s">
        <v>294</v>
      </c>
      <c r="D422" t="s">
        <v>303</v>
      </c>
      <c r="K422" t="str">
        <f t="shared" si="6"/>
        <v>4</v>
      </c>
      <c r="L422" t="str">
        <f>MID(E424,24,3)</f>
        <v>MCB</v>
      </c>
      <c r="M422" t="str">
        <f>MID(E425,22,25)</f>
        <v>"MOCAMBO";</v>
      </c>
    </row>
    <row r="423" spans="1:13" hidden="1" x14ac:dyDescent="0.2">
      <c r="B423" t="s">
        <v>294</v>
      </c>
      <c r="E423" t="s">
        <v>296</v>
      </c>
      <c r="K423" t="str">
        <f t="shared" si="6"/>
        <v/>
      </c>
    </row>
    <row r="424" spans="1:13" hidden="1" x14ac:dyDescent="0.2">
      <c r="E424" t="s">
        <v>709</v>
      </c>
      <c r="K424" t="str">
        <f t="shared" si="6"/>
        <v/>
      </c>
    </row>
    <row r="425" spans="1:13" hidden="1" x14ac:dyDescent="0.2">
      <c r="E425" t="s">
        <v>710</v>
      </c>
      <c r="K425" t="str">
        <f t="shared" si="6"/>
        <v/>
      </c>
    </row>
    <row r="426" spans="1:13" hidden="1" x14ac:dyDescent="0.2">
      <c r="E426" t="s">
        <v>297</v>
      </c>
      <c r="K426" t="str">
        <f t="shared" si="6"/>
        <v/>
      </c>
    </row>
    <row r="427" spans="1:13" hidden="1" x14ac:dyDescent="0.2">
      <c r="D427" t="s">
        <v>298</v>
      </c>
      <c r="K427" t="str">
        <f t="shared" si="6"/>
        <v/>
      </c>
    </row>
    <row r="428" spans="1:13" hidden="1" x14ac:dyDescent="0.2">
      <c r="A428" t="s">
        <v>294</v>
      </c>
      <c r="K428" t="str">
        <f t="shared" si="6"/>
        <v/>
      </c>
    </row>
    <row r="429" spans="1:13" x14ac:dyDescent="0.2">
      <c r="B429" t="s">
        <v>294</v>
      </c>
      <c r="D429" t="s">
        <v>303</v>
      </c>
      <c r="K429" t="str">
        <f t="shared" si="6"/>
        <v>4</v>
      </c>
      <c r="L429" t="str">
        <f>MID(E431,24,3)</f>
        <v>PAG</v>
      </c>
      <c r="M429" t="str">
        <f>MID(E432,22,25)</f>
        <v>"PAGES";</v>
      </c>
    </row>
    <row r="430" spans="1:13" hidden="1" x14ac:dyDescent="0.2">
      <c r="B430" t="s">
        <v>294</v>
      </c>
      <c r="E430" t="s">
        <v>296</v>
      </c>
      <c r="K430" t="str">
        <f t="shared" si="6"/>
        <v/>
      </c>
    </row>
    <row r="431" spans="1:13" hidden="1" x14ac:dyDescent="0.2">
      <c r="E431" t="s">
        <v>711</v>
      </c>
      <c r="K431" t="str">
        <f t="shared" si="6"/>
        <v/>
      </c>
    </row>
    <row r="432" spans="1:13" hidden="1" x14ac:dyDescent="0.2">
      <c r="E432" t="s">
        <v>712</v>
      </c>
      <c r="K432" t="str">
        <f t="shared" si="6"/>
        <v/>
      </c>
    </row>
    <row r="433" spans="1:13" hidden="1" x14ac:dyDescent="0.2">
      <c r="E433" t="s">
        <v>297</v>
      </c>
      <c r="K433" t="str">
        <f t="shared" si="6"/>
        <v/>
      </c>
    </row>
    <row r="434" spans="1:13" hidden="1" x14ac:dyDescent="0.2">
      <c r="D434" t="s">
        <v>298</v>
      </c>
      <c r="K434" t="str">
        <f t="shared" si="6"/>
        <v/>
      </c>
    </row>
    <row r="435" spans="1:13" hidden="1" x14ac:dyDescent="0.2">
      <c r="A435" t="s">
        <v>294</v>
      </c>
      <c r="K435" t="str">
        <f t="shared" si="6"/>
        <v/>
      </c>
    </row>
    <row r="436" spans="1:13" x14ac:dyDescent="0.2">
      <c r="B436" t="s">
        <v>294</v>
      </c>
      <c r="D436" t="s">
        <v>303</v>
      </c>
      <c r="K436" t="str">
        <f t="shared" si="6"/>
        <v>4</v>
      </c>
      <c r="L436" t="str">
        <f>MID(E438,24,3)</f>
        <v>PDT</v>
      </c>
      <c r="M436" t="str">
        <f>MID(E439,22,25)</f>
        <v>"PASO DEL TORO";</v>
      </c>
    </row>
    <row r="437" spans="1:13" hidden="1" x14ac:dyDescent="0.2">
      <c r="B437" t="s">
        <v>294</v>
      </c>
      <c r="E437" t="s">
        <v>296</v>
      </c>
      <c r="K437" t="str">
        <f t="shared" si="6"/>
        <v/>
      </c>
    </row>
    <row r="438" spans="1:13" hidden="1" x14ac:dyDescent="0.2">
      <c r="E438" t="s">
        <v>713</v>
      </c>
      <c r="K438" t="str">
        <f t="shared" si="6"/>
        <v/>
      </c>
    </row>
    <row r="439" spans="1:13" hidden="1" x14ac:dyDescent="0.2">
      <c r="E439" t="s">
        <v>714</v>
      </c>
      <c r="K439" t="str">
        <f t="shared" si="6"/>
        <v/>
      </c>
    </row>
    <row r="440" spans="1:13" hidden="1" x14ac:dyDescent="0.2">
      <c r="E440" t="s">
        <v>297</v>
      </c>
      <c r="K440" t="str">
        <f t="shared" si="6"/>
        <v/>
      </c>
    </row>
    <row r="441" spans="1:13" hidden="1" x14ac:dyDescent="0.2">
      <c r="D441" t="s">
        <v>298</v>
      </c>
      <c r="K441" t="str">
        <f t="shared" si="6"/>
        <v/>
      </c>
    </row>
    <row r="442" spans="1:13" hidden="1" x14ac:dyDescent="0.2">
      <c r="A442" t="s">
        <v>294</v>
      </c>
      <c r="K442" t="str">
        <f t="shared" si="6"/>
        <v/>
      </c>
    </row>
    <row r="443" spans="1:13" x14ac:dyDescent="0.2">
      <c r="B443" t="s">
        <v>294</v>
      </c>
      <c r="D443" t="s">
        <v>303</v>
      </c>
      <c r="K443" t="str">
        <f t="shared" si="6"/>
        <v>4</v>
      </c>
      <c r="L443" t="str">
        <f>MID(E445,24,3)</f>
        <v>PNS</v>
      </c>
      <c r="M443" t="str">
        <f>MID(E446,22,25)</f>
        <v>"PIEDRAS NEGRAS";</v>
      </c>
    </row>
    <row r="444" spans="1:13" hidden="1" x14ac:dyDescent="0.2">
      <c r="B444" t="s">
        <v>294</v>
      </c>
      <c r="E444" t="s">
        <v>296</v>
      </c>
      <c r="K444" t="str">
        <f t="shared" si="6"/>
        <v/>
      </c>
    </row>
    <row r="445" spans="1:13" hidden="1" x14ac:dyDescent="0.2">
      <c r="E445" t="s">
        <v>715</v>
      </c>
      <c r="K445" t="str">
        <f t="shared" si="6"/>
        <v/>
      </c>
    </row>
    <row r="446" spans="1:13" hidden="1" x14ac:dyDescent="0.2">
      <c r="E446" t="s">
        <v>716</v>
      </c>
      <c r="K446" t="str">
        <f t="shared" si="6"/>
        <v/>
      </c>
    </row>
    <row r="447" spans="1:13" hidden="1" x14ac:dyDescent="0.2">
      <c r="E447" t="s">
        <v>297</v>
      </c>
      <c r="K447" t="str">
        <f t="shared" si="6"/>
        <v/>
      </c>
    </row>
    <row r="448" spans="1:13" hidden="1" x14ac:dyDescent="0.2">
      <c r="D448" t="s">
        <v>298</v>
      </c>
      <c r="K448" t="str">
        <f t="shared" si="6"/>
        <v/>
      </c>
    </row>
    <row r="449" spans="1:13" hidden="1" x14ac:dyDescent="0.2">
      <c r="A449" t="s">
        <v>294</v>
      </c>
      <c r="K449" t="str">
        <f t="shared" si="6"/>
        <v/>
      </c>
    </row>
    <row r="450" spans="1:13" x14ac:dyDescent="0.2">
      <c r="B450" t="s">
        <v>294</v>
      </c>
      <c r="D450" t="s">
        <v>303</v>
      </c>
      <c r="K450" t="str">
        <f t="shared" si="6"/>
        <v>4</v>
      </c>
      <c r="L450" t="str">
        <f>MID(E452,24,3)</f>
        <v>PYN</v>
      </c>
      <c r="M450" t="str">
        <f>MID(E453,22,25)</f>
        <v>"PLAYA NORTE";</v>
      </c>
    </row>
    <row r="451" spans="1:13" hidden="1" x14ac:dyDescent="0.2">
      <c r="B451" t="s">
        <v>294</v>
      </c>
      <c r="E451" t="s">
        <v>296</v>
      </c>
      <c r="K451" t="str">
        <f t="shared" ref="K451:K514" si="7">MID(D451,11,1)</f>
        <v/>
      </c>
    </row>
    <row r="452" spans="1:13" hidden="1" x14ac:dyDescent="0.2">
      <c r="E452" t="s">
        <v>717</v>
      </c>
      <c r="K452" t="str">
        <f t="shared" si="7"/>
        <v/>
      </c>
    </row>
    <row r="453" spans="1:13" hidden="1" x14ac:dyDescent="0.2">
      <c r="E453" t="s">
        <v>718</v>
      </c>
      <c r="K453" t="str">
        <f t="shared" si="7"/>
        <v/>
      </c>
    </row>
    <row r="454" spans="1:13" hidden="1" x14ac:dyDescent="0.2">
      <c r="E454" t="s">
        <v>297</v>
      </c>
      <c r="K454" t="str">
        <f t="shared" si="7"/>
        <v/>
      </c>
    </row>
    <row r="455" spans="1:13" hidden="1" x14ac:dyDescent="0.2">
      <c r="D455" t="s">
        <v>298</v>
      </c>
      <c r="K455" t="str">
        <f t="shared" si="7"/>
        <v/>
      </c>
    </row>
    <row r="456" spans="1:13" hidden="1" x14ac:dyDescent="0.2">
      <c r="A456" t="s">
        <v>294</v>
      </c>
      <c r="K456" t="str">
        <f t="shared" si="7"/>
        <v/>
      </c>
    </row>
    <row r="457" spans="1:13" x14ac:dyDescent="0.2">
      <c r="B457" t="s">
        <v>294</v>
      </c>
      <c r="D457" t="s">
        <v>303</v>
      </c>
      <c r="K457" t="str">
        <f t="shared" si="7"/>
        <v>4</v>
      </c>
      <c r="L457" t="str">
        <f>MID(E459,24,3)</f>
        <v>PLI</v>
      </c>
      <c r="M457" t="str">
        <f>MID(E460,22,25)</f>
        <v>"PUNTA LIMON";</v>
      </c>
    </row>
    <row r="458" spans="1:13" hidden="1" x14ac:dyDescent="0.2">
      <c r="B458" t="s">
        <v>294</v>
      </c>
      <c r="E458" t="s">
        <v>296</v>
      </c>
      <c r="K458" t="str">
        <f t="shared" si="7"/>
        <v/>
      </c>
    </row>
    <row r="459" spans="1:13" hidden="1" x14ac:dyDescent="0.2">
      <c r="E459" t="s">
        <v>719</v>
      </c>
      <c r="K459" t="str">
        <f t="shared" si="7"/>
        <v/>
      </c>
    </row>
    <row r="460" spans="1:13" hidden="1" x14ac:dyDescent="0.2">
      <c r="E460" t="s">
        <v>720</v>
      </c>
      <c r="K460" t="str">
        <f t="shared" si="7"/>
        <v/>
      </c>
    </row>
    <row r="461" spans="1:13" hidden="1" x14ac:dyDescent="0.2">
      <c r="E461" t="s">
        <v>297</v>
      </c>
      <c r="K461" t="str">
        <f t="shared" si="7"/>
        <v/>
      </c>
    </row>
    <row r="462" spans="1:13" hidden="1" x14ac:dyDescent="0.2">
      <c r="D462" t="s">
        <v>298</v>
      </c>
      <c r="K462" t="str">
        <f t="shared" si="7"/>
        <v/>
      </c>
    </row>
    <row r="463" spans="1:13" hidden="1" x14ac:dyDescent="0.2">
      <c r="A463" t="s">
        <v>294</v>
      </c>
      <c r="K463" t="str">
        <f t="shared" si="7"/>
        <v/>
      </c>
    </row>
    <row r="464" spans="1:13" x14ac:dyDescent="0.2">
      <c r="B464" t="s">
        <v>294</v>
      </c>
      <c r="D464" t="s">
        <v>303</v>
      </c>
      <c r="K464" t="str">
        <f t="shared" si="7"/>
        <v>4</v>
      </c>
      <c r="L464" t="str">
        <f>MID(E466,24,3)</f>
        <v>SCF</v>
      </c>
      <c r="M464" t="str">
        <f>MID(E467,22,25)</f>
        <v>"SACRIFICIOS";</v>
      </c>
    </row>
    <row r="465" spans="1:13" hidden="1" x14ac:dyDescent="0.2">
      <c r="B465" t="s">
        <v>294</v>
      </c>
      <c r="E465" t="s">
        <v>296</v>
      </c>
      <c r="K465" t="str">
        <f t="shared" si="7"/>
        <v/>
      </c>
    </row>
    <row r="466" spans="1:13" hidden="1" x14ac:dyDescent="0.2">
      <c r="E466" t="s">
        <v>721</v>
      </c>
      <c r="K466" t="str">
        <f t="shared" si="7"/>
        <v/>
      </c>
    </row>
    <row r="467" spans="1:13" hidden="1" x14ac:dyDescent="0.2">
      <c r="E467" t="s">
        <v>722</v>
      </c>
      <c r="K467" t="str">
        <f t="shared" si="7"/>
        <v/>
      </c>
    </row>
    <row r="468" spans="1:13" hidden="1" x14ac:dyDescent="0.2">
      <c r="E468" t="s">
        <v>297</v>
      </c>
      <c r="K468" t="str">
        <f t="shared" si="7"/>
        <v/>
      </c>
    </row>
    <row r="469" spans="1:13" hidden="1" x14ac:dyDescent="0.2">
      <c r="D469" t="s">
        <v>298</v>
      </c>
      <c r="K469" t="str">
        <f t="shared" si="7"/>
        <v/>
      </c>
    </row>
    <row r="470" spans="1:13" hidden="1" x14ac:dyDescent="0.2">
      <c r="A470" t="s">
        <v>294</v>
      </c>
      <c r="K470" t="str">
        <f t="shared" si="7"/>
        <v/>
      </c>
    </row>
    <row r="471" spans="1:13" x14ac:dyDescent="0.2">
      <c r="B471" t="s">
        <v>294</v>
      </c>
      <c r="D471" t="s">
        <v>303</v>
      </c>
      <c r="K471" t="str">
        <f t="shared" si="7"/>
        <v>4</v>
      </c>
      <c r="L471" t="str">
        <f>MID(E473,24,3)</f>
        <v>SNL</v>
      </c>
      <c r="M471" t="str">
        <f>MID(E474,22,25)</f>
        <v>"SAN LUIS";</v>
      </c>
    </row>
    <row r="472" spans="1:13" hidden="1" x14ac:dyDescent="0.2">
      <c r="B472" t="s">
        <v>294</v>
      </c>
      <c r="E472" t="s">
        <v>296</v>
      </c>
      <c r="K472" t="str">
        <f t="shared" si="7"/>
        <v/>
      </c>
    </row>
    <row r="473" spans="1:13" hidden="1" x14ac:dyDescent="0.2">
      <c r="E473" t="s">
        <v>723</v>
      </c>
      <c r="K473" t="str">
        <f t="shared" si="7"/>
        <v/>
      </c>
    </row>
    <row r="474" spans="1:13" hidden="1" x14ac:dyDescent="0.2">
      <c r="E474" t="s">
        <v>724</v>
      </c>
      <c r="K474" t="str">
        <f t="shared" si="7"/>
        <v/>
      </c>
    </row>
    <row r="475" spans="1:13" hidden="1" x14ac:dyDescent="0.2">
      <c r="E475" t="s">
        <v>297</v>
      </c>
      <c r="K475" t="str">
        <f t="shared" si="7"/>
        <v/>
      </c>
    </row>
    <row r="476" spans="1:13" hidden="1" x14ac:dyDescent="0.2">
      <c r="D476" t="s">
        <v>298</v>
      </c>
      <c r="K476" t="str">
        <f t="shared" si="7"/>
        <v/>
      </c>
    </row>
    <row r="477" spans="1:13" hidden="1" x14ac:dyDescent="0.2">
      <c r="A477" t="s">
        <v>294</v>
      </c>
      <c r="K477" t="str">
        <f t="shared" si="7"/>
        <v/>
      </c>
    </row>
    <row r="478" spans="1:13" x14ac:dyDescent="0.2">
      <c r="B478" t="s">
        <v>294</v>
      </c>
      <c r="D478" t="s">
        <v>303</v>
      </c>
      <c r="K478" t="str">
        <f t="shared" si="7"/>
        <v>4</v>
      </c>
      <c r="L478" t="str">
        <f>MID(E480,24,3)</f>
        <v>SNF</v>
      </c>
      <c r="M478" t="str">
        <f>MID(E481,22,25)</f>
        <v>"SANTA FE";</v>
      </c>
    </row>
    <row r="479" spans="1:13" hidden="1" x14ac:dyDescent="0.2">
      <c r="B479" t="s">
        <v>294</v>
      </c>
      <c r="E479" t="s">
        <v>296</v>
      </c>
      <c r="K479" t="str">
        <f t="shared" si="7"/>
        <v/>
      </c>
    </row>
    <row r="480" spans="1:13" hidden="1" x14ac:dyDescent="0.2">
      <c r="E480" t="s">
        <v>725</v>
      </c>
      <c r="K480" t="str">
        <f t="shared" si="7"/>
        <v/>
      </c>
    </row>
    <row r="481" spans="1:13" hidden="1" x14ac:dyDescent="0.2">
      <c r="E481" t="s">
        <v>726</v>
      </c>
      <c r="K481" t="str">
        <f t="shared" si="7"/>
        <v/>
      </c>
    </row>
    <row r="482" spans="1:13" hidden="1" x14ac:dyDescent="0.2">
      <c r="E482" t="s">
        <v>297</v>
      </c>
      <c r="K482" t="str">
        <f t="shared" si="7"/>
        <v/>
      </c>
    </row>
    <row r="483" spans="1:13" hidden="1" x14ac:dyDescent="0.2">
      <c r="D483" t="s">
        <v>298</v>
      </c>
      <c r="K483" t="str">
        <f t="shared" si="7"/>
        <v/>
      </c>
    </row>
    <row r="484" spans="1:13" hidden="1" x14ac:dyDescent="0.2">
      <c r="A484" t="s">
        <v>294</v>
      </c>
      <c r="K484" t="str">
        <f t="shared" si="7"/>
        <v/>
      </c>
    </row>
    <row r="485" spans="1:13" x14ac:dyDescent="0.2">
      <c r="B485" t="s">
        <v>294</v>
      </c>
      <c r="D485" t="s">
        <v>303</v>
      </c>
      <c r="K485" t="str">
        <f t="shared" si="7"/>
        <v>4</v>
      </c>
      <c r="L485" t="str">
        <f>MID(E487,24,3)</f>
        <v>SOD</v>
      </c>
      <c r="M485" t="str">
        <f>MID(E488,22,25)</f>
        <v>"SOLEDAD";</v>
      </c>
    </row>
    <row r="486" spans="1:13" hidden="1" x14ac:dyDescent="0.2">
      <c r="B486" t="s">
        <v>294</v>
      </c>
      <c r="E486" t="s">
        <v>296</v>
      </c>
      <c r="K486" t="str">
        <f t="shared" si="7"/>
        <v/>
      </c>
    </row>
    <row r="487" spans="1:13" hidden="1" x14ac:dyDescent="0.2">
      <c r="E487" t="s">
        <v>727</v>
      </c>
      <c r="K487" t="str">
        <f t="shared" si="7"/>
        <v/>
      </c>
    </row>
    <row r="488" spans="1:13" hidden="1" x14ac:dyDescent="0.2">
      <c r="E488" t="s">
        <v>728</v>
      </c>
      <c r="K488" t="str">
        <f t="shared" si="7"/>
        <v/>
      </c>
    </row>
    <row r="489" spans="1:13" hidden="1" x14ac:dyDescent="0.2">
      <c r="E489" t="s">
        <v>297</v>
      </c>
      <c r="K489" t="str">
        <f t="shared" si="7"/>
        <v/>
      </c>
    </row>
    <row r="490" spans="1:13" hidden="1" x14ac:dyDescent="0.2">
      <c r="D490" t="s">
        <v>298</v>
      </c>
      <c r="K490" t="str">
        <f t="shared" si="7"/>
        <v/>
      </c>
    </row>
    <row r="491" spans="1:13" hidden="1" x14ac:dyDescent="0.2">
      <c r="A491" t="s">
        <v>294</v>
      </c>
      <c r="K491" t="str">
        <f t="shared" si="7"/>
        <v/>
      </c>
    </row>
    <row r="492" spans="1:13" x14ac:dyDescent="0.2">
      <c r="B492" t="s">
        <v>294</v>
      </c>
      <c r="D492" t="s">
        <v>303</v>
      </c>
      <c r="K492" t="str">
        <f t="shared" si="7"/>
        <v>4</v>
      </c>
      <c r="L492" t="str">
        <f>MID(E494,24,3)</f>
        <v>TDD</v>
      </c>
      <c r="M492" t="str">
        <f>MID(E495,22,25)</f>
        <v>"TAMARINDO";</v>
      </c>
    </row>
    <row r="493" spans="1:13" hidden="1" x14ac:dyDescent="0.2">
      <c r="B493" t="s">
        <v>294</v>
      </c>
      <c r="E493" t="s">
        <v>296</v>
      </c>
      <c r="K493" t="str">
        <f t="shared" si="7"/>
        <v/>
      </c>
    </row>
    <row r="494" spans="1:13" hidden="1" x14ac:dyDescent="0.2">
      <c r="E494" t="s">
        <v>729</v>
      </c>
      <c r="K494" t="str">
        <f t="shared" si="7"/>
        <v/>
      </c>
    </row>
    <row r="495" spans="1:13" hidden="1" x14ac:dyDescent="0.2">
      <c r="E495" t="s">
        <v>730</v>
      </c>
      <c r="K495" t="str">
        <f t="shared" si="7"/>
        <v/>
      </c>
    </row>
    <row r="496" spans="1:13" hidden="1" x14ac:dyDescent="0.2">
      <c r="E496" t="s">
        <v>297</v>
      </c>
      <c r="K496" t="str">
        <f t="shared" si="7"/>
        <v/>
      </c>
    </row>
    <row r="497" spans="1:13" hidden="1" x14ac:dyDescent="0.2">
      <c r="D497" t="s">
        <v>298</v>
      </c>
      <c r="K497" t="str">
        <f t="shared" si="7"/>
        <v/>
      </c>
    </row>
    <row r="498" spans="1:13" hidden="1" x14ac:dyDescent="0.2">
      <c r="A498" t="s">
        <v>294</v>
      </c>
      <c r="K498" t="str">
        <f t="shared" si="7"/>
        <v/>
      </c>
    </row>
    <row r="499" spans="1:13" x14ac:dyDescent="0.2">
      <c r="B499" t="s">
        <v>294</v>
      </c>
      <c r="D499" t="s">
        <v>303</v>
      </c>
      <c r="K499" t="str">
        <f t="shared" si="7"/>
        <v>4</v>
      </c>
      <c r="L499" t="str">
        <f>MID(E501,24,3)</f>
        <v>TJR</v>
      </c>
      <c r="M499" t="str">
        <f>MID(E502,22,25)</f>
        <v>"TEJAR";</v>
      </c>
    </row>
    <row r="500" spans="1:13" hidden="1" x14ac:dyDescent="0.2">
      <c r="B500" t="s">
        <v>294</v>
      </c>
      <c r="E500" t="s">
        <v>296</v>
      </c>
      <c r="K500" t="str">
        <f t="shared" si="7"/>
        <v/>
      </c>
    </row>
    <row r="501" spans="1:13" hidden="1" x14ac:dyDescent="0.2">
      <c r="E501" t="s">
        <v>731</v>
      </c>
      <c r="K501" t="str">
        <f t="shared" si="7"/>
        <v/>
      </c>
    </row>
    <row r="502" spans="1:13" hidden="1" x14ac:dyDescent="0.2">
      <c r="E502" t="s">
        <v>732</v>
      </c>
      <c r="K502" t="str">
        <f t="shared" si="7"/>
        <v/>
      </c>
    </row>
    <row r="503" spans="1:13" hidden="1" x14ac:dyDescent="0.2">
      <c r="E503" t="s">
        <v>297</v>
      </c>
      <c r="K503" t="str">
        <f t="shared" si="7"/>
        <v/>
      </c>
    </row>
    <row r="504" spans="1:13" hidden="1" x14ac:dyDescent="0.2">
      <c r="D504" t="s">
        <v>298</v>
      </c>
      <c r="K504" t="str">
        <f t="shared" si="7"/>
        <v/>
      </c>
    </row>
    <row r="505" spans="1:13" hidden="1" x14ac:dyDescent="0.2">
      <c r="A505" t="s">
        <v>294</v>
      </c>
      <c r="K505" t="str">
        <f t="shared" si="7"/>
        <v/>
      </c>
    </row>
    <row r="506" spans="1:13" x14ac:dyDescent="0.2">
      <c r="B506" t="s">
        <v>294</v>
      </c>
      <c r="D506" t="s">
        <v>303</v>
      </c>
      <c r="K506" t="str">
        <f t="shared" si="7"/>
        <v>4</v>
      </c>
      <c r="L506" t="str">
        <f>MID(E508,24,3)</f>
        <v>VRU</v>
      </c>
      <c r="M506" t="str">
        <f>MID(E509,22,25)</f>
        <v>"VERACRUZ I";</v>
      </c>
    </row>
    <row r="507" spans="1:13" hidden="1" x14ac:dyDescent="0.2">
      <c r="B507" t="s">
        <v>294</v>
      </c>
      <c r="E507" t="s">
        <v>296</v>
      </c>
      <c r="K507" t="str">
        <f t="shared" si="7"/>
        <v/>
      </c>
    </row>
    <row r="508" spans="1:13" hidden="1" x14ac:dyDescent="0.2">
      <c r="E508" t="s">
        <v>733</v>
      </c>
      <c r="K508" t="str">
        <f t="shared" si="7"/>
        <v/>
      </c>
    </row>
    <row r="509" spans="1:13" hidden="1" x14ac:dyDescent="0.2">
      <c r="E509" t="s">
        <v>734</v>
      </c>
      <c r="K509" t="str">
        <f t="shared" si="7"/>
        <v/>
      </c>
    </row>
    <row r="510" spans="1:13" hidden="1" x14ac:dyDescent="0.2">
      <c r="E510" t="s">
        <v>297</v>
      </c>
      <c r="K510" t="str">
        <f t="shared" si="7"/>
        <v/>
      </c>
    </row>
    <row r="511" spans="1:13" hidden="1" x14ac:dyDescent="0.2">
      <c r="D511" t="s">
        <v>298</v>
      </c>
      <c r="K511" t="str">
        <f t="shared" si="7"/>
        <v/>
      </c>
    </row>
    <row r="512" spans="1:13" hidden="1" x14ac:dyDescent="0.2">
      <c r="A512" t="s">
        <v>294</v>
      </c>
      <c r="K512" t="str">
        <f t="shared" si="7"/>
        <v/>
      </c>
    </row>
    <row r="513" spans="1:13" x14ac:dyDescent="0.2">
      <c r="B513" t="s">
        <v>294</v>
      </c>
      <c r="D513" t="s">
        <v>304</v>
      </c>
      <c r="K513" t="str">
        <f t="shared" si="7"/>
        <v>5</v>
      </c>
      <c r="L513" t="str">
        <f>MID(E515,24,3)</f>
        <v>BJU</v>
      </c>
      <c r="M513" t="str">
        <f>MID(E516,22,25)</f>
        <v>"BENITO JUAREZ";</v>
      </c>
    </row>
    <row r="514" spans="1:13" hidden="1" x14ac:dyDescent="0.2">
      <c r="B514" t="s">
        <v>294</v>
      </c>
      <c r="E514" t="s">
        <v>296</v>
      </c>
      <c r="K514" t="str">
        <f t="shared" si="7"/>
        <v/>
      </c>
    </row>
    <row r="515" spans="1:13" hidden="1" x14ac:dyDescent="0.2">
      <c r="E515" t="s">
        <v>735</v>
      </c>
      <c r="K515" t="str">
        <f t="shared" ref="K515:K578" si="8">MID(D515,11,1)</f>
        <v/>
      </c>
    </row>
    <row r="516" spans="1:13" hidden="1" x14ac:dyDescent="0.2">
      <c r="E516" t="s">
        <v>736</v>
      </c>
      <c r="K516" t="str">
        <f t="shared" si="8"/>
        <v/>
      </c>
    </row>
    <row r="517" spans="1:13" hidden="1" x14ac:dyDescent="0.2">
      <c r="E517" t="s">
        <v>297</v>
      </c>
      <c r="K517" t="str">
        <f t="shared" si="8"/>
        <v/>
      </c>
    </row>
    <row r="518" spans="1:13" hidden="1" x14ac:dyDescent="0.2">
      <c r="D518" t="s">
        <v>298</v>
      </c>
      <c r="K518" t="str">
        <f t="shared" si="8"/>
        <v/>
      </c>
    </row>
    <row r="519" spans="1:13" hidden="1" x14ac:dyDescent="0.2">
      <c r="A519" t="s">
        <v>294</v>
      </c>
      <c r="K519" t="str">
        <f t="shared" si="8"/>
        <v/>
      </c>
    </row>
    <row r="520" spans="1:13" x14ac:dyDescent="0.2">
      <c r="B520" t="s">
        <v>294</v>
      </c>
      <c r="D520" t="s">
        <v>304</v>
      </c>
      <c r="K520" t="str">
        <f t="shared" si="8"/>
        <v>5</v>
      </c>
      <c r="L520" t="str">
        <f>MID(E522,24,3)</f>
        <v>CAC</v>
      </c>
      <c r="M520" t="str">
        <f>MID(E523,22,25)</f>
        <v>"CARLOS A. CARRILLO";</v>
      </c>
    </row>
    <row r="521" spans="1:13" hidden="1" x14ac:dyDescent="0.2">
      <c r="B521" t="s">
        <v>294</v>
      </c>
      <c r="E521" t="s">
        <v>296</v>
      </c>
      <c r="K521" t="str">
        <f t="shared" si="8"/>
        <v/>
      </c>
    </row>
    <row r="522" spans="1:13" hidden="1" x14ac:dyDescent="0.2">
      <c r="E522" t="s">
        <v>737</v>
      </c>
      <c r="K522" t="str">
        <f t="shared" si="8"/>
        <v/>
      </c>
    </row>
    <row r="523" spans="1:13" hidden="1" x14ac:dyDescent="0.2">
      <c r="E523" t="s">
        <v>738</v>
      </c>
      <c r="K523" t="str">
        <f t="shared" si="8"/>
        <v/>
      </c>
    </row>
    <row r="524" spans="1:13" hidden="1" x14ac:dyDescent="0.2">
      <c r="E524" t="s">
        <v>297</v>
      </c>
      <c r="K524" t="str">
        <f t="shared" si="8"/>
        <v/>
      </c>
    </row>
    <row r="525" spans="1:13" hidden="1" x14ac:dyDescent="0.2">
      <c r="D525" t="s">
        <v>298</v>
      </c>
      <c r="K525" t="str">
        <f t="shared" si="8"/>
        <v/>
      </c>
    </row>
    <row r="526" spans="1:13" hidden="1" x14ac:dyDescent="0.2">
      <c r="A526" t="s">
        <v>294</v>
      </c>
      <c r="K526" t="str">
        <f t="shared" si="8"/>
        <v/>
      </c>
    </row>
    <row r="527" spans="1:13" x14ac:dyDescent="0.2">
      <c r="B527" t="s">
        <v>294</v>
      </c>
      <c r="D527" t="s">
        <v>304</v>
      </c>
      <c r="K527" t="str">
        <f t="shared" si="8"/>
        <v>5</v>
      </c>
      <c r="L527" t="str">
        <f>MID(E529,24,3)</f>
        <v>CSL</v>
      </c>
      <c r="M527" t="str">
        <f>MID(E530,22,25)</f>
        <v>"COSOLAPA";</v>
      </c>
    </row>
    <row r="528" spans="1:13" hidden="1" x14ac:dyDescent="0.2">
      <c r="B528" t="s">
        <v>294</v>
      </c>
      <c r="E528" t="s">
        <v>296</v>
      </c>
      <c r="K528" t="str">
        <f t="shared" si="8"/>
        <v/>
      </c>
    </row>
    <row r="529" spans="1:13" hidden="1" x14ac:dyDescent="0.2">
      <c r="E529" t="s">
        <v>739</v>
      </c>
      <c r="K529" t="str">
        <f t="shared" si="8"/>
        <v/>
      </c>
    </row>
    <row r="530" spans="1:13" hidden="1" x14ac:dyDescent="0.2">
      <c r="E530" t="s">
        <v>740</v>
      </c>
      <c r="K530" t="str">
        <f t="shared" si="8"/>
        <v/>
      </c>
    </row>
    <row r="531" spans="1:13" hidden="1" x14ac:dyDescent="0.2">
      <c r="E531" t="s">
        <v>297</v>
      </c>
      <c r="K531" t="str">
        <f t="shared" si="8"/>
        <v/>
      </c>
    </row>
    <row r="532" spans="1:13" hidden="1" x14ac:dyDescent="0.2">
      <c r="D532" t="s">
        <v>298</v>
      </c>
      <c r="K532" t="str">
        <f t="shared" si="8"/>
        <v/>
      </c>
    </row>
    <row r="533" spans="1:13" hidden="1" x14ac:dyDescent="0.2">
      <c r="A533" t="s">
        <v>294</v>
      </c>
      <c r="K533" t="str">
        <f t="shared" si="8"/>
        <v/>
      </c>
    </row>
    <row r="534" spans="1:13" x14ac:dyDescent="0.2">
      <c r="B534" t="s">
        <v>294</v>
      </c>
      <c r="D534" t="s">
        <v>304</v>
      </c>
      <c r="K534" t="str">
        <f t="shared" si="8"/>
        <v>5</v>
      </c>
      <c r="L534" t="str">
        <f>MID(E536,24,3)</f>
        <v>JIC</v>
      </c>
      <c r="M534" t="str">
        <f>MID(E537,22,25)</f>
        <v>"EL JICARO";</v>
      </c>
    </row>
    <row r="535" spans="1:13" hidden="1" x14ac:dyDescent="0.2">
      <c r="B535" t="s">
        <v>294</v>
      </c>
      <c r="E535" t="s">
        <v>296</v>
      </c>
      <c r="K535" t="str">
        <f t="shared" si="8"/>
        <v/>
      </c>
    </row>
    <row r="536" spans="1:13" hidden="1" x14ac:dyDescent="0.2">
      <c r="E536" t="s">
        <v>741</v>
      </c>
      <c r="K536" t="str">
        <f t="shared" si="8"/>
        <v/>
      </c>
    </row>
    <row r="537" spans="1:13" hidden="1" x14ac:dyDescent="0.2">
      <c r="E537" t="s">
        <v>742</v>
      </c>
      <c r="K537" t="str">
        <f t="shared" si="8"/>
        <v/>
      </c>
    </row>
    <row r="538" spans="1:13" hidden="1" x14ac:dyDescent="0.2">
      <c r="E538" t="s">
        <v>297</v>
      </c>
      <c r="K538" t="str">
        <f t="shared" si="8"/>
        <v/>
      </c>
    </row>
    <row r="539" spans="1:13" hidden="1" x14ac:dyDescent="0.2">
      <c r="D539" t="s">
        <v>298</v>
      </c>
      <c r="K539" t="str">
        <f t="shared" si="8"/>
        <v/>
      </c>
    </row>
    <row r="540" spans="1:13" hidden="1" x14ac:dyDescent="0.2">
      <c r="A540" t="s">
        <v>294</v>
      </c>
      <c r="K540" t="str">
        <f t="shared" si="8"/>
        <v/>
      </c>
    </row>
    <row r="541" spans="1:13" x14ac:dyDescent="0.2">
      <c r="B541" t="s">
        <v>294</v>
      </c>
      <c r="D541" t="s">
        <v>304</v>
      </c>
      <c r="K541" t="str">
        <f t="shared" si="8"/>
        <v>5</v>
      </c>
      <c r="L541" t="str">
        <f>MID(E543,24,3)</f>
        <v>GBA</v>
      </c>
      <c r="M541" t="str">
        <f>MID(E544,22,25)</f>
        <v>"GABINO BARREDA";</v>
      </c>
    </row>
    <row r="542" spans="1:13" hidden="1" x14ac:dyDescent="0.2">
      <c r="B542" t="s">
        <v>294</v>
      </c>
      <c r="E542" t="s">
        <v>296</v>
      </c>
      <c r="K542" t="str">
        <f t="shared" si="8"/>
        <v/>
      </c>
    </row>
    <row r="543" spans="1:13" hidden="1" x14ac:dyDescent="0.2">
      <c r="E543" t="s">
        <v>743</v>
      </c>
      <c r="K543" t="str">
        <f t="shared" si="8"/>
        <v/>
      </c>
    </row>
    <row r="544" spans="1:13" hidden="1" x14ac:dyDescent="0.2">
      <c r="E544" t="s">
        <v>744</v>
      </c>
      <c r="K544" t="str">
        <f t="shared" si="8"/>
        <v/>
      </c>
    </row>
    <row r="545" spans="1:13" hidden="1" x14ac:dyDescent="0.2">
      <c r="E545" t="s">
        <v>297</v>
      </c>
      <c r="K545" t="str">
        <f t="shared" si="8"/>
        <v/>
      </c>
    </row>
    <row r="546" spans="1:13" hidden="1" x14ac:dyDescent="0.2">
      <c r="D546" t="s">
        <v>298</v>
      </c>
      <c r="K546" t="str">
        <f t="shared" si="8"/>
        <v/>
      </c>
    </row>
    <row r="547" spans="1:13" hidden="1" x14ac:dyDescent="0.2">
      <c r="A547" t="s">
        <v>294</v>
      </c>
      <c r="K547" t="str">
        <f t="shared" si="8"/>
        <v/>
      </c>
    </row>
    <row r="548" spans="1:13" x14ac:dyDescent="0.2">
      <c r="B548" t="s">
        <v>294</v>
      </c>
      <c r="D548" t="s">
        <v>304</v>
      </c>
      <c r="K548" t="str">
        <f t="shared" si="8"/>
        <v>5</v>
      </c>
      <c r="L548" t="str">
        <f>MID(E550,24,3)</f>
        <v>GRT</v>
      </c>
      <c r="M548" t="str">
        <f>MID(E551,22,25)</f>
        <v>"GRANJA TRES";</v>
      </c>
    </row>
    <row r="549" spans="1:13" hidden="1" x14ac:dyDescent="0.2">
      <c r="B549" t="s">
        <v>294</v>
      </c>
      <c r="E549" t="s">
        <v>296</v>
      </c>
      <c r="K549" t="str">
        <f t="shared" si="8"/>
        <v/>
      </c>
    </row>
    <row r="550" spans="1:13" hidden="1" x14ac:dyDescent="0.2">
      <c r="E550" t="s">
        <v>745</v>
      </c>
      <c r="K550" t="str">
        <f t="shared" si="8"/>
        <v/>
      </c>
    </row>
    <row r="551" spans="1:13" hidden="1" x14ac:dyDescent="0.2">
      <c r="E551" t="s">
        <v>746</v>
      </c>
      <c r="K551" t="str">
        <f t="shared" si="8"/>
        <v/>
      </c>
    </row>
    <row r="552" spans="1:13" hidden="1" x14ac:dyDescent="0.2">
      <c r="E552" t="s">
        <v>297</v>
      </c>
      <c r="K552" t="str">
        <f t="shared" si="8"/>
        <v/>
      </c>
    </row>
    <row r="553" spans="1:13" hidden="1" x14ac:dyDescent="0.2">
      <c r="D553" t="s">
        <v>298</v>
      </c>
      <c r="K553" t="str">
        <f t="shared" si="8"/>
        <v/>
      </c>
    </row>
    <row r="554" spans="1:13" hidden="1" x14ac:dyDescent="0.2">
      <c r="A554" t="s">
        <v>294</v>
      </c>
      <c r="K554" t="str">
        <f t="shared" si="8"/>
        <v/>
      </c>
    </row>
    <row r="555" spans="1:13" x14ac:dyDescent="0.2">
      <c r="B555" t="s">
        <v>294</v>
      </c>
      <c r="D555" t="s">
        <v>304</v>
      </c>
      <c r="K555" t="str">
        <f t="shared" si="8"/>
        <v>5</v>
      </c>
      <c r="L555" t="str">
        <f>MID(E557,24,3)</f>
        <v>TVS</v>
      </c>
      <c r="M555" t="str">
        <f>MID(E558,22,25)</f>
        <v>"INGENIO TRES VALLES";</v>
      </c>
    </row>
    <row r="556" spans="1:13" hidden="1" x14ac:dyDescent="0.2">
      <c r="B556" t="s">
        <v>294</v>
      </c>
      <c r="E556" t="s">
        <v>296</v>
      </c>
      <c r="K556" t="str">
        <f t="shared" si="8"/>
        <v/>
      </c>
    </row>
    <row r="557" spans="1:13" hidden="1" x14ac:dyDescent="0.2">
      <c r="E557" t="s">
        <v>747</v>
      </c>
      <c r="K557" t="str">
        <f t="shared" si="8"/>
        <v/>
      </c>
    </row>
    <row r="558" spans="1:13" hidden="1" x14ac:dyDescent="0.2">
      <c r="E558" t="s">
        <v>748</v>
      </c>
      <c r="K558" t="str">
        <f t="shared" si="8"/>
        <v/>
      </c>
    </row>
    <row r="559" spans="1:13" hidden="1" x14ac:dyDescent="0.2">
      <c r="E559" t="s">
        <v>297</v>
      </c>
      <c r="K559" t="str">
        <f t="shared" si="8"/>
        <v/>
      </c>
    </row>
    <row r="560" spans="1:13" hidden="1" x14ac:dyDescent="0.2">
      <c r="D560" t="s">
        <v>298</v>
      </c>
      <c r="K560" t="str">
        <f t="shared" si="8"/>
        <v/>
      </c>
    </row>
    <row r="561" spans="1:13" hidden="1" x14ac:dyDescent="0.2">
      <c r="A561" t="s">
        <v>294</v>
      </c>
      <c r="K561" t="str">
        <f t="shared" si="8"/>
        <v/>
      </c>
    </row>
    <row r="562" spans="1:13" x14ac:dyDescent="0.2">
      <c r="B562" t="s">
        <v>294</v>
      </c>
      <c r="D562" t="s">
        <v>304</v>
      </c>
      <c r="K562" t="str">
        <f t="shared" si="8"/>
        <v>5</v>
      </c>
      <c r="L562" t="str">
        <f>MID(E564,24,3)</f>
        <v>ISL</v>
      </c>
      <c r="M562" t="str">
        <f>MID(E565,22,25)</f>
        <v>"ISLA";</v>
      </c>
    </row>
    <row r="563" spans="1:13" hidden="1" x14ac:dyDescent="0.2">
      <c r="B563" t="s">
        <v>294</v>
      </c>
      <c r="E563" t="s">
        <v>296</v>
      </c>
      <c r="K563" t="str">
        <f t="shared" si="8"/>
        <v/>
      </c>
    </row>
    <row r="564" spans="1:13" hidden="1" x14ac:dyDescent="0.2">
      <c r="E564" t="s">
        <v>749</v>
      </c>
      <c r="K564" t="str">
        <f t="shared" si="8"/>
        <v/>
      </c>
    </row>
    <row r="565" spans="1:13" hidden="1" x14ac:dyDescent="0.2">
      <c r="E565" t="s">
        <v>750</v>
      </c>
      <c r="K565" t="str">
        <f t="shared" si="8"/>
        <v/>
      </c>
    </row>
    <row r="566" spans="1:13" hidden="1" x14ac:dyDescent="0.2">
      <c r="E566" t="s">
        <v>297</v>
      </c>
      <c r="K566" t="str">
        <f t="shared" si="8"/>
        <v/>
      </c>
    </row>
    <row r="567" spans="1:13" hidden="1" x14ac:dyDescent="0.2">
      <c r="D567" t="s">
        <v>298</v>
      </c>
      <c r="K567" t="str">
        <f t="shared" si="8"/>
        <v/>
      </c>
    </row>
    <row r="568" spans="1:13" hidden="1" x14ac:dyDescent="0.2">
      <c r="A568" t="s">
        <v>294</v>
      </c>
      <c r="K568" t="str">
        <f t="shared" si="8"/>
        <v/>
      </c>
    </row>
    <row r="569" spans="1:13" x14ac:dyDescent="0.2">
      <c r="B569" t="s">
        <v>294</v>
      </c>
      <c r="D569" t="s">
        <v>304</v>
      </c>
      <c r="K569" t="str">
        <f t="shared" si="8"/>
        <v>5</v>
      </c>
      <c r="L569" t="str">
        <f>MID(E571,24,3)</f>
        <v>JDD</v>
      </c>
      <c r="M569" t="str">
        <f>MID(E572,22,25)</f>
        <v>"JALAPA DE DIAZ";</v>
      </c>
    </row>
    <row r="570" spans="1:13" hidden="1" x14ac:dyDescent="0.2">
      <c r="B570" t="s">
        <v>294</v>
      </c>
      <c r="E570" t="s">
        <v>296</v>
      </c>
      <c r="K570" t="str">
        <f t="shared" si="8"/>
        <v/>
      </c>
    </row>
    <row r="571" spans="1:13" hidden="1" x14ac:dyDescent="0.2">
      <c r="E571" t="s">
        <v>751</v>
      </c>
      <c r="K571" t="str">
        <f t="shared" si="8"/>
        <v/>
      </c>
    </row>
    <row r="572" spans="1:13" hidden="1" x14ac:dyDescent="0.2">
      <c r="E572" t="s">
        <v>752</v>
      </c>
      <c r="K572" t="str">
        <f t="shared" si="8"/>
        <v/>
      </c>
    </row>
    <row r="573" spans="1:13" hidden="1" x14ac:dyDescent="0.2">
      <c r="E573" t="s">
        <v>297</v>
      </c>
      <c r="K573" t="str">
        <f t="shared" si="8"/>
        <v/>
      </c>
    </row>
    <row r="574" spans="1:13" hidden="1" x14ac:dyDescent="0.2">
      <c r="D574" t="s">
        <v>298</v>
      </c>
      <c r="K574" t="str">
        <f t="shared" si="8"/>
        <v/>
      </c>
    </row>
    <row r="575" spans="1:13" hidden="1" x14ac:dyDescent="0.2">
      <c r="A575" t="s">
        <v>294</v>
      </c>
      <c r="K575" t="str">
        <f t="shared" si="8"/>
        <v/>
      </c>
    </row>
    <row r="576" spans="1:13" x14ac:dyDescent="0.2">
      <c r="B576" t="s">
        <v>294</v>
      </c>
      <c r="D576" t="s">
        <v>304</v>
      </c>
      <c r="K576" t="str">
        <f t="shared" si="8"/>
        <v>5</v>
      </c>
      <c r="L576" t="str">
        <f>MID(E578,24,3)</f>
        <v>LBD</v>
      </c>
      <c r="M576" t="str">
        <f>MID(E579,22,25)</f>
        <v>"LOMA BONITA DOS";</v>
      </c>
    </row>
    <row r="577" spans="1:13" hidden="1" x14ac:dyDescent="0.2">
      <c r="B577" t="s">
        <v>294</v>
      </c>
      <c r="E577" t="s">
        <v>296</v>
      </c>
      <c r="K577" t="str">
        <f t="shared" si="8"/>
        <v/>
      </c>
    </row>
    <row r="578" spans="1:13" hidden="1" x14ac:dyDescent="0.2">
      <c r="E578" t="s">
        <v>753</v>
      </c>
      <c r="K578" t="str">
        <f t="shared" si="8"/>
        <v/>
      </c>
    </row>
    <row r="579" spans="1:13" hidden="1" x14ac:dyDescent="0.2">
      <c r="E579" t="s">
        <v>754</v>
      </c>
      <c r="K579" t="str">
        <f t="shared" ref="K579:K642" si="9">MID(D579,11,1)</f>
        <v/>
      </c>
    </row>
    <row r="580" spans="1:13" hidden="1" x14ac:dyDescent="0.2">
      <c r="E580" t="s">
        <v>297</v>
      </c>
      <c r="K580" t="str">
        <f t="shared" si="9"/>
        <v/>
      </c>
    </row>
    <row r="581" spans="1:13" hidden="1" x14ac:dyDescent="0.2">
      <c r="D581" t="s">
        <v>298</v>
      </c>
      <c r="K581" t="str">
        <f t="shared" si="9"/>
        <v/>
      </c>
    </row>
    <row r="582" spans="1:13" hidden="1" x14ac:dyDescent="0.2">
      <c r="A582" t="s">
        <v>294</v>
      </c>
      <c r="K582" t="str">
        <f t="shared" si="9"/>
        <v/>
      </c>
    </row>
    <row r="583" spans="1:13" x14ac:dyDescent="0.2">
      <c r="B583" t="s">
        <v>294</v>
      </c>
      <c r="D583" t="s">
        <v>304</v>
      </c>
      <c r="K583" t="str">
        <f t="shared" si="9"/>
        <v>5</v>
      </c>
      <c r="L583" t="str">
        <f>MID(E585,24,3)</f>
        <v>PVC</v>
      </c>
      <c r="M583" t="str">
        <f>MID(E586,22,25)</f>
        <v>"PLAYA VICENTE";</v>
      </c>
    </row>
    <row r="584" spans="1:13" hidden="1" x14ac:dyDescent="0.2">
      <c r="B584" t="s">
        <v>294</v>
      </c>
      <c r="E584" t="s">
        <v>296</v>
      </c>
      <c r="K584" t="str">
        <f t="shared" si="9"/>
        <v/>
      </c>
    </row>
    <row r="585" spans="1:13" hidden="1" x14ac:dyDescent="0.2">
      <c r="E585" t="s">
        <v>755</v>
      </c>
      <c r="K585" t="str">
        <f t="shared" si="9"/>
        <v/>
      </c>
    </row>
    <row r="586" spans="1:13" hidden="1" x14ac:dyDescent="0.2">
      <c r="E586" t="s">
        <v>756</v>
      </c>
      <c r="K586" t="str">
        <f t="shared" si="9"/>
        <v/>
      </c>
    </row>
    <row r="587" spans="1:13" hidden="1" x14ac:dyDescent="0.2">
      <c r="E587" t="s">
        <v>297</v>
      </c>
      <c r="K587" t="str">
        <f t="shared" si="9"/>
        <v/>
      </c>
    </row>
    <row r="588" spans="1:13" hidden="1" x14ac:dyDescent="0.2">
      <c r="D588" t="s">
        <v>298</v>
      </c>
      <c r="K588" t="str">
        <f t="shared" si="9"/>
        <v/>
      </c>
    </row>
    <row r="589" spans="1:13" hidden="1" x14ac:dyDescent="0.2">
      <c r="A589" t="s">
        <v>294</v>
      </c>
      <c r="K589" t="str">
        <f t="shared" si="9"/>
        <v/>
      </c>
    </row>
    <row r="590" spans="1:13" x14ac:dyDescent="0.2">
      <c r="B590" t="s">
        <v>294</v>
      </c>
      <c r="D590" t="s">
        <v>304</v>
      </c>
      <c r="K590" t="str">
        <f t="shared" si="9"/>
        <v>5</v>
      </c>
      <c r="L590" t="str">
        <f>MID(E592,24,3)</f>
        <v>RDC</v>
      </c>
      <c r="M590" t="str">
        <f>MID(E593,22,25)</f>
        <v>"RODRIGUEZ CLARA";</v>
      </c>
    </row>
    <row r="591" spans="1:13" hidden="1" x14ac:dyDescent="0.2">
      <c r="B591" t="s">
        <v>294</v>
      </c>
      <c r="E591" t="s">
        <v>296</v>
      </c>
      <c r="K591" t="str">
        <f t="shared" si="9"/>
        <v/>
      </c>
    </row>
    <row r="592" spans="1:13" hidden="1" x14ac:dyDescent="0.2">
      <c r="E592" t="s">
        <v>757</v>
      </c>
      <c r="K592" t="str">
        <f t="shared" si="9"/>
        <v/>
      </c>
    </row>
    <row r="593" spans="1:13" hidden="1" x14ac:dyDescent="0.2">
      <c r="E593" t="s">
        <v>758</v>
      </c>
      <c r="K593" t="str">
        <f t="shared" si="9"/>
        <v/>
      </c>
    </row>
    <row r="594" spans="1:13" hidden="1" x14ac:dyDescent="0.2">
      <c r="E594" t="s">
        <v>297</v>
      </c>
      <c r="K594" t="str">
        <f t="shared" si="9"/>
        <v/>
      </c>
    </row>
    <row r="595" spans="1:13" hidden="1" x14ac:dyDescent="0.2">
      <c r="D595" t="s">
        <v>298</v>
      </c>
      <c r="K595" t="str">
        <f t="shared" si="9"/>
        <v/>
      </c>
    </row>
    <row r="596" spans="1:13" hidden="1" x14ac:dyDescent="0.2">
      <c r="A596" t="s">
        <v>294</v>
      </c>
      <c r="K596" t="str">
        <f t="shared" si="9"/>
        <v/>
      </c>
    </row>
    <row r="597" spans="1:13" x14ac:dyDescent="0.2">
      <c r="B597" t="s">
        <v>294</v>
      </c>
      <c r="D597" t="s">
        <v>304</v>
      </c>
      <c r="K597" t="str">
        <f t="shared" si="9"/>
        <v>5</v>
      </c>
      <c r="L597" t="str">
        <f>MID(E599,24,3)</f>
        <v>TBL</v>
      </c>
      <c r="M597" t="str">
        <f>MID(E600,22,25)</f>
        <v>"TIERRA BLANCA";</v>
      </c>
    </row>
    <row r="598" spans="1:13" hidden="1" x14ac:dyDescent="0.2">
      <c r="B598" t="s">
        <v>294</v>
      </c>
      <c r="E598" t="s">
        <v>296</v>
      </c>
      <c r="K598" t="str">
        <f t="shared" si="9"/>
        <v/>
      </c>
    </row>
    <row r="599" spans="1:13" hidden="1" x14ac:dyDescent="0.2">
      <c r="E599" t="s">
        <v>759</v>
      </c>
      <c r="K599" t="str">
        <f t="shared" si="9"/>
        <v/>
      </c>
    </row>
    <row r="600" spans="1:13" hidden="1" x14ac:dyDescent="0.2">
      <c r="E600" t="s">
        <v>760</v>
      </c>
      <c r="K600" t="str">
        <f t="shared" si="9"/>
        <v/>
      </c>
    </row>
    <row r="601" spans="1:13" hidden="1" x14ac:dyDescent="0.2">
      <c r="E601" t="s">
        <v>297</v>
      </c>
      <c r="K601" t="str">
        <f t="shared" si="9"/>
        <v/>
      </c>
    </row>
    <row r="602" spans="1:13" hidden="1" x14ac:dyDescent="0.2">
      <c r="D602" t="s">
        <v>298</v>
      </c>
      <c r="K602" t="str">
        <f t="shared" si="9"/>
        <v/>
      </c>
    </row>
    <row r="603" spans="1:13" hidden="1" x14ac:dyDescent="0.2">
      <c r="A603" t="s">
        <v>294</v>
      </c>
      <c r="K603" t="str">
        <f t="shared" si="9"/>
        <v/>
      </c>
    </row>
    <row r="604" spans="1:13" x14ac:dyDescent="0.2">
      <c r="B604" t="s">
        <v>294</v>
      </c>
      <c r="D604" t="s">
        <v>304</v>
      </c>
      <c r="K604" t="str">
        <f t="shared" si="9"/>
        <v>5</v>
      </c>
      <c r="L604" t="str">
        <f>MID(E606,24,3)</f>
        <v>TNJ</v>
      </c>
      <c r="M604" t="str">
        <f>MID(E607,22,25)</f>
        <v>"TINAJA";</v>
      </c>
    </row>
    <row r="605" spans="1:13" hidden="1" x14ac:dyDescent="0.2">
      <c r="B605" t="s">
        <v>294</v>
      </c>
      <c r="E605" t="s">
        <v>296</v>
      </c>
      <c r="K605" t="str">
        <f t="shared" si="9"/>
        <v/>
      </c>
    </row>
    <row r="606" spans="1:13" hidden="1" x14ac:dyDescent="0.2">
      <c r="E606" t="s">
        <v>761</v>
      </c>
      <c r="K606" t="str">
        <f t="shared" si="9"/>
        <v/>
      </c>
    </row>
    <row r="607" spans="1:13" hidden="1" x14ac:dyDescent="0.2">
      <c r="E607" t="s">
        <v>762</v>
      </c>
      <c r="K607" t="str">
        <f t="shared" si="9"/>
        <v/>
      </c>
    </row>
    <row r="608" spans="1:13" hidden="1" x14ac:dyDescent="0.2">
      <c r="E608" t="s">
        <v>297</v>
      </c>
      <c r="K608" t="str">
        <f t="shared" si="9"/>
        <v/>
      </c>
    </row>
    <row r="609" spans="1:13" hidden="1" x14ac:dyDescent="0.2">
      <c r="D609" t="s">
        <v>298</v>
      </c>
      <c r="K609" t="str">
        <f t="shared" si="9"/>
        <v/>
      </c>
    </row>
    <row r="610" spans="1:13" hidden="1" x14ac:dyDescent="0.2">
      <c r="A610" t="s">
        <v>294</v>
      </c>
      <c r="K610" t="str">
        <f t="shared" si="9"/>
        <v/>
      </c>
    </row>
    <row r="611" spans="1:13" x14ac:dyDescent="0.2">
      <c r="B611" t="s">
        <v>294</v>
      </c>
      <c r="D611" t="s">
        <v>304</v>
      </c>
      <c r="K611" t="str">
        <f t="shared" si="9"/>
        <v>5</v>
      </c>
      <c r="L611" t="str">
        <f>MID(E613,24,3)</f>
        <v>TTA</v>
      </c>
      <c r="M611" t="str">
        <f>MID(E614,22,25)</f>
        <v>"TLACOTALPAN";</v>
      </c>
    </row>
    <row r="612" spans="1:13" hidden="1" x14ac:dyDescent="0.2">
      <c r="B612" t="s">
        <v>294</v>
      </c>
      <c r="E612" t="s">
        <v>296</v>
      </c>
      <c r="K612" t="str">
        <f t="shared" si="9"/>
        <v/>
      </c>
    </row>
    <row r="613" spans="1:13" hidden="1" x14ac:dyDescent="0.2">
      <c r="E613" t="s">
        <v>763</v>
      </c>
      <c r="K613" t="str">
        <f t="shared" si="9"/>
        <v/>
      </c>
    </row>
    <row r="614" spans="1:13" hidden="1" x14ac:dyDescent="0.2">
      <c r="E614" t="s">
        <v>764</v>
      </c>
      <c r="K614" t="str">
        <f t="shared" si="9"/>
        <v/>
      </c>
    </row>
    <row r="615" spans="1:13" hidden="1" x14ac:dyDescent="0.2">
      <c r="E615" t="s">
        <v>297</v>
      </c>
      <c r="K615" t="str">
        <f t="shared" si="9"/>
        <v/>
      </c>
    </row>
    <row r="616" spans="1:13" hidden="1" x14ac:dyDescent="0.2">
      <c r="D616" t="s">
        <v>298</v>
      </c>
      <c r="K616" t="str">
        <f t="shared" si="9"/>
        <v/>
      </c>
    </row>
    <row r="617" spans="1:13" hidden="1" x14ac:dyDescent="0.2">
      <c r="A617" t="s">
        <v>294</v>
      </c>
      <c r="K617" t="str">
        <f t="shared" si="9"/>
        <v/>
      </c>
    </row>
    <row r="618" spans="1:13" x14ac:dyDescent="0.2">
      <c r="B618" t="s">
        <v>294</v>
      </c>
      <c r="D618" t="s">
        <v>304</v>
      </c>
      <c r="K618" t="str">
        <f t="shared" si="9"/>
        <v>5</v>
      </c>
      <c r="L618" t="str">
        <f>MID(E620,24,3)</f>
        <v>TXD</v>
      </c>
      <c r="M618" t="str">
        <f>MID(E621,22,25)</f>
        <v>"TUXTEPEC DOS";</v>
      </c>
    </row>
    <row r="619" spans="1:13" hidden="1" x14ac:dyDescent="0.2">
      <c r="B619" t="s">
        <v>294</v>
      </c>
      <c r="E619" t="s">
        <v>296</v>
      </c>
      <c r="K619" t="str">
        <f t="shared" si="9"/>
        <v/>
      </c>
    </row>
    <row r="620" spans="1:13" hidden="1" x14ac:dyDescent="0.2">
      <c r="E620" t="s">
        <v>765</v>
      </c>
      <c r="K620" t="str">
        <f t="shared" si="9"/>
        <v/>
      </c>
    </row>
    <row r="621" spans="1:13" hidden="1" x14ac:dyDescent="0.2">
      <c r="E621" t="s">
        <v>766</v>
      </c>
      <c r="K621" t="str">
        <f t="shared" si="9"/>
        <v/>
      </c>
    </row>
    <row r="622" spans="1:13" hidden="1" x14ac:dyDescent="0.2">
      <c r="E622" t="s">
        <v>297</v>
      </c>
      <c r="K622" t="str">
        <f t="shared" si="9"/>
        <v/>
      </c>
    </row>
    <row r="623" spans="1:13" hidden="1" x14ac:dyDescent="0.2">
      <c r="D623" t="s">
        <v>298</v>
      </c>
      <c r="K623" t="str">
        <f t="shared" si="9"/>
        <v/>
      </c>
    </row>
    <row r="624" spans="1:13" hidden="1" x14ac:dyDescent="0.2">
      <c r="A624" t="s">
        <v>294</v>
      </c>
      <c r="K624" t="str">
        <f t="shared" si="9"/>
        <v/>
      </c>
    </row>
    <row r="625" spans="1:13" x14ac:dyDescent="0.2">
      <c r="B625" t="s">
        <v>294</v>
      </c>
      <c r="D625" t="s">
        <v>304</v>
      </c>
      <c r="K625" t="str">
        <f t="shared" si="9"/>
        <v>5</v>
      </c>
      <c r="L625" t="str">
        <f>MID(E627,24,3)</f>
        <v>TPS</v>
      </c>
      <c r="M625" t="str">
        <f>MID(E628,22,25)</f>
        <v>"TUXTEPEC TRES";</v>
      </c>
    </row>
    <row r="626" spans="1:13" hidden="1" x14ac:dyDescent="0.2">
      <c r="B626" t="s">
        <v>294</v>
      </c>
      <c r="E626" t="s">
        <v>296</v>
      </c>
      <c r="K626" t="str">
        <f t="shared" si="9"/>
        <v/>
      </c>
    </row>
    <row r="627" spans="1:13" hidden="1" x14ac:dyDescent="0.2">
      <c r="E627" t="s">
        <v>767</v>
      </c>
      <c r="K627" t="str">
        <f t="shared" si="9"/>
        <v/>
      </c>
    </row>
    <row r="628" spans="1:13" hidden="1" x14ac:dyDescent="0.2">
      <c r="E628" t="s">
        <v>768</v>
      </c>
      <c r="K628" t="str">
        <f t="shared" si="9"/>
        <v/>
      </c>
    </row>
    <row r="629" spans="1:13" hidden="1" x14ac:dyDescent="0.2">
      <c r="E629" t="s">
        <v>297</v>
      </c>
      <c r="K629" t="str">
        <f t="shared" si="9"/>
        <v/>
      </c>
    </row>
    <row r="630" spans="1:13" hidden="1" x14ac:dyDescent="0.2">
      <c r="D630" t="s">
        <v>298</v>
      </c>
      <c r="K630" t="str">
        <f t="shared" si="9"/>
        <v/>
      </c>
    </row>
    <row r="631" spans="1:13" hidden="1" x14ac:dyDescent="0.2">
      <c r="A631" t="s">
        <v>294</v>
      </c>
      <c r="K631" t="str">
        <f t="shared" si="9"/>
        <v/>
      </c>
    </row>
    <row r="632" spans="1:13" x14ac:dyDescent="0.2">
      <c r="B632" t="s">
        <v>294</v>
      </c>
      <c r="D632" t="s">
        <v>304</v>
      </c>
      <c r="K632" t="str">
        <f t="shared" si="9"/>
        <v>5</v>
      </c>
      <c r="L632" t="str">
        <f>MID(E634,24,3)</f>
        <v>VAN</v>
      </c>
      <c r="M632" t="str">
        <f>MID(E635,22,25)</f>
        <v>"VALLE NACIONAL";</v>
      </c>
    </row>
    <row r="633" spans="1:13" hidden="1" x14ac:dyDescent="0.2">
      <c r="B633" t="s">
        <v>294</v>
      </c>
      <c r="E633" t="s">
        <v>296</v>
      </c>
      <c r="K633" t="str">
        <f t="shared" si="9"/>
        <v/>
      </c>
    </row>
    <row r="634" spans="1:13" hidden="1" x14ac:dyDescent="0.2">
      <c r="E634" t="s">
        <v>769</v>
      </c>
      <c r="K634" t="str">
        <f t="shared" si="9"/>
        <v/>
      </c>
    </row>
    <row r="635" spans="1:13" hidden="1" x14ac:dyDescent="0.2">
      <c r="E635" t="s">
        <v>770</v>
      </c>
      <c r="K635" t="str">
        <f t="shared" si="9"/>
        <v/>
      </c>
    </row>
    <row r="636" spans="1:13" hidden="1" x14ac:dyDescent="0.2">
      <c r="E636" t="s">
        <v>297</v>
      </c>
      <c r="K636" t="str">
        <f t="shared" si="9"/>
        <v/>
      </c>
    </row>
    <row r="637" spans="1:13" hidden="1" x14ac:dyDescent="0.2">
      <c r="D637" t="s">
        <v>298</v>
      </c>
      <c r="K637" t="str">
        <f t="shared" si="9"/>
        <v/>
      </c>
    </row>
    <row r="638" spans="1:13" hidden="1" x14ac:dyDescent="0.2">
      <c r="A638" t="s">
        <v>294</v>
      </c>
      <c r="K638" t="str">
        <f t="shared" si="9"/>
        <v/>
      </c>
    </row>
    <row r="639" spans="1:13" x14ac:dyDescent="0.2">
      <c r="B639" t="s">
        <v>294</v>
      </c>
      <c r="D639" t="s">
        <v>304</v>
      </c>
      <c r="K639" t="str">
        <f t="shared" si="9"/>
        <v>5</v>
      </c>
      <c r="L639" t="str">
        <f>MID(E641,24,3)</f>
        <v>VTB</v>
      </c>
      <c r="M639" t="str">
        <f>MID(E642,22,25)</f>
        <v>"VIDRIERA TIERRA BLANCA";</v>
      </c>
    </row>
    <row r="640" spans="1:13" hidden="1" x14ac:dyDescent="0.2">
      <c r="B640" t="s">
        <v>294</v>
      </c>
      <c r="E640" t="s">
        <v>296</v>
      </c>
      <c r="K640" t="str">
        <f t="shared" si="9"/>
        <v/>
      </c>
    </row>
    <row r="641" spans="1:13" hidden="1" x14ac:dyDescent="0.2">
      <c r="E641" t="s">
        <v>771</v>
      </c>
      <c r="K641" t="str">
        <f t="shared" si="9"/>
        <v/>
      </c>
    </row>
    <row r="642" spans="1:13" hidden="1" x14ac:dyDescent="0.2">
      <c r="E642" t="s">
        <v>772</v>
      </c>
      <c r="K642" t="str">
        <f t="shared" si="9"/>
        <v/>
      </c>
    </row>
    <row r="643" spans="1:13" hidden="1" x14ac:dyDescent="0.2">
      <c r="E643" t="s">
        <v>297</v>
      </c>
      <c r="K643" t="str">
        <f t="shared" ref="K643:K706" si="10">MID(D643,11,1)</f>
        <v/>
      </c>
    </row>
    <row r="644" spans="1:13" hidden="1" x14ac:dyDescent="0.2">
      <c r="D644" t="s">
        <v>298</v>
      </c>
      <c r="K644" t="str">
        <f t="shared" si="10"/>
        <v/>
      </c>
    </row>
    <row r="645" spans="1:13" hidden="1" x14ac:dyDescent="0.2">
      <c r="A645" t="s">
        <v>294</v>
      </c>
      <c r="K645" t="str">
        <f t="shared" si="10"/>
        <v/>
      </c>
    </row>
    <row r="646" spans="1:13" x14ac:dyDescent="0.2">
      <c r="B646" t="s">
        <v>294</v>
      </c>
      <c r="D646" t="s">
        <v>305</v>
      </c>
      <c r="K646" t="str">
        <f t="shared" si="10"/>
        <v>6</v>
      </c>
      <c r="L646" t="str">
        <f>MID(E648,24,3)</f>
        <v>CTO</v>
      </c>
      <c r="M646" t="str">
        <f>MID(E649,22,25)</f>
        <v>"CATEMACO";</v>
      </c>
    </row>
    <row r="647" spans="1:13" hidden="1" x14ac:dyDescent="0.2">
      <c r="B647" t="s">
        <v>294</v>
      </c>
      <c r="E647" t="s">
        <v>296</v>
      </c>
      <c r="K647" t="str">
        <f t="shared" si="10"/>
        <v/>
      </c>
    </row>
    <row r="648" spans="1:13" hidden="1" x14ac:dyDescent="0.2">
      <c r="E648" t="s">
        <v>773</v>
      </c>
      <c r="K648" t="str">
        <f t="shared" si="10"/>
        <v/>
      </c>
    </row>
    <row r="649" spans="1:13" hidden="1" x14ac:dyDescent="0.2">
      <c r="E649" t="s">
        <v>774</v>
      </c>
      <c r="K649" t="str">
        <f t="shared" si="10"/>
        <v/>
      </c>
    </row>
    <row r="650" spans="1:13" hidden="1" x14ac:dyDescent="0.2">
      <c r="E650" t="s">
        <v>297</v>
      </c>
      <c r="K650" t="str">
        <f t="shared" si="10"/>
        <v/>
      </c>
    </row>
    <row r="651" spans="1:13" hidden="1" x14ac:dyDescent="0.2">
      <c r="D651" t="s">
        <v>298</v>
      </c>
      <c r="K651" t="str">
        <f t="shared" si="10"/>
        <v/>
      </c>
    </row>
    <row r="652" spans="1:13" hidden="1" x14ac:dyDescent="0.2">
      <c r="A652" t="s">
        <v>294</v>
      </c>
      <c r="K652" t="str">
        <f t="shared" si="10"/>
        <v/>
      </c>
    </row>
    <row r="653" spans="1:13" x14ac:dyDescent="0.2">
      <c r="B653" t="s">
        <v>294</v>
      </c>
      <c r="D653" t="s">
        <v>305</v>
      </c>
      <c r="K653" t="str">
        <f t="shared" si="10"/>
        <v>6</v>
      </c>
      <c r="L653" t="str">
        <f>MID(E655,24,3)</f>
        <v>CHP</v>
      </c>
      <c r="M653" t="str">
        <f>MID(E656,22,25)</f>
        <v>"CHILAPAN";</v>
      </c>
    </row>
    <row r="654" spans="1:13" hidden="1" x14ac:dyDescent="0.2">
      <c r="B654" t="s">
        <v>294</v>
      </c>
      <c r="E654" t="s">
        <v>296</v>
      </c>
      <c r="K654" t="str">
        <f t="shared" si="10"/>
        <v/>
      </c>
    </row>
    <row r="655" spans="1:13" hidden="1" x14ac:dyDescent="0.2">
      <c r="E655" t="s">
        <v>775</v>
      </c>
      <c r="K655" t="str">
        <f t="shared" si="10"/>
        <v/>
      </c>
    </row>
    <row r="656" spans="1:13" hidden="1" x14ac:dyDescent="0.2">
      <c r="E656" t="s">
        <v>776</v>
      </c>
      <c r="K656" t="str">
        <f t="shared" si="10"/>
        <v/>
      </c>
    </row>
    <row r="657" spans="1:13" hidden="1" x14ac:dyDescent="0.2">
      <c r="E657" t="s">
        <v>297</v>
      </c>
      <c r="K657" t="str">
        <f t="shared" si="10"/>
        <v/>
      </c>
    </row>
    <row r="658" spans="1:13" hidden="1" x14ac:dyDescent="0.2">
      <c r="D658" t="s">
        <v>298</v>
      </c>
      <c r="K658" t="str">
        <f t="shared" si="10"/>
        <v/>
      </c>
    </row>
    <row r="659" spans="1:13" hidden="1" x14ac:dyDescent="0.2">
      <c r="A659" t="s">
        <v>294</v>
      </c>
      <c r="K659" t="str">
        <f t="shared" si="10"/>
        <v/>
      </c>
    </row>
    <row r="660" spans="1:13" x14ac:dyDescent="0.2">
      <c r="B660" t="s">
        <v>294</v>
      </c>
      <c r="D660" t="s">
        <v>305</v>
      </c>
      <c r="K660" t="str">
        <f t="shared" si="10"/>
        <v>6</v>
      </c>
      <c r="L660" t="str">
        <f>MID(E662,24,3)</f>
        <v>HOC</v>
      </c>
      <c r="M660" t="str">
        <f>MID(E663,22,25)</f>
        <v>"HUEYAPAN DE OCAMPO";</v>
      </c>
    </row>
    <row r="661" spans="1:13" hidden="1" x14ac:dyDescent="0.2">
      <c r="B661" t="s">
        <v>294</v>
      </c>
      <c r="E661" t="s">
        <v>296</v>
      </c>
      <c r="K661" t="str">
        <f t="shared" si="10"/>
        <v/>
      </c>
    </row>
    <row r="662" spans="1:13" hidden="1" x14ac:dyDescent="0.2">
      <c r="E662" t="s">
        <v>777</v>
      </c>
      <c r="K662" t="str">
        <f t="shared" si="10"/>
        <v/>
      </c>
    </row>
    <row r="663" spans="1:13" hidden="1" x14ac:dyDescent="0.2">
      <c r="E663" t="s">
        <v>778</v>
      </c>
      <c r="K663" t="str">
        <f t="shared" si="10"/>
        <v/>
      </c>
    </row>
    <row r="664" spans="1:13" hidden="1" x14ac:dyDescent="0.2">
      <c r="E664" t="s">
        <v>297</v>
      </c>
      <c r="K664" t="str">
        <f t="shared" si="10"/>
        <v/>
      </c>
    </row>
    <row r="665" spans="1:13" hidden="1" x14ac:dyDescent="0.2">
      <c r="D665" t="s">
        <v>298</v>
      </c>
      <c r="K665" t="str">
        <f t="shared" si="10"/>
        <v/>
      </c>
    </row>
    <row r="666" spans="1:13" hidden="1" x14ac:dyDescent="0.2">
      <c r="A666" t="s">
        <v>294</v>
      </c>
      <c r="K666" t="str">
        <f t="shared" si="10"/>
        <v/>
      </c>
    </row>
    <row r="667" spans="1:13" x14ac:dyDescent="0.2">
      <c r="B667" t="s">
        <v>294</v>
      </c>
      <c r="D667" t="s">
        <v>305</v>
      </c>
      <c r="K667" t="str">
        <f t="shared" si="10"/>
        <v>6</v>
      </c>
      <c r="L667" t="str">
        <f>MID(E669,24,3)</f>
        <v>LRD</v>
      </c>
      <c r="M667" t="str">
        <f>MID(E670,22,25)</f>
        <v>"LERDO";</v>
      </c>
    </row>
    <row r="668" spans="1:13" hidden="1" x14ac:dyDescent="0.2">
      <c r="B668" t="s">
        <v>294</v>
      </c>
      <c r="E668" t="s">
        <v>296</v>
      </c>
      <c r="K668" t="str">
        <f t="shared" si="10"/>
        <v/>
      </c>
    </row>
    <row r="669" spans="1:13" hidden="1" x14ac:dyDescent="0.2">
      <c r="E669" t="s">
        <v>779</v>
      </c>
      <c r="K669" t="str">
        <f t="shared" si="10"/>
        <v/>
      </c>
    </row>
    <row r="670" spans="1:13" hidden="1" x14ac:dyDescent="0.2">
      <c r="E670" t="s">
        <v>780</v>
      </c>
      <c r="K670" t="str">
        <f t="shared" si="10"/>
        <v/>
      </c>
    </row>
    <row r="671" spans="1:13" hidden="1" x14ac:dyDescent="0.2">
      <c r="E671" t="s">
        <v>297</v>
      </c>
      <c r="K671" t="str">
        <f t="shared" si="10"/>
        <v/>
      </c>
    </row>
    <row r="672" spans="1:13" hidden="1" x14ac:dyDescent="0.2">
      <c r="D672" t="s">
        <v>298</v>
      </c>
      <c r="K672" t="str">
        <f t="shared" si="10"/>
        <v/>
      </c>
    </row>
    <row r="673" spans="1:13" hidden="1" x14ac:dyDescent="0.2">
      <c r="A673" t="s">
        <v>294</v>
      </c>
      <c r="K673" t="str">
        <f t="shared" si="10"/>
        <v/>
      </c>
    </row>
    <row r="674" spans="1:13" x14ac:dyDescent="0.2">
      <c r="B674" t="s">
        <v>294</v>
      </c>
      <c r="D674" t="s">
        <v>305</v>
      </c>
      <c r="K674" t="str">
        <f t="shared" si="10"/>
        <v>6</v>
      </c>
      <c r="L674" t="str">
        <f>MID(E676,24,3)</f>
        <v>ADS</v>
      </c>
      <c r="M674" t="str">
        <f>MID(E677,22,25)</f>
        <v>"SAN ANDRES";</v>
      </c>
    </row>
    <row r="675" spans="1:13" hidden="1" x14ac:dyDescent="0.2">
      <c r="B675" t="s">
        <v>294</v>
      </c>
      <c r="E675" t="s">
        <v>296</v>
      </c>
      <c r="K675" t="str">
        <f t="shared" si="10"/>
        <v/>
      </c>
    </row>
    <row r="676" spans="1:13" hidden="1" x14ac:dyDescent="0.2">
      <c r="E676" t="s">
        <v>781</v>
      </c>
      <c r="K676" t="str">
        <f t="shared" si="10"/>
        <v/>
      </c>
    </row>
    <row r="677" spans="1:13" hidden="1" x14ac:dyDescent="0.2">
      <c r="E677" t="s">
        <v>782</v>
      </c>
      <c r="K677" t="str">
        <f t="shared" si="10"/>
        <v/>
      </c>
    </row>
    <row r="678" spans="1:13" hidden="1" x14ac:dyDescent="0.2">
      <c r="E678" t="s">
        <v>297</v>
      </c>
      <c r="K678" t="str">
        <f t="shared" si="10"/>
        <v/>
      </c>
    </row>
    <row r="679" spans="1:13" hidden="1" x14ac:dyDescent="0.2">
      <c r="D679" t="s">
        <v>298</v>
      </c>
      <c r="K679" t="str">
        <f t="shared" si="10"/>
        <v/>
      </c>
    </row>
    <row r="680" spans="1:13" hidden="1" x14ac:dyDescent="0.2">
      <c r="A680" t="s">
        <v>294</v>
      </c>
      <c r="K680" t="str">
        <f t="shared" si="10"/>
        <v/>
      </c>
    </row>
    <row r="681" spans="1:13" x14ac:dyDescent="0.2">
      <c r="B681" t="s">
        <v>294</v>
      </c>
      <c r="D681" t="s">
        <v>306</v>
      </c>
      <c r="K681" t="str">
        <f t="shared" si="10"/>
        <v>7</v>
      </c>
      <c r="L681" t="str">
        <f>MID(E683,24,3)</f>
        <v>ACY</v>
      </c>
      <c r="M681" t="str">
        <f>MID(E684,22,25)</f>
        <v>"ACAYUCAN";</v>
      </c>
    </row>
    <row r="682" spans="1:13" hidden="1" x14ac:dyDescent="0.2">
      <c r="B682" t="s">
        <v>294</v>
      </c>
      <c r="E682" t="s">
        <v>296</v>
      </c>
      <c r="K682" t="str">
        <f t="shared" si="10"/>
        <v/>
      </c>
    </row>
    <row r="683" spans="1:13" hidden="1" x14ac:dyDescent="0.2">
      <c r="E683" t="s">
        <v>783</v>
      </c>
      <c r="K683" t="str">
        <f t="shared" si="10"/>
        <v/>
      </c>
    </row>
    <row r="684" spans="1:13" hidden="1" x14ac:dyDescent="0.2">
      <c r="E684" t="s">
        <v>784</v>
      </c>
      <c r="K684" t="str">
        <f t="shared" si="10"/>
        <v/>
      </c>
    </row>
    <row r="685" spans="1:13" hidden="1" x14ac:dyDescent="0.2">
      <c r="E685" t="s">
        <v>297</v>
      </c>
      <c r="K685" t="str">
        <f t="shared" si="10"/>
        <v/>
      </c>
    </row>
    <row r="686" spans="1:13" hidden="1" x14ac:dyDescent="0.2">
      <c r="D686" t="s">
        <v>298</v>
      </c>
      <c r="K686" t="str">
        <f t="shared" si="10"/>
        <v/>
      </c>
    </row>
    <row r="687" spans="1:13" hidden="1" x14ac:dyDescent="0.2">
      <c r="A687" t="s">
        <v>294</v>
      </c>
      <c r="K687" t="str">
        <f t="shared" si="10"/>
        <v/>
      </c>
    </row>
    <row r="688" spans="1:13" x14ac:dyDescent="0.2">
      <c r="B688" t="s">
        <v>294</v>
      </c>
      <c r="D688" t="s">
        <v>306</v>
      </c>
      <c r="K688" t="str">
        <f t="shared" si="10"/>
        <v>7</v>
      </c>
      <c r="L688" t="str">
        <f>MID(E690,24,3)</f>
        <v>ADD</v>
      </c>
      <c r="M688" t="str">
        <f>MID(E691,22,25)</f>
        <v>"AGUA DULCE II";</v>
      </c>
    </row>
    <row r="689" spans="1:13" hidden="1" x14ac:dyDescent="0.2">
      <c r="B689" t="s">
        <v>294</v>
      </c>
      <c r="E689" t="s">
        <v>296</v>
      </c>
      <c r="K689" t="str">
        <f t="shared" si="10"/>
        <v/>
      </c>
    </row>
    <row r="690" spans="1:13" hidden="1" x14ac:dyDescent="0.2">
      <c r="E690" t="s">
        <v>785</v>
      </c>
      <c r="K690" t="str">
        <f t="shared" si="10"/>
        <v/>
      </c>
    </row>
    <row r="691" spans="1:13" hidden="1" x14ac:dyDescent="0.2">
      <c r="E691" t="s">
        <v>786</v>
      </c>
      <c r="K691" t="str">
        <f t="shared" si="10"/>
        <v/>
      </c>
    </row>
    <row r="692" spans="1:13" hidden="1" x14ac:dyDescent="0.2">
      <c r="E692" t="s">
        <v>297</v>
      </c>
      <c r="K692" t="str">
        <f t="shared" si="10"/>
        <v/>
      </c>
    </row>
    <row r="693" spans="1:13" hidden="1" x14ac:dyDescent="0.2">
      <c r="D693" t="s">
        <v>298</v>
      </c>
      <c r="K693" t="str">
        <f t="shared" si="10"/>
        <v/>
      </c>
    </row>
    <row r="694" spans="1:13" hidden="1" x14ac:dyDescent="0.2">
      <c r="A694" t="s">
        <v>294</v>
      </c>
      <c r="K694" t="str">
        <f t="shared" si="10"/>
        <v/>
      </c>
    </row>
    <row r="695" spans="1:13" x14ac:dyDescent="0.2">
      <c r="B695" t="s">
        <v>294</v>
      </c>
      <c r="D695" t="s">
        <v>306</v>
      </c>
      <c r="K695" t="str">
        <f t="shared" si="10"/>
        <v>7</v>
      </c>
      <c r="L695" t="str">
        <f>MID(E697,24,3)</f>
        <v>CIC</v>
      </c>
      <c r="M695" t="str">
        <f>MID(E698,22,25)</f>
        <v>"CANTICAS";</v>
      </c>
    </row>
    <row r="696" spans="1:13" hidden="1" x14ac:dyDescent="0.2">
      <c r="B696" t="s">
        <v>294</v>
      </c>
      <c r="E696" t="s">
        <v>296</v>
      </c>
      <c r="K696" t="str">
        <f t="shared" si="10"/>
        <v/>
      </c>
    </row>
    <row r="697" spans="1:13" hidden="1" x14ac:dyDescent="0.2">
      <c r="E697" t="s">
        <v>787</v>
      </c>
      <c r="K697" t="str">
        <f t="shared" si="10"/>
        <v/>
      </c>
    </row>
    <row r="698" spans="1:13" hidden="1" x14ac:dyDescent="0.2">
      <c r="E698" t="s">
        <v>788</v>
      </c>
      <c r="K698" t="str">
        <f t="shared" si="10"/>
        <v/>
      </c>
    </row>
    <row r="699" spans="1:13" hidden="1" x14ac:dyDescent="0.2">
      <c r="E699" t="s">
        <v>297</v>
      </c>
      <c r="K699" t="str">
        <f t="shared" si="10"/>
        <v/>
      </c>
    </row>
    <row r="700" spans="1:13" hidden="1" x14ac:dyDescent="0.2">
      <c r="D700" t="s">
        <v>298</v>
      </c>
      <c r="K700" t="str">
        <f t="shared" si="10"/>
        <v/>
      </c>
    </row>
    <row r="701" spans="1:13" hidden="1" x14ac:dyDescent="0.2">
      <c r="A701" t="s">
        <v>294</v>
      </c>
      <c r="K701" t="str">
        <f t="shared" si="10"/>
        <v/>
      </c>
    </row>
    <row r="702" spans="1:13" x14ac:dyDescent="0.2">
      <c r="B702" t="s">
        <v>294</v>
      </c>
      <c r="D702" t="s">
        <v>306</v>
      </c>
      <c r="K702" t="str">
        <f t="shared" si="10"/>
        <v>7</v>
      </c>
      <c r="L702" t="str">
        <f>MID(E704,24,3)</f>
        <v>CHD</v>
      </c>
      <c r="M702" t="str">
        <f>MID(E705,22,25)</f>
        <v>"CHINAMECA DOS";</v>
      </c>
    </row>
    <row r="703" spans="1:13" hidden="1" x14ac:dyDescent="0.2">
      <c r="B703" t="s">
        <v>294</v>
      </c>
      <c r="E703" t="s">
        <v>296</v>
      </c>
      <c r="K703" t="str">
        <f t="shared" si="10"/>
        <v/>
      </c>
    </row>
    <row r="704" spans="1:13" hidden="1" x14ac:dyDescent="0.2">
      <c r="E704" t="s">
        <v>789</v>
      </c>
      <c r="K704" t="str">
        <f t="shared" si="10"/>
        <v/>
      </c>
    </row>
    <row r="705" spans="1:13" hidden="1" x14ac:dyDescent="0.2">
      <c r="E705" t="s">
        <v>790</v>
      </c>
      <c r="K705" t="str">
        <f t="shared" si="10"/>
        <v/>
      </c>
    </row>
    <row r="706" spans="1:13" hidden="1" x14ac:dyDescent="0.2">
      <c r="E706" t="s">
        <v>297</v>
      </c>
      <c r="K706" t="str">
        <f t="shared" si="10"/>
        <v/>
      </c>
    </row>
    <row r="707" spans="1:13" hidden="1" x14ac:dyDescent="0.2">
      <c r="D707" t="s">
        <v>298</v>
      </c>
      <c r="K707" t="str">
        <f t="shared" ref="K707:K770" si="11">MID(D707,11,1)</f>
        <v/>
      </c>
    </row>
    <row r="708" spans="1:13" hidden="1" x14ac:dyDescent="0.2">
      <c r="A708" t="s">
        <v>294</v>
      </c>
      <c r="K708" t="str">
        <f t="shared" si="11"/>
        <v/>
      </c>
    </row>
    <row r="709" spans="1:13" x14ac:dyDescent="0.2">
      <c r="B709" t="s">
        <v>294</v>
      </c>
      <c r="D709" t="s">
        <v>306</v>
      </c>
      <c r="K709" t="str">
        <f t="shared" si="11"/>
        <v>7</v>
      </c>
      <c r="L709" t="str">
        <f>MID(E711,24,3)</f>
        <v>CCP</v>
      </c>
      <c r="M709" t="str">
        <f>MID(E712,22,25)</f>
        <v>"CUICHAPA";</v>
      </c>
    </row>
    <row r="710" spans="1:13" hidden="1" x14ac:dyDescent="0.2">
      <c r="B710" t="s">
        <v>294</v>
      </c>
      <c r="E710" t="s">
        <v>296</v>
      </c>
      <c r="K710" t="str">
        <f t="shared" si="11"/>
        <v/>
      </c>
    </row>
    <row r="711" spans="1:13" hidden="1" x14ac:dyDescent="0.2">
      <c r="E711" t="s">
        <v>791</v>
      </c>
      <c r="K711" t="str">
        <f t="shared" si="11"/>
        <v/>
      </c>
    </row>
    <row r="712" spans="1:13" hidden="1" x14ac:dyDescent="0.2">
      <c r="E712" t="s">
        <v>792</v>
      </c>
      <c r="K712" t="str">
        <f t="shared" si="11"/>
        <v/>
      </c>
    </row>
    <row r="713" spans="1:13" hidden="1" x14ac:dyDescent="0.2">
      <c r="E713" t="s">
        <v>297</v>
      </c>
      <c r="K713" t="str">
        <f t="shared" si="11"/>
        <v/>
      </c>
    </row>
    <row r="714" spans="1:13" hidden="1" x14ac:dyDescent="0.2">
      <c r="D714" t="s">
        <v>298</v>
      </c>
      <c r="K714" t="str">
        <f t="shared" si="11"/>
        <v/>
      </c>
    </row>
    <row r="715" spans="1:13" hidden="1" x14ac:dyDescent="0.2">
      <c r="A715" t="s">
        <v>294</v>
      </c>
      <c r="K715" t="str">
        <f t="shared" si="11"/>
        <v/>
      </c>
    </row>
    <row r="716" spans="1:13" x14ac:dyDescent="0.2">
      <c r="B716" t="s">
        <v>294</v>
      </c>
      <c r="D716" t="s">
        <v>306</v>
      </c>
      <c r="K716" t="str">
        <f t="shared" si="11"/>
        <v>7</v>
      </c>
      <c r="L716" t="str">
        <f>MID(E718,24,3)</f>
        <v>EMZ</v>
      </c>
      <c r="M716" t="str">
        <f>MID(E719,22,25)</f>
        <v>"EMILIANO ZAPATA";</v>
      </c>
    </row>
    <row r="717" spans="1:13" hidden="1" x14ac:dyDescent="0.2">
      <c r="B717" t="s">
        <v>294</v>
      </c>
      <c r="E717" t="s">
        <v>296</v>
      </c>
      <c r="K717" t="str">
        <f t="shared" si="11"/>
        <v/>
      </c>
    </row>
    <row r="718" spans="1:13" hidden="1" x14ac:dyDescent="0.2">
      <c r="E718" t="s">
        <v>793</v>
      </c>
      <c r="K718" t="str">
        <f t="shared" si="11"/>
        <v/>
      </c>
    </row>
    <row r="719" spans="1:13" hidden="1" x14ac:dyDescent="0.2">
      <c r="E719" t="s">
        <v>794</v>
      </c>
      <c r="K719" t="str">
        <f t="shared" si="11"/>
        <v/>
      </c>
    </row>
    <row r="720" spans="1:13" hidden="1" x14ac:dyDescent="0.2">
      <c r="E720" t="s">
        <v>297</v>
      </c>
      <c r="K720" t="str">
        <f t="shared" si="11"/>
        <v/>
      </c>
    </row>
    <row r="721" spans="1:13" hidden="1" x14ac:dyDescent="0.2">
      <c r="D721" t="s">
        <v>298</v>
      </c>
      <c r="K721" t="str">
        <f t="shared" si="11"/>
        <v/>
      </c>
    </row>
    <row r="722" spans="1:13" hidden="1" x14ac:dyDescent="0.2">
      <c r="A722" t="s">
        <v>294</v>
      </c>
      <c r="K722" t="str">
        <f t="shared" si="11"/>
        <v/>
      </c>
    </row>
    <row r="723" spans="1:13" x14ac:dyDescent="0.2">
      <c r="B723" t="s">
        <v>294</v>
      </c>
      <c r="D723" t="s">
        <v>306</v>
      </c>
      <c r="K723" t="str">
        <f t="shared" si="11"/>
        <v>7</v>
      </c>
      <c r="L723" t="str">
        <f>MID(E725,24,3)</f>
        <v>IDE</v>
      </c>
      <c r="M723" t="str">
        <f>MID(E726,22,25)</f>
        <v>"IDESA";</v>
      </c>
    </row>
    <row r="724" spans="1:13" hidden="1" x14ac:dyDescent="0.2">
      <c r="B724" t="s">
        <v>294</v>
      </c>
      <c r="E724" t="s">
        <v>296</v>
      </c>
      <c r="K724" t="str">
        <f t="shared" si="11"/>
        <v/>
      </c>
    </row>
    <row r="725" spans="1:13" hidden="1" x14ac:dyDescent="0.2">
      <c r="E725" t="s">
        <v>795</v>
      </c>
      <c r="K725" t="str">
        <f t="shared" si="11"/>
        <v/>
      </c>
    </row>
    <row r="726" spans="1:13" hidden="1" x14ac:dyDescent="0.2">
      <c r="E726" t="s">
        <v>796</v>
      </c>
      <c r="K726" t="str">
        <f t="shared" si="11"/>
        <v/>
      </c>
    </row>
    <row r="727" spans="1:13" hidden="1" x14ac:dyDescent="0.2">
      <c r="E727" t="s">
        <v>297</v>
      </c>
      <c r="K727" t="str">
        <f t="shared" si="11"/>
        <v/>
      </c>
    </row>
    <row r="728" spans="1:13" hidden="1" x14ac:dyDescent="0.2">
      <c r="D728" t="s">
        <v>298</v>
      </c>
      <c r="K728" t="str">
        <f t="shared" si="11"/>
        <v/>
      </c>
    </row>
    <row r="729" spans="1:13" hidden="1" x14ac:dyDescent="0.2">
      <c r="A729" t="s">
        <v>294</v>
      </c>
      <c r="K729" t="str">
        <f t="shared" si="11"/>
        <v/>
      </c>
    </row>
    <row r="730" spans="1:13" x14ac:dyDescent="0.2">
      <c r="B730" t="s">
        <v>294</v>
      </c>
      <c r="D730" t="s">
        <v>306</v>
      </c>
      <c r="K730" t="str">
        <f t="shared" si="11"/>
        <v>7</v>
      </c>
      <c r="L730" t="str">
        <f>MID(E732,24,3)</f>
        <v>VED</v>
      </c>
      <c r="M730" t="str">
        <f>MID(E733,22,25)</f>
        <v>"LA VENTA DOS";</v>
      </c>
    </row>
    <row r="731" spans="1:13" hidden="1" x14ac:dyDescent="0.2">
      <c r="B731" t="s">
        <v>294</v>
      </c>
      <c r="E731" t="s">
        <v>296</v>
      </c>
      <c r="K731" t="str">
        <f t="shared" si="11"/>
        <v/>
      </c>
    </row>
    <row r="732" spans="1:13" hidden="1" x14ac:dyDescent="0.2">
      <c r="E732" t="s">
        <v>797</v>
      </c>
      <c r="K732" t="str">
        <f t="shared" si="11"/>
        <v/>
      </c>
    </row>
    <row r="733" spans="1:13" hidden="1" x14ac:dyDescent="0.2">
      <c r="E733" t="s">
        <v>798</v>
      </c>
      <c r="K733" t="str">
        <f t="shared" si="11"/>
        <v/>
      </c>
    </row>
    <row r="734" spans="1:13" hidden="1" x14ac:dyDescent="0.2">
      <c r="E734" t="s">
        <v>297</v>
      </c>
      <c r="K734" t="str">
        <f t="shared" si="11"/>
        <v/>
      </c>
    </row>
    <row r="735" spans="1:13" hidden="1" x14ac:dyDescent="0.2">
      <c r="D735" t="s">
        <v>298</v>
      </c>
      <c r="K735" t="str">
        <f t="shared" si="11"/>
        <v/>
      </c>
    </row>
    <row r="736" spans="1:13" hidden="1" x14ac:dyDescent="0.2">
      <c r="A736" t="s">
        <v>294</v>
      </c>
      <c r="K736" t="str">
        <f t="shared" si="11"/>
        <v/>
      </c>
    </row>
    <row r="737" spans="1:13" x14ac:dyDescent="0.2">
      <c r="B737" t="s">
        <v>294</v>
      </c>
      <c r="D737" t="s">
        <v>306</v>
      </c>
      <c r="K737" t="str">
        <f t="shared" si="11"/>
        <v>7</v>
      </c>
      <c r="L737" t="str">
        <f>MID(E739,24,3)</f>
        <v>LHD</v>
      </c>
      <c r="M737" t="str">
        <f>MID(E740,22,25)</f>
        <v>"LAS CHOAPAS DOS";</v>
      </c>
    </row>
    <row r="738" spans="1:13" hidden="1" x14ac:dyDescent="0.2">
      <c r="B738" t="s">
        <v>294</v>
      </c>
      <c r="E738" t="s">
        <v>296</v>
      </c>
      <c r="K738" t="str">
        <f t="shared" si="11"/>
        <v/>
      </c>
    </row>
    <row r="739" spans="1:13" hidden="1" x14ac:dyDescent="0.2">
      <c r="E739" t="s">
        <v>799</v>
      </c>
      <c r="K739" t="str">
        <f t="shared" si="11"/>
        <v/>
      </c>
    </row>
    <row r="740" spans="1:13" hidden="1" x14ac:dyDescent="0.2">
      <c r="E740" t="s">
        <v>800</v>
      </c>
      <c r="K740" t="str">
        <f t="shared" si="11"/>
        <v/>
      </c>
    </row>
    <row r="741" spans="1:13" hidden="1" x14ac:dyDescent="0.2">
      <c r="E741" t="s">
        <v>297</v>
      </c>
      <c r="K741" t="str">
        <f t="shared" si="11"/>
        <v/>
      </c>
    </row>
    <row r="742" spans="1:13" hidden="1" x14ac:dyDescent="0.2">
      <c r="D742" t="s">
        <v>298</v>
      </c>
      <c r="K742" t="str">
        <f t="shared" si="11"/>
        <v/>
      </c>
    </row>
    <row r="743" spans="1:13" hidden="1" x14ac:dyDescent="0.2">
      <c r="A743" t="s">
        <v>294</v>
      </c>
      <c r="K743" t="str">
        <f t="shared" si="11"/>
        <v/>
      </c>
    </row>
    <row r="744" spans="1:13" x14ac:dyDescent="0.2">
      <c r="B744" t="s">
        <v>294</v>
      </c>
      <c r="D744" t="s">
        <v>306</v>
      </c>
      <c r="K744" t="str">
        <f t="shared" si="11"/>
        <v>7</v>
      </c>
      <c r="L744" t="str">
        <f>MID(E746,24,3)</f>
        <v>LME</v>
      </c>
      <c r="M744" t="str">
        <f>MID(E747,22,25)</f>
        <v>"LOPEZ MATEOS";</v>
      </c>
    </row>
    <row r="745" spans="1:13" hidden="1" x14ac:dyDescent="0.2">
      <c r="B745" t="s">
        <v>294</v>
      </c>
      <c r="E745" t="s">
        <v>296</v>
      </c>
      <c r="K745" t="str">
        <f t="shared" si="11"/>
        <v/>
      </c>
    </row>
    <row r="746" spans="1:13" hidden="1" x14ac:dyDescent="0.2">
      <c r="E746" t="s">
        <v>801</v>
      </c>
      <c r="K746" t="str">
        <f t="shared" si="11"/>
        <v/>
      </c>
    </row>
    <row r="747" spans="1:13" hidden="1" x14ac:dyDescent="0.2">
      <c r="E747" t="s">
        <v>802</v>
      </c>
      <c r="K747" t="str">
        <f t="shared" si="11"/>
        <v/>
      </c>
    </row>
    <row r="748" spans="1:13" hidden="1" x14ac:dyDescent="0.2">
      <c r="E748" t="s">
        <v>297</v>
      </c>
      <c r="K748" t="str">
        <f t="shared" si="11"/>
        <v/>
      </c>
    </row>
    <row r="749" spans="1:13" hidden="1" x14ac:dyDescent="0.2">
      <c r="D749" t="s">
        <v>298</v>
      </c>
      <c r="K749" t="str">
        <f t="shared" si="11"/>
        <v/>
      </c>
    </row>
    <row r="750" spans="1:13" hidden="1" x14ac:dyDescent="0.2">
      <c r="A750" t="s">
        <v>294</v>
      </c>
      <c r="K750" t="str">
        <f t="shared" si="11"/>
        <v/>
      </c>
    </row>
    <row r="751" spans="1:13" x14ac:dyDescent="0.2">
      <c r="B751" t="s">
        <v>294</v>
      </c>
      <c r="D751" t="s">
        <v>306</v>
      </c>
      <c r="K751" t="str">
        <f t="shared" si="11"/>
        <v>7</v>
      </c>
      <c r="L751" t="str">
        <f>MID(E753,24,3)</f>
        <v>MAS</v>
      </c>
      <c r="M751" t="str">
        <f>MID(E754,22,25)</f>
        <v>"MATAS";</v>
      </c>
    </row>
    <row r="752" spans="1:13" hidden="1" x14ac:dyDescent="0.2">
      <c r="B752" t="s">
        <v>294</v>
      </c>
      <c r="E752" t="s">
        <v>296</v>
      </c>
      <c r="K752" t="str">
        <f t="shared" si="11"/>
        <v/>
      </c>
    </row>
    <row r="753" spans="1:13" hidden="1" x14ac:dyDescent="0.2">
      <c r="E753" t="s">
        <v>803</v>
      </c>
      <c r="K753" t="str">
        <f t="shared" si="11"/>
        <v/>
      </c>
    </row>
    <row r="754" spans="1:13" hidden="1" x14ac:dyDescent="0.2">
      <c r="E754" t="s">
        <v>804</v>
      </c>
      <c r="K754" t="str">
        <f t="shared" si="11"/>
        <v/>
      </c>
    </row>
    <row r="755" spans="1:13" hidden="1" x14ac:dyDescent="0.2">
      <c r="E755" t="s">
        <v>297</v>
      </c>
      <c r="K755" t="str">
        <f t="shared" si="11"/>
        <v/>
      </c>
    </row>
    <row r="756" spans="1:13" hidden="1" x14ac:dyDescent="0.2">
      <c r="D756" t="s">
        <v>298</v>
      </c>
      <c r="K756" t="str">
        <f t="shared" si="11"/>
        <v/>
      </c>
    </row>
    <row r="757" spans="1:13" hidden="1" x14ac:dyDescent="0.2">
      <c r="A757" t="s">
        <v>294</v>
      </c>
      <c r="K757" t="str">
        <f t="shared" si="11"/>
        <v/>
      </c>
    </row>
    <row r="758" spans="1:13" x14ac:dyDescent="0.2">
      <c r="B758" t="s">
        <v>294</v>
      </c>
      <c r="D758" t="s">
        <v>306</v>
      </c>
      <c r="K758" t="str">
        <f t="shared" si="11"/>
        <v>7</v>
      </c>
      <c r="L758" t="str">
        <f>MID(E760,24,3)</f>
        <v>MIU</v>
      </c>
      <c r="M758" t="str">
        <f>MID(E761,22,25)</f>
        <v>"MINATITLAN";</v>
      </c>
    </row>
    <row r="759" spans="1:13" hidden="1" x14ac:dyDescent="0.2">
      <c r="B759" t="s">
        <v>294</v>
      </c>
      <c r="E759" t="s">
        <v>296</v>
      </c>
      <c r="K759" t="str">
        <f t="shared" si="11"/>
        <v/>
      </c>
    </row>
    <row r="760" spans="1:13" hidden="1" x14ac:dyDescent="0.2">
      <c r="E760" t="s">
        <v>805</v>
      </c>
      <c r="K760" t="str">
        <f t="shared" si="11"/>
        <v/>
      </c>
    </row>
    <row r="761" spans="1:13" hidden="1" x14ac:dyDescent="0.2">
      <c r="E761" t="s">
        <v>806</v>
      </c>
      <c r="K761" t="str">
        <f t="shared" si="11"/>
        <v/>
      </c>
    </row>
    <row r="762" spans="1:13" hidden="1" x14ac:dyDescent="0.2">
      <c r="E762" t="s">
        <v>297</v>
      </c>
      <c r="K762" t="str">
        <f t="shared" si="11"/>
        <v/>
      </c>
    </row>
    <row r="763" spans="1:13" hidden="1" x14ac:dyDescent="0.2">
      <c r="D763" t="s">
        <v>298</v>
      </c>
      <c r="K763" t="str">
        <f t="shared" si="11"/>
        <v/>
      </c>
    </row>
    <row r="764" spans="1:13" hidden="1" x14ac:dyDescent="0.2">
      <c r="A764" t="s">
        <v>294</v>
      </c>
      <c r="K764" t="str">
        <f t="shared" si="11"/>
        <v/>
      </c>
    </row>
    <row r="765" spans="1:13" x14ac:dyDescent="0.2">
      <c r="B765" t="s">
        <v>294</v>
      </c>
      <c r="D765" t="s">
        <v>306</v>
      </c>
      <c r="K765" t="str">
        <f t="shared" si="11"/>
        <v>7</v>
      </c>
      <c r="L765" t="str">
        <f>MID(E767,24,3)</f>
        <v>NND</v>
      </c>
      <c r="M765" t="str">
        <f>MID(E768,22,25)</f>
        <v>"NANCHITAL DOS";</v>
      </c>
    </row>
    <row r="766" spans="1:13" hidden="1" x14ac:dyDescent="0.2">
      <c r="B766" t="s">
        <v>294</v>
      </c>
      <c r="E766" t="s">
        <v>296</v>
      </c>
      <c r="K766" t="str">
        <f t="shared" si="11"/>
        <v/>
      </c>
    </row>
    <row r="767" spans="1:13" hidden="1" x14ac:dyDescent="0.2">
      <c r="E767" t="s">
        <v>807</v>
      </c>
      <c r="K767" t="str">
        <f t="shared" si="11"/>
        <v/>
      </c>
    </row>
    <row r="768" spans="1:13" hidden="1" x14ac:dyDescent="0.2">
      <c r="E768" t="s">
        <v>808</v>
      </c>
      <c r="K768" t="str">
        <f t="shared" si="11"/>
        <v/>
      </c>
    </row>
    <row r="769" spans="1:13" hidden="1" x14ac:dyDescent="0.2">
      <c r="E769" t="s">
        <v>297</v>
      </c>
      <c r="K769" t="str">
        <f t="shared" si="11"/>
        <v/>
      </c>
    </row>
    <row r="770" spans="1:13" hidden="1" x14ac:dyDescent="0.2">
      <c r="D770" t="s">
        <v>298</v>
      </c>
      <c r="K770" t="str">
        <f t="shared" si="11"/>
        <v/>
      </c>
    </row>
    <row r="771" spans="1:13" hidden="1" x14ac:dyDescent="0.2">
      <c r="A771" t="s">
        <v>294</v>
      </c>
      <c r="K771" t="str">
        <f t="shared" ref="K771:K834" si="12">MID(D771,11,1)</f>
        <v/>
      </c>
    </row>
    <row r="772" spans="1:13" x14ac:dyDescent="0.2">
      <c r="B772" t="s">
        <v>294</v>
      </c>
      <c r="D772" t="s">
        <v>306</v>
      </c>
      <c r="K772" t="str">
        <f t="shared" si="12"/>
        <v>7</v>
      </c>
      <c r="L772" t="str">
        <f>MID(E774,24,3)</f>
        <v>NMO</v>
      </c>
      <c r="M772" t="str">
        <f>MID(E775,22,25)</f>
        <v>"NUEVO MORELOS";</v>
      </c>
    </row>
    <row r="773" spans="1:13" hidden="1" x14ac:dyDescent="0.2">
      <c r="B773" t="s">
        <v>294</v>
      </c>
      <c r="E773" t="s">
        <v>296</v>
      </c>
      <c r="K773" t="str">
        <f t="shared" si="12"/>
        <v/>
      </c>
    </row>
    <row r="774" spans="1:13" hidden="1" x14ac:dyDescent="0.2">
      <c r="E774" t="s">
        <v>809</v>
      </c>
      <c r="K774" t="str">
        <f t="shared" si="12"/>
        <v/>
      </c>
    </row>
    <row r="775" spans="1:13" hidden="1" x14ac:dyDescent="0.2">
      <c r="E775" t="s">
        <v>810</v>
      </c>
      <c r="K775" t="str">
        <f t="shared" si="12"/>
        <v/>
      </c>
    </row>
    <row r="776" spans="1:13" hidden="1" x14ac:dyDescent="0.2">
      <c r="E776" t="s">
        <v>297</v>
      </c>
      <c r="K776" t="str">
        <f t="shared" si="12"/>
        <v/>
      </c>
    </row>
    <row r="777" spans="1:13" hidden="1" x14ac:dyDescent="0.2">
      <c r="D777" t="s">
        <v>298</v>
      </c>
      <c r="K777" t="str">
        <f t="shared" si="12"/>
        <v/>
      </c>
    </row>
    <row r="778" spans="1:13" hidden="1" x14ac:dyDescent="0.2">
      <c r="A778" t="s">
        <v>294</v>
      </c>
      <c r="K778" t="str">
        <f t="shared" si="12"/>
        <v/>
      </c>
    </row>
    <row r="779" spans="1:13" x14ac:dyDescent="0.2">
      <c r="B779" t="s">
        <v>294</v>
      </c>
      <c r="D779" t="s">
        <v>306</v>
      </c>
      <c r="K779" t="str">
        <f t="shared" si="12"/>
        <v>7</v>
      </c>
      <c r="L779" t="str">
        <f>MID(E781,24,3)</f>
        <v>PJD</v>
      </c>
      <c r="M779" t="str">
        <f>MID(E782,22,25)</f>
        <v>"PAJARITOS II";</v>
      </c>
    </row>
    <row r="780" spans="1:13" hidden="1" x14ac:dyDescent="0.2">
      <c r="B780" t="s">
        <v>294</v>
      </c>
      <c r="E780" t="s">
        <v>296</v>
      </c>
      <c r="K780" t="str">
        <f t="shared" si="12"/>
        <v/>
      </c>
    </row>
    <row r="781" spans="1:13" hidden="1" x14ac:dyDescent="0.2">
      <c r="E781" t="s">
        <v>811</v>
      </c>
      <c r="K781" t="str">
        <f t="shared" si="12"/>
        <v/>
      </c>
    </row>
    <row r="782" spans="1:13" hidden="1" x14ac:dyDescent="0.2">
      <c r="E782" t="s">
        <v>812</v>
      </c>
      <c r="K782" t="str">
        <f t="shared" si="12"/>
        <v/>
      </c>
    </row>
    <row r="783" spans="1:13" hidden="1" x14ac:dyDescent="0.2">
      <c r="E783" t="s">
        <v>297</v>
      </c>
      <c r="K783" t="str">
        <f t="shared" si="12"/>
        <v/>
      </c>
    </row>
    <row r="784" spans="1:13" hidden="1" x14ac:dyDescent="0.2">
      <c r="D784" t="s">
        <v>298</v>
      </c>
      <c r="K784" t="str">
        <f t="shared" si="12"/>
        <v/>
      </c>
    </row>
    <row r="785" spans="1:13" hidden="1" x14ac:dyDescent="0.2">
      <c r="A785" t="s">
        <v>294</v>
      </c>
      <c r="K785" t="str">
        <f t="shared" si="12"/>
        <v/>
      </c>
    </row>
    <row r="786" spans="1:13" x14ac:dyDescent="0.2">
      <c r="B786" t="s">
        <v>294</v>
      </c>
      <c r="D786" t="s">
        <v>306</v>
      </c>
      <c r="K786" t="str">
        <f t="shared" si="12"/>
        <v>7</v>
      </c>
      <c r="L786" t="str">
        <f>MID(E788,24,3)</f>
        <v>PFR</v>
      </c>
      <c r="M786" t="str">
        <f>MID(E789,22,25)</f>
        <v>"PUERTO FRANCO";</v>
      </c>
    </row>
    <row r="787" spans="1:13" hidden="1" x14ac:dyDescent="0.2">
      <c r="B787" t="s">
        <v>294</v>
      </c>
      <c r="E787" t="s">
        <v>296</v>
      </c>
      <c r="K787" t="str">
        <f t="shared" si="12"/>
        <v/>
      </c>
    </row>
    <row r="788" spans="1:13" hidden="1" x14ac:dyDescent="0.2">
      <c r="E788" t="s">
        <v>813</v>
      </c>
      <c r="K788" t="str">
        <f t="shared" si="12"/>
        <v/>
      </c>
    </row>
    <row r="789" spans="1:13" hidden="1" x14ac:dyDescent="0.2">
      <c r="E789" t="s">
        <v>814</v>
      </c>
      <c r="K789" t="str">
        <f t="shared" si="12"/>
        <v/>
      </c>
    </row>
    <row r="790" spans="1:13" hidden="1" x14ac:dyDescent="0.2">
      <c r="E790" t="s">
        <v>297</v>
      </c>
      <c r="K790" t="str">
        <f t="shared" si="12"/>
        <v/>
      </c>
    </row>
    <row r="791" spans="1:13" hidden="1" x14ac:dyDescent="0.2">
      <c r="D791" t="s">
        <v>298</v>
      </c>
      <c r="K791" t="str">
        <f t="shared" si="12"/>
        <v/>
      </c>
    </row>
    <row r="792" spans="1:13" hidden="1" x14ac:dyDescent="0.2">
      <c r="A792" t="s">
        <v>294</v>
      </c>
      <c r="K792" t="str">
        <f t="shared" si="12"/>
        <v/>
      </c>
    </row>
    <row r="793" spans="1:13" x14ac:dyDescent="0.2">
      <c r="B793" t="s">
        <v>294</v>
      </c>
      <c r="D793" t="s">
        <v>306</v>
      </c>
      <c r="K793" t="str">
        <f t="shared" si="12"/>
        <v>7</v>
      </c>
      <c r="L793" t="str">
        <f>MID(E795,24,3)</f>
        <v>RMN</v>
      </c>
      <c r="M793" t="str">
        <f>MID(E796,22,25)</f>
        <v>"REFINERIA MINATITLAN";</v>
      </c>
    </row>
    <row r="794" spans="1:13" hidden="1" x14ac:dyDescent="0.2">
      <c r="B794" t="s">
        <v>294</v>
      </c>
      <c r="E794" t="s">
        <v>296</v>
      </c>
      <c r="K794" t="str">
        <f t="shared" si="12"/>
        <v/>
      </c>
    </row>
    <row r="795" spans="1:13" hidden="1" x14ac:dyDescent="0.2">
      <c r="E795" t="s">
        <v>815</v>
      </c>
      <c r="K795" t="str">
        <f t="shared" si="12"/>
        <v/>
      </c>
    </row>
    <row r="796" spans="1:13" hidden="1" x14ac:dyDescent="0.2">
      <c r="E796" t="s">
        <v>816</v>
      </c>
      <c r="K796" t="str">
        <f t="shared" si="12"/>
        <v/>
      </c>
    </row>
    <row r="797" spans="1:13" hidden="1" x14ac:dyDescent="0.2">
      <c r="E797" t="s">
        <v>297</v>
      </c>
      <c r="K797" t="str">
        <f t="shared" si="12"/>
        <v/>
      </c>
    </row>
    <row r="798" spans="1:13" hidden="1" x14ac:dyDescent="0.2">
      <c r="D798" t="s">
        <v>298</v>
      </c>
      <c r="K798" t="str">
        <f t="shared" si="12"/>
        <v/>
      </c>
    </row>
    <row r="799" spans="1:13" hidden="1" x14ac:dyDescent="0.2">
      <c r="A799" t="s">
        <v>294</v>
      </c>
      <c r="K799" t="str">
        <f t="shared" si="12"/>
        <v/>
      </c>
    </row>
    <row r="800" spans="1:13" x14ac:dyDescent="0.2">
      <c r="B800" t="s">
        <v>294</v>
      </c>
      <c r="D800" t="s">
        <v>306</v>
      </c>
      <c r="K800" t="str">
        <f t="shared" si="12"/>
        <v>7</v>
      </c>
      <c r="L800" t="str">
        <f>MID(E802,24,3)</f>
        <v>RFP</v>
      </c>
      <c r="M800" t="str">
        <f>MID(E803,22,25)</f>
        <v>"REFINERIA PEMEX";</v>
      </c>
    </row>
    <row r="801" spans="1:13" hidden="1" x14ac:dyDescent="0.2">
      <c r="B801" t="s">
        <v>294</v>
      </c>
      <c r="E801" t="s">
        <v>296</v>
      </c>
      <c r="K801" t="str">
        <f t="shared" si="12"/>
        <v/>
      </c>
    </row>
    <row r="802" spans="1:13" hidden="1" x14ac:dyDescent="0.2">
      <c r="E802" t="s">
        <v>817</v>
      </c>
      <c r="K802" t="str">
        <f t="shared" si="12"/>
        <v/>
      </c>
    </row>
    <row r="803" spans="1:13" hidden="1" x14ac:dyDescent="0.2">
      <c r="E803" t="s">
        <v>818</v>
      </c>
      <c r="K803" t="str">
        <f t="shared" si="12"/>
        <v/>
      </c>
    </row>
    <row r="804" spans="1:13" hidden="1" x14ac:dyDescent="0.2">
      <c r="E804" t="s">
        <v>297</v>
      </c>
      <c r="K804" t="str">
        <f t="shared" si="12"/>
        <v/>
      </c>
    </row>
    <row r="805" spans="1:13" hidden="1" x14ac:dyDescent="0.2">
      <c r="D805" t="s">
        <v>298</v>
      </c>
      <c r="K805" t="str">
        <f t="shared" si="12"/>
        <v/>
      </c>
    </row>
    <row r="806" spans="1:13" hidden="1" x14ac:dyDescent="0.2">
      <c r="A806" t="s">
        <v>294</v>
      </c>
      <c r="K806" t="str">
        <f t="shared" si="12"/>
        <v/>
      </c>
    </row>
    <row r="807" spans="1:13" x14ac:dyDescent="0.2">
      <c r="B807" t="s">
        <v>294</v>
      </c>
      <c r="D807" t="s">
        <v>306</v>
      </c>
      <c r="K807" t="str">
        <f t="shared" si="12"/>
        <v>7</v>
      </c>
      <c r="L807" t="str">
        <f>MID(E809,24,3)</f>
        <v>SNT</v>
      </c>
      <c r="M807" t="str">
        <f>MID(E810,22,25)</f>
        <v>"SANCHEZ TABOADA";</v>
      </c>
    </row>
    <row r="808" spans="1:13" hidden="1" x14ac:dyDescent="0.2">
      <c r="B808" t="s">
        <v>294</v>
      </c>
      <c r="E808" t="s">
        <v>296</v>
      </c>
      <c r="K808" t="str">
        <f t="shared" si="12"/>
        <v/>
      </c>
    </row>
    <row r="809" spans="1:13" hidden="1" x14ac:dyDescent="0.2">
      <c r="E809" t="s">
        <v>819</v>
      </c>
      <c r="K809" t="str">
        <f t="shared" si="12"/>
        <v/>
      </c>
    </row>
    <row r="810" spans="1:13" hidden="1" x14ac:dyDescent="0.2">
      <c r="E810" t="s">
        <v>820</v>
      </c>
      <c r="K810" t="str">
        <f t="shared" si="12"/>
        <v/>
      </c>
    </row>
    <row r="811" spans="1:13" hidden="1" x14ac:dyDescent="0.2">
      <c r="E811" t="s">
        <v>297</v>
      </c>
      <c r="K811" t="str">
        <f t="shared" si="12"/>
        <v/>
      </c>
    </row>
    <row r="812" spans="1:13" hidden="1" x14ac:dyDescent="0.2">
      <c r="D812" t="s">
        <v>298</v>
      </c>
      <c r="K812" t="str">
        <f t="shared" si="12"/>
        <v/>
      </c>
    </row>
    <row r="813" spans="1:13" hidden="1" x14ac:dyDescent="0.2">
      <c r="A813" t="s">
        <v>294</v>
      </c>
      <c r="K813" t="str">
        <f t="shared" si="12"/>
        <v/>
      </c>
    </row>
    <row r="814" spans="1:13" x14ac:dyDescent="0.2">
      <c r="B814" t="s">
        <v>294</v>
      </c>
      <c r="D814" t="s">
        <v>306</v>
      </c>
      <c r="K814" t="str">
        <f t="shared" si="12"/>
        <v>7</v>
      </c>
      <c r="L814" t="str">
        <f>MID(E816,24,3)</f>
        <v>TEA</v>
      </c>
      <c r="M814" t="str">
        <f>MID(E817,22,25)</f>
        <v>"TEAPA DOS";</v>
      </c>
    </row>
    <row r="815" spans="1:13" hidden="1" x14ac:dyDescent="0.2">
      <c r="B815" t="s">
        <v>294</v>
      </c>
      <c r="E815" t="s">
        <v>296</v>
      </c>
      <c r="K815" t="str">
        <f t="shared" si="12"/>
        <v/>
      </c>
    </row>
    <row r="816" spans="1:13" hidden="1" x14ac:dyDescent="0.2">
      <c r="E816" t="s">
        <v>821</v>
      </c>
      <c r="K816" t="str">
        <f t="shared" si="12"/>
        <v/>
      </c>
    </row>
    <row r="817" spans="1:13" hidden="1" x14ac:dyDescent="0.2">
      <c r="E817" t="s">
        <v>822</v>
      </c>
      <c r="K817" t="str">
        <f t="shared" si="12"/>
        <v/>
      </c>
    </row>
    <row r="818" spans="1:13" hidden="1" x14ac:dyDescent="0.2">
      <c r="E818" t="s">
        <v>297</v>
      </c>
      <c r="K818" t="str">
        <f t="shared" si="12"/>
        <v/>
      </c>
    </row>
    <row r="819" spans="1:13" hidden="1" x14ac:dyDescent="0.2">
      <c r="D819" t="s">
        <v>298</v>
      </c>
      <c r="K819" t="str">
        <f t="shared" si="12"/>
        <v/>
      </c>
    </row>
    <row r="820" spans="1:13" hidden="1" x14ac:dyDescent="0.2">
      <c r="A820" t="s">
        <v>294</v>
      </c>
      <c r="K820" t="str">
        <f t="shared" si="12"/>
        <v/>
      </c>
    </row>
    <row r="821" spans="1:13" x14ac:dyDescent="0.2">
      <c r="B821" t="s">
        <v>294</v>
      </c>
      <c r="D821" t="s">
        <v>306</v>
      </c>
      <c r="K821" t="str">
        <f t="shared" si="12"/>
        <v>7</v>
      </c>
      <c r="L821" t="str">
        <f>MID(E823,24,3)</f>
        <v>VIS</v>
      </c>
      <c r="M821" t="str">
        <f>MID(E824,22,25)</f>
        <v>"VISTA MAR";</v>
      </c>
    </row>
    <row r="822" spans="1:13" hidden="1" x14ac:dyDescent="0.2">
      <c r="B822" t="s">
        <v>294</v>
      </c>
      <c r="E822" t="s">
        <v>296</v>
      </c>
      <c r="K822" t="str">
        <f t="shared" si="12"/>
        <v/>
      </c>
    </row>
    <row r="823" spans="1:13" hidden="1" x14ac:dyDescent="0.2">
      <c r="E823" t="s">
        <v>823</v>
      </c>
      <c r="K823" t="str">
        <f t="shared" si="12"/>
        <v/>
      </c>
    </row>
    <row r="824" spans="1:13" hidden="1" x14ac:dyDescent="0.2">
      <c r="E824" t="s">
        <v>824</v>
      </c>
      <c r="K824" t="str">
        <f t="shared" si="12"/>
        <v/>
      </c>
    </row>
    <row r="825" spans="1:13" hidden="1" x14ac:dyDescent="0.2">
      <c r="E825" t="s">
        <v>297</v>
      </c>
      <c r="K825" t="str">
        <f t="shared" si="12"/>
        <v/>
      </c>
    </row>
    <row r="826" spans="1:13" hidden="1" x14ac:dyDescent="0.2">
      <c r="D826" t="s">
        <v>298</v>
      </c>
      <c r="K826" t="str">
        <f t="shared" si="12"/>
        <v/>
      </c>
    </row>
    <row r="827" spans="1:13" hidden="1" x14ac:dyDescent="0.2">
      <c r="A827" t="s">
        <v>294</v>
      </c>
      <c r="K827" t="str">
        <f t="shared" si="12"/>
        <v/>
      </c>
    </row>
    <row r="828" spans="1:13" x14ac:dyDescent="0.2">
      <c r="B828" t="s">
        <v>294</v>
      </c>
      <c r="D828" t="s">
        <v>307</v>
      </c>
      <c r="K828" t="str">
        <f t="shared" si="12"/>
        <v>8</v>
      </c>
      <c r="L828" t="str">
        <f>MID(E830,24,3)</f>
        <v>ECM</v>
      </c>
      <c r="M828" t="str">
        <f>MID(E831,22,25)</f>
        <v>"ESCAMELA";</v>
      </c>
    </row>
    <row r="829" spans="1:13" hidden="1" x14ac:dyDescent="0.2">
      <c r="B829" t="s">
        <v>294</v>
      </c>
      <c r="E829" t="s">
        <v>296</v>
      </c>
      <c r="K829" t="str">
        <f t="shared" si="12"/>
        <v/>
      </c>
    </row>
    <row r="830" spans="1:13" hidden="1" x14ac:dyDescent="0.2">
      <c r="E830" t="s">
        <v>825</v>
      </c>
      <c r="K830" t="str">
        <f t="shared" si="12"/>
        <v/>
      </c>
    </row>
    <row r="831" spans="1:13" hidden="1" x14ac:dyDescent="0.2">
      <c r="E831" t="s">
        <v>826</v>
      </c>
      <c r="K831" t="str">
        <f t="shared" si="12"/>
        <v/>
      </c>
    </row>
    <row r="832" spans="1:13" hidden="1" x14ac:dyDescent="0.2">
      <c r="E832" t="s">
        <v>297</v>
      </c>
      <c r="K832" t="str">
        <f t="shared" si="12"/>
        <v/>
      </c>
    </row>
    <row r="833" spans="1:13" hidden="1" x14ac:dyDescent="0.2">
      <c r="D833" t="s">
        <v>298</v>
      </c>
      <c r="K833" t="str">
        <f t="shared" si="12"/>
        <v/>
      </c>
    </row>
    <row r="834" spans="1:13" hidden="1" x14ac:dyDescent="0.2">
      <c r="A834" t="s">
        <v>294</v>
      </c>
      <c r="K834" t="str">
        <f t="shared" si="12"/>
        <v/>
      </c>
    </row>
    <row r="835" spans="1:13" x14ac:dyDescent="0.2">
      <c r="B835" t="s">
        <v>294</v>
      </c>
      <c r="D835" t="s">
        <v>307</v>
      </c>
      <c r="K835" t="str">
        <f t="shared" ref="K835:K898" si="13">MID(D835,11,1)</f>
        <v>8</v>
      </c>
      <c r="L835" t="str">
        <f>MID(E837,24,3)</f>
        <v>FOR</v>
      </c>
      <c r="M835" t="str">
        <f>MID(E838,22,25)</f>
        <v>"FORTIN";</v>
      </c>
    </row>
    <row r="836" spans="1:13" hidden="1" x14ac:dyDescent="0.2">
      <c r="B836" t="s">
        <v>294</v>
      </c>
      <c r="E836" t="s">
        <v>296</v>
      </c>
      <c r="K836" t="str">
        <f t="shared" si="13"/>
        <v/>
      </c>
    </row>
    <row r="837" spans="1:13" hidden="1" x14ac:dyDescent="0.2">
      <c r="E837" t="s">
        <v>827</v>
      </c>
      <c r="K837" t="str">
        <f t="shared" si="13"/>
        <v/>
      </c>
    </row>
    <row r="838" spans="1:13" hidden="1" x14ac:dyDescent="0.2">
      <c r="E838" t="s">
        <v>828</v>
      </c>
      <c r="K838" t="str">
        <f t="shared" si="13"/>
        <v/>
      </c>
    </row>
    <row r="839" spans="1:13" hidden="1" x14ac:dyDescent="0.2">
      <c r="E839" t="s">
        <v>297</v>
      </c>
      <c r="K839" t="str">
        <f t="shared" si="13"/>
        <v/>
      </c>
    </row>
    <row r="840" spans="1:13" hidden="1" x14ac:dyDescent="0.2">
      <c r="D840" t="s">
        <v>298</v>
      </c>
      <c r="K840" t="str">
        <f t="shared" si="13"/>
        <v/>
      </c>
    </row>
    <row r="841" spans="1:13" hidden="1" x14ac:dyDescent="0.2">
      <c r="A841" t="s">
        <v>294</v>
      </c>
      <c r="K841" t="str">
        <f t="shared" si="13"/>
        <v/>
      </c>
    </row>
    <row r="842" spans="1:13" x14ac:dyDescent="0.2">
      <c r="B842" t="s">
        <v>294</v>
      </c>
      <c r="D842" t="s">
        <v>307</v>
      </c>
      <c r="K842" t="str">
        <f t="shared" si="13"/>
        <v>8</v>
      </c>
      <c r="L842" t="str">
        <f>MID(E844,24,3)</f>
        <v>NGL</v>
      </c>
      <c r="M842" t="str">
        <f>MID(E845,22,25)</f>
        <v>"NOGALES";</v>
      </c>
    </row>
    <row r="843" spans="1:13" hidden="1" x14ac:dyDescent="0.2">
      <c r="B843" t="s">
        <v>294</v>
      </c>
      <c r="E843" t="s">
        <v>296</v>
      </c>
      <c r="K843" t="str">
        <f t="shared" si="13"/>
        <v/>
      </c>
    </row>
    <row r="844" spans="1:13" hidden="1" x14ac:dyDescent="0.2">
      <c r="E844" t="s">
        <v>829</v>
      </c>
      <c r="K844" t="str">
        <f t="shared" si="13"/>
        <v/>
      </c>
    </row>
    <row r="845" spans="1:13" hidden="1" x14ac:dyDescent="0.2">
      <c r="E845" t="s">
        <v>830</v>
      </c>
      <c r="K845" t="str">
        <f t="shared" si="13"/>
        <v/>
      </c>
    </row>
    <row r="846" spans="1:13" hidden="1" x14ac:dyDescent="0.2">
      <c r="E846" t="s">
        <v>297</v>
      </c>
      <c r="K846" t="str">
        <f t="shared" si="13"/>
        <v/>
      </c>
    </row>
    <row r="847" spans="1:13" hidden="1" x14ac:dyDescent="0.2">
      <c r="D847" t="s">
        <v>298</v>
      </c>
      <c r="K847" t="str">
        <f t="shared" si="13"/>
        <v/>
      </c>
    </row>
    <row r="848" spans="1:13" hidden="1" x14ac:dyDescent="0.2">
      <c r="A848" t="s">
        <v>294</v>
      </c>
      <c r="K848" t="str">
        <f t="shared" si="13"/>
        <v/>
      </c>
    </row>
    <row r="849" spans="1:13" x14ac:dyDescent="0.2">
      <c r="B849" t="s">
        <v>294</v>
      </c>
      <c r="D849" t="s">
        <v>307</v>
      </c>
      <c r="K849" t="str">
        <f t="shared" si="13"/>
        <v>8</v>
      </c>
      <c r="L849" t="str">
        <f>MID(E851,24,3)</f>
        <v>OJP</v>
      </c>
      <c r="M849" t="str">
        <f>MID(E852,22,25)</f>
        <v>"OJO DE AGUA POTENCIA";</v>
      </c>
    </row>
    <row r="850" spans="1:13" hidden="1" x14ac:dyDescent="0.2">
      <c r="B850" t="s">
        <v>294</v>
      </c>
      <c r="E850" t="s">
        <v>296</v>
      </c>
      <c r="K850" t="str">
        <f t="shared" si="13"/>
        <v/>
      </c>
    </row>
    <row r="851" spans="1:13" hidden="1" x14ac:dyDescent="0.2">
      <c r="E851" t="s">
        <v>831</v>
      </c>
      <c r="K851" t="str">
        <f t="shared" si="13"/>
        <v/>
      </c>
    </row>
    <row r="852" spans="1:13" hidden="1" x14ac:dyDescent="0.2">
      <c r="E852" t="s">
        <v>832</v>
      </c>
      <c r="K852" t="str">
        <f t="shared" si="13"/>
        <v/>
      </c>
    </row>
    <row r="853" spans="1:13" hidden="1" x14ac:dyDescent="0.2">
      <c r="E853" t="s">
        <v>297</v>
      </c>
      <c r="K853" t="str">
        <f t="shared" si="13"/>
        <v/>
      </c>
    </row>
    <row r="854" spans="1:13" hidden="1" x14ac:dyDescent="0.2">
      <c r="D854" t="s">
        <v>298</v>
      </c>
      <c r="K854" t="str">
        <f t="shared" si="13"/>
        <v/>
      </c>
    </row>
    <row r="855" spans="1:13" hidden="1" x14ac:dyDescent="0.2">
      <c r="A855" t="s">
        <v>294</v>
      </c>
      <c r="K855" t="str">
        <f t="shared" si="13"/>
        <v/>
      </c>
    </row>
    <row r="856" spans="1:13" x14ac:dyDescent="0.2">
      <c r="B856" t="s">
        <v>294</v>
      </c>
      <c r="D856" t="s">
        <v>307</v>
      </c>
      <c r="K856" t="str">
        <f t="shared" si="13"/>
        <v>8</v>
      </c>
      <c r="L856" t="str">
        <f>MID(E858,24,3)</f>
        <v>ORI</v>
      </c>
      <c r="M856" t="str">
        <f>MID(E859,22,25)</f>
        <v>"ORIZABA";</v>
      </c>
    </row>
    <row r="857" spans="1:13" hidden="1" x14ac:dyDescent="0.2">
      <c r="B857" t="s">
        <v>294</v>
      </c>
      <c r="E857" t="s">
        <v>296</v>
      </c>
      <c r="K857" t="str">
        <f t="shared" si="13"/>
        <v/>
      </c>
    </row>
    <row r="858" spans="1:13" hidden="1" x14ac:dyDescent="0.2">
      <c r="E858" t="s">
        <v>833</v>
      </c>
      <c r="K858" t="str">
        <f t="shared" si="13"/>
        <v/>
      </c>
    </row>
    <row r="859" spans="1:13" hidden="1" x14ac:dyDescent="0.2">
      <c r="E859" t="s">
        <v>834</v>
      </c>
      <c r="K859" t="str">
        <f t="shared" si="13"/>
        <v/>
      </c>
    </row>
    <row r="860" spans="1:13" hidden="1" x14ac:dyDescent="0.2">
      <c r="E860" t="s">
        <v>297</v>
      </c>
      <c r="K860" t="str">
        <f t="shared" si="13"/>
        <v/>
      </c>
    </row>
    <row r="861" spans="1:13" hidden="1" x14ac:dyDescent="0.2">
      <c r="D861" t="s">
        <v>298</v>
      </c>
      <c r="K861" t="str">
        <f t="shared" si="13"/>
        <v/>
      </c>
    </row>
    <row r="862" spans="1:13" hidden="1" x14ac:dyDescent="0.2">
      <c r="A862" t="s">
        <v>294</v>
      </c>
      <c r="K862" t="str">
        <f t="shared" si="13"/>
        <v/>
      </c>
    </row>
    <row r="863" spans="1:13" x14ac:dyDescent="0.2">
      <c r="B863" t="s">
        <v>294</v>
      </c>
      <c r="D863" t="s">
        <v>307</v>
      </c>
      <c r="K863" t="str">
        <f t="shared" si="13"/>
        <v>8</v>
      </c>
      <c r="L863" t="str">
        <f>MID(E865,24,3)</f>
        <v>RBO</v>
      </c>
      <c r="M863" t="str">
        <f>MID(E866,22,25)</f>
        <v>"RIO BLANCO";</v>
      </c>
    </row>
    <row r="864" spans="1:13" hidden="1" x14ac:dyDescent="0.2">
      <c r="B864" t="s">
        <v>294</v>
      </c>
      <c r="E864" t="s">
        <v>296</v>
      </c>
      <c r="K864" t="str">
        <f t="shared" si="13"/>
        <v/>
      </c>
    </row>
    <row r="865" spans="1:13" hidden="1" x14ac:dyDescent="0.2">
      <c r="E865" t="s">
        <v>835</v>
      </c>
      <c r="K865" t="str">
        <f t="shared" si="13"/>
        <v/>
      </c>
    </row>
    <row r="866" spans="1:13" hidden="1" x14ac:dyDescent="0.2">
      <c r="E866" t="s">
        <v>836</v>
      </c>
      <c r="K866" t="str">
        <f t="shared" si="13"/>
        <v/>
      </c>
    </row>
    <row r="867" spans="1:13" hidden="1" x14ac:dyDescent="0.2">
      <c r="E867" t="s">
        <v>297</v>
      </c>
      <c r="K867" t="str">
        <f t="shared" si="13"/>
        <v/>
      </c>
    </row>
    <row r="868" spans="1:13" hidden="1" x14ac:dyDescent="0.2">
      <c r="D868" t="s">
        <v>298</v>
      </c>
      <c r="K868" t="str">
        <f t="shared" si="13"/>
        <v/>
      </c>
    </row>
    <row r="869" spans="1:13" hidden="1" x14ac:dyDescent="0.2">
      <c r="A869" t="s">
        <v>294</v>
      </c>
      <c r="K869" t="str">
        <f t="shared" si="13"/>
        <v/>
      </c>
    </row>
    <row r="870" spans="1:13" x14ac:dyDescent="0.2">
      <c r="B870" t="s">
        <v>294</v>
      </c>
      <c r="D870" t="s">
        <v>307</v>
      </c>
      <c r="K870" t="str">
        <f t="shared" si="13"/>
        <v>8</v>
      </c>
      <c r="L870" t="str">
        <f>MID(E872,24,3)</f>
        <v>PSG</v>
      </c>
      <c r="M870" t="str">
        <f>MID(E873,22,25)</f>
        <v>"STA GERTRUDIS";</v>
      </c>
    </row>
    <row r="871" spans="1:13" hidden="1" x14ac:dyDescent="0.2">
      <c r="B871" t="s">
        <v>294</v>
      </c>
      <c r="E871" t="s">
        <v>296</v>
      </c>
      <c r="K871" t="str">
        <f t="shared" si="13"/>
        <v/>
      </c>
    </row>
    <row r="872" spans="1:13" hidden="1" x14ac:dyDescent="0.2">
      <c r="E872" t="s">
        <v>837</v>
      </c>
      <c r="K872" t="str">
        <f t="shared" si="13"/>
        <v/>
      </c>
    </row>
    <row r="873" spans="1:13" hidden="1" x14ac:dyDescent="0.2">
      <c r="E873" t="s">
        <v>838</v>
      </c>
      <c r="K873" t="str">
        <f t="shared" si="13"/>
        <v/>
      </c>
    </row>
    <row r="874" spans="1:13" hidden="1" x14ac:dyDescent="0.2">
      <c r="E874" t="s">
        <v>297</v>
      </c>
      <c r="K874" t="str">
        <f t="shared" si="13"/>
        <v/>
      </c>
    </row>
    <row r="875" spans="1:13" hidden="1" x14ac:dyDescent="0.2">
      <c r="D875" t="s">
        <v>298</v>
      </c>
      <c r="K875" t="str">
        <f t="shared" si="13"/>
        <v/>
      </c>
    </row>
    <row r="876" spans="1:13" hidden="1" x14ac:dyDescent="0.2">
      <c r="A876" t="s">
        <v>294</v>
      </c>
      <c r="K876" t="str">
        <f t="shared" si="13"/>
        <v/>
      </c>
    </row>
    <row r="877" spans="1:13" x14ac:dyDescent="0.2">
      <c r="B877" t="s">
        <v>294</v>
      </c>
      <c r="D877" t="s">
        <v>307</v>
      </c>
      <c r="K877" t="str">
        <f t="shared" si="13"/>
        <v>8</v>
      </c>
      <c r="L877" t="str">
        <f>MID(E879,24,3)</f>
        <v>ZGL</v>
      </c>
      <c r="M877" t="str">
        <f>MID(E880,22,25)</f>
        <v>"ZONGOLICA";</v>
      </c>
    </row>
    <row r="878" spans="1:13" hidden="1" x14ac:dyDescent="0.2">
      <c r="B878" t="s">
        <v>294</v>
      </c>
      <c r="E878" t="s">
        <v>296</v>
      </c>
      <c r="K878" t="str">
        <f t="shared" si="13"/>
        <v/>
      </c>
    </row>
    <row r="879" spans="1:13" hidden="1" x14ac:dyDescent="0.2">
      <c r="E879" t="s">
        <v>839</v>
      </c>
      <c r="K879" t="str">
        <f t="shared" si="13"/>
        <v/>
      </c>
    </row>
    <row r="880" spans="1:13" hidden="1" x14ac:dyDescent="0.2">
      <c r="E880" t="s">
        <v>840</v>
      </c>
      <c r="K880" t="str">
        <f t="shared" si="13"/>
        <v/>
      </c>
    </row>
    <row r="881" spans="1:13" hidden="1" x14ac:dyDescent="0.2">
      <c r="E881" t="s">
        <v>297</v>
      </c>
      <c r="K881" t="str">
        <f t="shared" si="13"/>
        <v/>
      </c>
    </row>
    <row r="882" spans="1:13" hidden="1" x14ac:dyDescent="0.2">
      <c r="D882" t="s">
        <v>298</v>
      </c>
      <c r="K882" t="str">
        <f t="shared" si="13"/>
        <v/>
      </c>
    </row>
    <row r="883" spans="1:13" hidden="1" x14ac:dyDescent="0.2">
      <c r="A883" t="s">
        <v>294</v>
      </c>
      <c r="K883" t="str">
        <f t="shared" si="13"/>
        <v/>
      </c>
    </row>
    <row r="884" spans="1:13" x14ac:dyDescent="0.2">
      <c r="B884" t="s">
        <v>294</v>
      </c>
      <c r="D884" t="s">
        <v>308</v>
      </c>
      <c r="K884" t="str">
        <f t="shared" si="13"/>
        <v>9</v>
      </c>
      <c r="L884" t="str">
        <f>MID(E886,24,3)</f>
        <v>ATD</v>
      </c>
      <c r="M884" t="str">
        <f>MID(E887,22,25)</f>
        <v>"AMATLAN II";</v>
      </c>
    </row>
    <row r="885" spans="1:13" hidden="1" x14ac:dyDescent="0.2">
      <c r="B885" t="s">
        <v>294</v>
      </c>
      <c r="E885" t="s">
        <v>296</v>
      </c>
      <c r="K885" t="str">
        <f t="shared" si="13"/>
        <v/>
      </c>
    </row>
    <row r="886" spans="1:13" hidden="1" x14ac:dyDescent="0.2">
      <c r="E886" t="s">
        <v>841</v>
      </c>
      <c r="K886" t="str">
        <f t="shared" si="13"/>
        <v/>
      </c>
    </row>
    <row r="887" spans="1:13" hidden="1" x14ac:dyDescent="0.2">
      <c r="E887" t="s">
        <v>842</v>
      </c>
      <c r="K887" t="str">
        <f t="shared" si="13"/>
        <v/>
      </c>
    </row>
    <row r="888" spans="1:13" hidden="1" x14ac:dyDescent="0.2">
      <c r="E888" t="s">
        <v>297</v>
      </c>
      <c r="K888" t="str">
        <f t="shared" si="13"/>
        <v/>
      </c>
    </row>
    <row r="889" spans="1:13" hidden="1" x14ac:dyDescent="0.2">
      <c r="D889" t="s">
        <v>298</v>
      </c>
      <c r="K889" t="str">
        <f t="shared" si="13"/>
        <v/>
      </c>
    </row>
    <row r="890" spans="1:13" hidden="1" x14ac:dyDescent="0.2">
      <c r="A890" t="s">
        <v>294</v>
      </c>
      <c r="K890" t="str">
        <f t="shared" si="13"/>
        <v/>
      </c>
    </row>
    <row r="891" spans="1:13" x14ac:dyDescent="0.2">
      <c r="B891" t="s">
        <v>294</v>
      </c>
      <c r="D891" t="s">
        <v>308</v>
      </c>
      <c r="K891" t="str">
        <f t="shared" si="13"/>
        <v>9</v>
      </c>
      <c r="L891" t="str">
        <f>MID(E893,24,3)</f>
        <v>COR</v>
      </c>
      <c r="M891" t="str">
        <f>MID(E894,22,25)</f>
        <v>"CORDOBA I";</v>
      </c>
    </row>
    <row r="892" spans="1:13" hidden="1" x14ac:dyDescent="0.2">
      <c r="B892" t="s">
        <v>294</v>
      </c>
      <c r="E892" t="s">
        <v>296</v>
      </c>
      <c r="K892" t="str">
        <f t="shared" si="13"/>
        <v/>
      </c>
    </row>
    <row r="893" spans="1:13" hidden="1" x14ac:dyDescent="0.2">
      <c r="E893" t="s">
        <v>843</v>
      </c>
      <c r="K893" t="str">
        <f t="shared" si="13"/>
        <v/>
      </c>
    </row>
    <row r="894" spans="1:13" hidden="1" x14ac:dyDescent="0.2">
      <c r="E894" t="s">
        <v>844</v>
      </c>
      <c r="K894" t="str">
        <f t="shared" si="13"/>
        <v/>
      </c>
    </row>
    <row r="895" spans="1:13" hidden="1" x14ac:dyDescent="0.2">
      <c r="E895" t="s">
        <v>297</v>
      </c>
      <c r="K895" t="str">
        <f t="shared" si="13"/>
        <v/>
      </c>
    </row>
    <row r="896" spans="1:13" hidden="1" x14ac:dyDescent="0.2">
      <c r="D896" t="s">
        <v>298</v>
      </c>
      <c r="K896" t="str">
        <f t="shared" si="13"/>
        <v/>
      </c>
    </row>
    <row r="897" spans="1:13" hidden="1" x14ac:dyDescent="0.2">
      <c r="A897" t="s">
        <v>294</v>
      </c>
      <c r="K897" t="str">
        <f t="shared" si="13"/>
        <v/>
      </c>
    </row>
    <row r="898" spans="1:13" x14ac:dyDescent="0.2">
      <c r="B898" t="s">
        <v>294</v>
      </c>
      <c r="D898" t="s">
        <v>308</v>
      </c>
      <c r="K898" t="str">
        <f t="shared" si="13"/>
        <v>9</v>
      </c>
      <c r="L898" t="str">
        <f>MID(E900,24,3)</f>
        <v>CBS</v>
      </c>
      <c r="M898" t="str">
        <f>MID(E901,22,25)</f>
        <v>"CORDOBA II";</v>
      </c>
    </row>
    <row r="899" spans="1:13" hidden="1" x14ac:dyDescent="0.2">
      <c r="B899" t="s">
        <v>294</v>
      </c>
      <c r="E899" t="s">
        <v>296</v>
      </c>
      <c r="K899" t="str">
        <f t="shared" ref="K899:K962" si="14">MID(D899,11,1)</f>
        <v/>
      </c>
    </row>
    <row r="900" spans="1:13" hidden="1" x14ac:dyDescent="0.2">
      <c r="E900" t="s">
        <v>845</v>
      </c>
      <c r="K900" t="str">
        <f t="shared" si="14"/>
        <v/>
      </c>
    </row>
    <row r="901" spans="1:13" hidden="1" x14ac:dyDescent="0.2">
      <c r="E901" t="s">
        <v>846</v>
      </c>
      <c r="K901" t="str">
        <f t="shared" si="14"/>
        <v/>
      </c>
    </row>
    <row r="902" spans="1:13" hidden="1" x14ac:dyDescent="0.2">
      <c r="E902" t="s">
        <v>297</v>
      </c>
      <c r="K902" t="str">
        <f t="shared" si="14"/>
        <v/>
      </c>
    </row>
    <row r="903" spans="1:13" hidden="1" x14ac:dyDescent="0.2">
      <c r="D903" t="s">
        <v>298</v>
      </c>
      <c r="K903" t="str">
        <f t="shared" si="14"/>
        <v/>
      </c>
    </row>
    <row r="904" spans="1:13" hidden="1" x14ac:dyDescent="0.2">
      <c r="A904" t="s">
        <v>294</v>
      </c>
      <c r="K904" t="str">
        <f t="shared" si="14"/>
        <v/>
      </c>
    </row>
    <row r="905" spans="1:13" x14ac:dyDescent="0.2">
      <c r="B905" t="s">
        <v>294</v>
      </c>
      <c r="D905" t="s">
        <v>308</v>
      </c>
      <c r="K905" t="str">
        <f t="shared" si="14"/>
        <v>9</v>
      </c>
      <c r="L905" t="str">
        <f>MID(E907,24,3)</f>
        <v>CSE</v>
      </c>
      <c r="M905" t="str">
        <f>MID(E908,22,25)</f>
        <v>"COSCOMATEPEC";</v>
      </c>
    </row>
    <row r="906" spans="1:13" hidden="1" x14ac:dyDescent="0.2">
      <c r="B906" t="s">
        <v>294</v>
      </c>
      <c r="E906" t="s">
        <v>296</v>
      </c>
      <c r="K906" t="str">
        <f t="shared" si="14"/>
        <v/>
      </c>
    </row>
    <row r="907" spans="1:13" hidden="1" x14ac:dyDescent="0.2">
      <c r="E907" t="s">
        <v>847</v>
      </c>
      <c r="K907" t="str">
        <f t="shared" si="14"/>
        <v/>
      </c>
    </row>
    <row r="908" spans="1:13" hidden="1" x14ac:dyDescent="0.2">
      <c r="E908" t="s">
        <v>848</v>
      </c>
      <c r="K908" t="str">
        <f t="shared" si="14"/>
        <v/>
      </c>
    </row>
    <row r="909" spans="1:13" hidden="1" x14ac:dyDescent="0.2">
      <c r="E909" t="s">
        <v>297</v>
      </c>
      <c r="K909" t="str">
        <f t="shared" si="14"/>
        <v/>
      </c>
    </row>
    <row r="910" spans="1:13" hidden="1" x14ac:dyDescent="0.2">
      <c r="D910" t="s">
        <v>298</v>
      </c>
      <c r="K910" t="str">
        <f t="shared" si="14"/>
        <v/>
      </c>
    </row>
    <row r="911" spans="1:13" hidden="1" x14ac:dyDescent="0.2">
      <c r="A911" t="s">
        <v>294</v>
      </c>
      <c r="K911" t="str">
        <f t="shared" si="14"/>
        <v/>
      </c>
    </row>
    <row r="912" spans="1:13" x14ac:dyDescent="0.2">
      <c r="B912" t="s">
        <v>294</v>
      </c>
      <c r="D912" t="s">
        <v>308</v>
      </c>
      <c r="K912" t="str">
        <f t="shared" si="14"/>
        <v>9</v>
      </c>
      <c r="L912" t="str">
        <f>MID(E914,24,3)</f>
        <v>CTH</v>
      </c>
      <c r="M912" t="str">
        <f>MID(E915,22,25)</f>
        <v>"CUITLAHUAC";</v>
      </c>
    </row>
    <row r="913" spans="1:13" hidden="1" x14ac:dyDescent="0.2">
      <c r="B913" t="s">
        <v>294</v>
      </c>
      <c r="E913" t="s">
        <v>296</v>
      </c>
      <c r="K913" t="str">
        <f t="shared" si="14"/>
        <v/>
      </c>
    </row>
    <row r="914" spans="1:13" hidden="1" x14ac:dyDescent="0.2">
      <c r="E914" t="s">
        <v>849</v>
      </c>
      <c r="K914" t="str">
        <f t="shared" si="14"/>
        <v/>
      </c>
    </row>
    <row r="915" spans="1:13" hidden="1" x14ac:dyDescent="0.2">
      <c r="E915" t="s">
        <v>850</v>
      </c>
      <c r="K915" t="str">
        <f t="shared" si="14"/>
        <v/>
      </c>
    </row>
    <row r="916" spans="1:13" hidden="1" x14ac:dyDescent="0.2">
      <c r="E916" t="s">
        <v>297</v>
      </c>
      <c r="K916" t="str">
        <f t="shared" si="14"/>
        <v/>
      </c>
    </row>
    <row r="917" spans="1:13" hidden="1" x14ac:dyDescent="0.2">
      <c r="D917" t="s">
        <v>298</v>
      </c>
      <c r="K917" t="str">
        <f t="shared" si="14"/>
        <v/>
      </c>
    </row>
    <row r="918" spans="1:13" hidden="1" x14ac:dyDescent="0.2">
      <c r="A918" t="s">
        <v>294</v>
      </c>
      <c r="K918" t="str">
        <f t="shared" si="14"/>
        <v/>
      </c>
    </row>
    <row r="919" spans="1:13" x14ac:dyDescent="0.2">
      <c r="B919" t="s">
        <v>294</v>
      </c>
      <c r="D919" t="s">
        <v>308</v>
      </c>
      <c r="K919" t="str">
        <f t="shared" si="14"/>
        <v>9</v>
      </c>
      <c r="L919" t="str">
        <f>MID(E921,24,3)</f>
        <v>HTU</v>
      </c>
      <c r="M919" t="str">
        <f>MID(E922,22,25)</f>
        <v>"HUATUSCO";</v>
      </c>
    </row>
    <row r="920" spans="1:13" hidden="1" x14ac:dyDescent="0.2">
      <c r="B920" t="s">
        <v>294</v>
      </c>
      <c r="E920" t="s">
        <v>296</v>
      </c>
      <c r="K920" t="str">
        <f t="shared" si="14"/>
        <v/>
      </c>
    </row>
    <row r="921" spans="1:13" hidden="1" x14ac:dyDescent="0.2">
      <c r="E921" t="s">
        <v>851</v>
      </c>
      <c r="K921" t="str">
        <f t="shared" si="14"/>
        <v/>
      </c>
    </row>
    <row r="922" spans="1:13" hidden="1" x14ac:dyDescent="0.2">
      <c r="E922" t="s">
        <v>852</v>
      </c>
      <c r="K922" t="str">
        <f t="shared" si="14"/>
        <v/>
      </c>
    </row>
    <row r="923" spans="1:13" hidden="1" x14ac:dyDescent="0.2">
      <c r="E923" t="s">
        <v>297</v>
      </c>
      <c r="K923" t="str">
        <f t="shared" si="14"/>
        <v/>
      </c>
    </row>
    <row r="924" spans="1:13" hidden="1" x14ac:dyDescent="0.2">
      <c r="D924" t="s">
        <v>298</v>
      </c>
      <c r="K924" t="str">
        <f t="shared" si="14"/>
        <v/>
      </c>
    </row>
    <row r="925" spans="1:13" hidden="1" x14ac:dyDescent="0.2">
      <c r="A925" t="s">
        <v>294</v>
      </c>
      <c r="K925" t="str">
        <f t="shared" si="14"/>
        <v/>
      </c>
    </row>
    <row r="926" spans="1:13" x14ac:dyDescent="0.2">
      <c r="B926" t="s">
        <v>294</v>
      </c>
      <c r="D926" t="s">
        <v>308</v>
      </c>
      <c r="K926" t="str">
        <f t="shared" si="14"/>
        <v>9</v>
      </c>
      <c r="L926" t="str">
        <f>MID(E928,24,3)</f>
        <v>OME</v>
      </c>
      <c r="M926" t="str">
        <f>MID(E929,22,25)</f>
        <v>"OMEALCA";</v>
      </c>
    </row>
    <row r="927" spans="1:13" hidden="1" x14ac:dyDescent="0.2">
      <c r="B927" t="s">
        <v>294</v>
      </c>
      <c r="E927" t="s">
        <v>296</v>
      </c>
      <c r="K927" t="str">
        <f t="shared" si="14"/>
        <v/>
      </c>
    </row>
    <row r="928" spans="1:13" hidden="1" x14ac:dyDescent="0.2">
      <c r="E928" t="s">
        <v>853</v>
      </c>
      <c r="K928" t="str">
        <f t="shared" si="14"/>
        <v/>
      </c>
    </row>
    <row r="929" spans="1:13" hidden="1" x14ac:dyDescent="0.2">
      <c r="E929" t="s">
        <v>854</v>
      </c>
      <c r="K929" t="str">
        <f t="shared" si="14"/>
        <v/>
      </c>
    </row>
    <row r="930" spans="1:13" hidden="1" x14ac:dyDescent="0.2">
      <c r="E930" t="s">
        <v>297</v>
      </c>
      <c r="K930" t="str">
        <f t="shared" si="14"/>
        <v/>
      </c>
    </row>
    <row r="931" spans="1:13" hidden="1" x14ac:dyDescent="0.2">
      <c r="D931" t="s">
        <v>298</v>
      </c>
      <c r="K931" t="str">
        <f t="shared" si="14"/>
        <v/>
      </c>
    </row>
    <row r="932" spans="1:13" hidden="1" x14ac:dyDescent="0.2">
      <c r="A932" t="s">
        <v>294</v>
      </c>
      <c r="K932" t="str">
        <f t="shared" si="14"/>
        <v/>
      </c>
    </row>
    <row r="933" spans="1:13" x14ac:dyDescent="0.2">
      <c r="B933" t="s">
        <v>294</v>
      </c>
      <c r="D933" t="s">
        <v>308</v>
      </c>
      <c r="K933" t="str">
        <f t="shared" si="14"/>
        <v>9</v>
      </c>
      <c r="L933" t="str">
        <f>MID(E935,24,3)</f>
        <v>PTD</v>
      </c>
      <c r="M933" t="str">
        <f>MID(E936,22,25)</f>
        <v>"POTRERO";</v>
      </c>
    </row>
    <row r="934" spans="1:13" hidden="1" x14ac:dyDescent="0.2">
      <c r="B934" t="s">
        <v>294</v>
      </c>
      <c r="E934" t="s">
        <v>296</v>
      </c>
      <c r="K934" t="str">
        <f t="shared" si="14"/>
        <v/>
      </c>
    </row>
    <row r="935" spans="1:13" hidden="1" x14ac:dyDescent="0.2">
      <c r="E935" t="s">
        <v>855</v>
      </c>
      <c r="K935" t="str">
        <f t="shared" si="14"/>
        <v/>
      </c>
    </row>
    <row r="936" spans="1:13" hidden="1" x14ac:dyDescent="0.2">
      <c r="E936" t="s">
        <v>856</v>
      </c>
      <c r="K936" t="str">
        <f t="shared" si="14"/>
        <v/>
      </c>
    </row>
    <row r="937" spans="1:13" hidden="1" x14ac:dyDescent="0.2">
      <c r="E937" t="s">
        <v>297</v>
      </c>
      <c r="K937" t="str">
        <f t="shared" si="14"/>
        <v/>
      </c>
    </row>
    <row r="938" spans="1:13" hidden="1" x14ac:dyDescent="0.2">
      <c r="D938" t="s">
        <v>298</v>
      </c>
      <c r="K938" t="str">
        <f t="shared" si="14"/>
        <v/>
      </c>
    </row>
    <row r="939" spans="1:13" hidden="1" x14ac:dyDescent="0.2">
      <c r="A939" t="s">
        <v>294</v>
      </c>
      <c r="K939" t="str">
        <f t="shared" si="14"/>
        <v/>
      </c>
    </row>
    <row r="940" spans="1:13" x14ac:dyDescent="0.2">
      <c r="B940" t="s">
        <v>294</v>
      </c>
      <c r="D940" t="s">
        <v>308</v>
      </c>
      <c r="K940" t="str">
        <f t="shared" si="14"/>
        <v>9</v>
      </c>
      <c r="L940" t="str">
        <f>MID(E942,24,3)</f>
        <v>ISN</v>
      </c>
      <c r="M940" t="str">
        <f>MID(E943,22,25)</f>
        <v>"SAN NICOLAS";</v>
      </c>
    </row>
    <row r="941" spans="1:13" hidden="1" x14ac:dyDescent="0.2">
      <c r="B941" t="s">
        <v>294</v>
      </c>
      <c r="E941" t="s">
        <v>296</v>
      </c>
      <c r="K941" t="str">
        <f t="shared" si="14"/>
        <v/>
      </c>
    </row>
    <row r="942" spans="1:13" hidden="1" x14ac:dyDescent="0.2">
      <c r="E942" t="s">
        <v>857</v>
      </c>
      <c r="K942" t="str">
        <f t="shared" si="14"/>
        <v/>
      </c>
    </row>
    <row r="943" spans="1:13" hidden="1" x14ac:dyDescent="0.2">
      <c r="E943" t="s">
        <v>858</v>
      </c>
      <c r="K943" t="str">
        <f t="shared" si="14"/>
        <v/>
      </c>
    </row>
    <row r="944" spans="1:13" hidden="1" x14ac:dyDescent="0.2">
      <c r="E944" t="s">
        <v>297</v>
      </c>
      <c r="K944" t="str">
        <f t="shared" si="14"/>
        <v/>
      </c>
    </row>
    <row r="945" spans="1:11" hidden="1" x14ac:dyDescent="0.2">
      <c r="D945" t="s">
        <v>298</v>
      </c>
      <c r="K945" t="str">
        <f t="shared" si="14"/>
        <v/>
      </c>
    </row>
    <row r="946" spans="1:11" hidden="1" x14ac:dyDescent="0.2">
      <c r="A946" t="s">
        <v>294</v>
      </c>
      <c r="K946" t="str">
        <f t="shared" si="14"/>
        <v/>
      </c>
    </row>
    <row r="947" spans="1:11" hidden="1" x14ac:dyDescent="0.2">
      <c r="K947" t="str">
        <f t="shared" si="14"/>
        <v/>
      </c>
    </row>
    <row r="948" spans="1:11" hidden="1" x14ac:dyDescent="0.2">
      <c r="K948" t="str">
        <f t="shared" si="14"/>
        <v/>
      </c>
    </row>
    <row r="949" spans="1:11" hidden="1" x14ac:dyDescent="0.2">
      <c r="K949" t="str">
        <f t="shared" si="14"/>
        <v/>
      </c>
    </row>
    <row r="950" spans="1:11" hidden="1" x14ac:dyDescent="0.2">
      <c r="K950" t="str">
        <f t="shared" si="14"/>
        <v/>
      </c>
    </row>
    <row r="951" spans="1:11" hidden="1" x14ac:dyDescent="0.2">
      <c r="K951" t="str">
        <f t="shared" si="14"/>
        <v/>
      </c>
    </row>
    <row r="952" spans="1:11" hidden="1" x14ac:dyDescent="0.2">
      <c r="K952" t="str">
        <f t="shared" si="14"/>
        <v/>
      </c>
    </row>
    <row r="953" spans="1:11" hidden="1" x14ac:dyDescent="0.2">
      <c r="K953" t="str">
        <f t="shared" si="14"/>
        <v/>
      </c>
    </row>
    <row r="954" spans="1:11" hidden="1" x14ac:dyDescent="0.2">
      <c r="K954" t="str">
        <f t="shared" si="14"/>
        <v/>
      </c>
    </row>
    <row r="955" spans="1:11" hidden="1" x14ac:dyDescent="0.2">
      <c r="K955" t="str">
        <f t="shared" si="14"/>
        <v/>
      </c>
    </row>
    <row r="956" spans="1:11" hidden="1" x14ac:dyDescent="0.2">
      <c r="K956" t="str">
        <f t="shared" si="14"/>
        <v/>
      </c>
    </row>
    <row r="957" spans="1:11" hidden="1" x14ac:dyDescent="0.2">
      <c r="K957" t="str">
        <f t="shared" si="14"/>
        <v/>
      </c>
    </row>
    <row r="958" spans="1:11" hidden="1" x14ac:dyDescent="0.2">
      <c r="K958" t="str">
        <f t="shared" si="14"/>
        <v/>
      </c>
    </row>
    <row r="959" spans="1:11" hidden="1" x14ac:dyDescent="0.2">
      <c r="K959" t="str">
        <f t="shared" si="14"/>
        <v/>
      </c>
    </row>
    <row r="960" spans="1:11" hidden="1" x14ac:dyDescent="0.2">
      <c r="K960" t="str">
        <f t="shared" si="14"/>
        <v/>
      </c>
    </row>
    <row r="961" spans="11:11" hidden="1" x14ac:dyDescent="0.2">
      <c r="K961" t="str">
        <f t="shared" si="14"/>
        <v/>
      </c>
    </row>
    <row r="962" spans="11:11" hidden="1" x14ac:dyDescent="0.2">
      <c r="K962" t="str">
        <f t="shared" si="14"/>
        <v/>
      </c>
    </row>
    <row r="963" spans="11:11" hidden="1" x14ac:dyDescent="0.2">
      <c r="K963" t="str">
        <f t="shared" ref="K963:K1026" si="15">MID(D963,11,1)</f>
        <v/>
      </c>
    </row>
    <row r="964" spans="11:11" hidden="1" x14ac:dyDescent="0.2">
      <c r="K964" t="str">
        <f t="shared" si="15"/>
        <v/>
      </c>
    </row>
    <row r="965" spans="11:11" hidden="1" x14ac:dyDescent="0.2">
      <c r="K965" t="str">
        <f t="shared" si="15"/>
        <v/>
      </c>
    </row>
    <row r="966" spans="11:11" hidden="1" x14ac:dyDescent="0.2">
      <c r="K966" t="str">
        <f t="shared" si="15"/>
        <v/>
      </c>
    </row>
    <row r="967" spans="11:11" hidden="1" x14ac:dyDescent="0.2">
      <c r="K967" t="str">
        <f t="shared" si="15"/>
        <v/>
      </c>
    </row>
    <row r="968" spans="11:11" hidden="1" x14ac:dyDescent="0.2">
      <c r="K968" t="str">
        <f t="shared" si="15"/>
        <v/>
      </c>
    </row>
    <row r="969" spans="11:11" hidden="1" x14ac:dyDescent="0.2">
      <c r="K969" t="str">
        <f t="shared" si="15"/>
        <v/>
      </c>
    </row>
    <row r="970" spans="11:11" hidden="1" x14ac:dyDescent="0.2">
      <c r="K970" t="str">
        <f t="shared" si="15"/>
        <v/>
      </c>
    </row>
    <row r="971" spans="11:11" hidden="1" x14ac:dyDescent="0.2">
      <c r="K971" t="str">
        <f t="shared" si="15"/>
        <v/>
      </c>
    </row>
    <row r="972" spans="11:11" hidden="1" x14ac:dyDescent="0.2">
      <c r="K972" t="str">
        <f t="shared" si="15"/>
        <v/>
      </c>
    </row>
    <row r="973" spans="11:11" hidden="1" x14ac:dyDescent="0.2">
      <c r="K973" t="str">
        <f t="shared" si="15"/>
        <v/>
      </c>
    </row>
    <row r="974" spans="11:11" hidden="1" x14ac:dyDescent="0.2">
      <c r="K974" t="str">
        <f t="shared" si="15"/>
        <v/>
      </c>
    </row>
    <row r="975" spans="11:11" hidden="1" x14ac:dyDescent="0.2">
      <c r="K975" t="str">
        <f t="shared" si="15"/>
        <v/>
      </c>
    </row>
    <row r="976" spans="11:11" hidden="1" x14ac:dyDescent="0.2">
      <c r="K976" t="str">
        <f t="shared" si="15"/>
        <v/>
      </c>
    </row>
    <row r="977" spans="11:11" hidden="1" x14ac:dyDescent="0.2">
      <c r="K977" t="str">
        <f t="shared" si="15"/>
        <v/>
      </c>
    </row>
    <row r="978" spans="11:11" hidden="1" x14ac:dyDescent="0.2">
      <c r="K978" t="str">
        <f t="shared" si="15"/>
        <v/>
      </c>
    </row>
    <row r="979" spans="11:11" hidden="1" x14ac:dyDescent="0.2">
      <c r="K979" t="str">
        <f t="shared" si="15"/>
        <v/>
      </c>
    </row>
    <row r="980" spans="11:11" hidden="1" x14ac:dyDescent="0.2">
      <c r="K980" t="str">
        <f t="shared" si="15"/>
        <v/>
      </c>
    </row>
    <row r="981" spans="11:11" hidden="1" x14ac:dyDescent="0.2">
      <c r="K981" t="str">
        <f t="shared" si="15"/>
        <v/>
      </c>
    </row>
    <row r="982" spans="11:11" hidden="1" x14ac:dyDescent="0.2">
      <c r="K982" t="str">
        <f t="shared" si="15"/>
        <v/>
      </c>
    </row>
    <row r="983" spans="11:11" hidden="1" x14ac:dyDescent="0.2">
      <c r="K983" t="str">
        <f t="shared" si="15"/>
        <v/>
      </c>
    </row>
    <row r="984" spans="11:11" hidden="1" x14ac:dyDescent="0.2">
      <c r="K984" t="str">
        <f t="shared" si="15"/>
        <v/>
      </c>
    </row>
    <row r="985" spans="11:11" hidden="1" x14ac:dyDescent="0.2">
      <c r="K985" t="str">
        <f t="shared" si="15"/>
        <v/>
      </c>
    </row>
    <row r="986" spans="11:11" hidden="1" x14ac:dyDescent="0.2">
      <c r="K986" t="str">
        <f t="shared" si="15"/>
        <v/>
      </c>
    </row>
    <row r="987" spans="11:11" hidden="1" x14ac:dyDescent="0.2">
      <c r="K987" t="str">
        <f t="shared" si="15"/>
        <v/>
      </c>
    </row>
    <row r="988" spans="11:11" hidden="1" x14ac:dyDescent="0.2">
      <c r="K988" t="str">
        <f t="shared" si="15"/>
        <v/>
      </c>
    </row>
    <row r="989" spans="11:11" hidden="1" x14ac:dyDescent="0.2">
      <c r="K989" t="str">
        <f t="shared" si="15"/>
        <v/>
      </c>
    </row>
    <row r="990" spans="11:11" hidden="1" x14ac:dyDescent="0.2">
      <c r="K990" t="str">
        <f t="shared" si="15"/>
        <v/>
      </c>
    </row>
    <row r="991" spans="11:11" hidden="1" x14ac:dyDescent="0.2">
      <c r="K991" t="str">
        <f t="shared" si="15"/>
        <v/>
      </c>
    </row>
    <row r="992" spans="11:11" hidden="1" x14ac:dyDescent="0.2">
      <c r="K992" t="str">
        <f t="shared" si="15"/>
        <v/>
      </c>
    </row>
    <row r="993" spans="11:11" hidden="1" x14ac:dyDescent="0.2">
      <c r="K993" t="str">
        <f t="shared" si="15"/>
        <v/>
      </c>
    </row>
    <row r="994" spans="11:11" hidden="1" x14ac:dyDescent="0.2">
      <c r="K994" t="str">
        <f t="shared" si="15"/>
        <v/>
      </c>
    </row>
    <row r="995" spans="11:11" hidden="1" x14ac:dyDescent="0.2">
      <c r="K995" t="str">
        <f t="shared" si="15"/>
        <v/>
      </c>
    </row>
    <row r="996" spans="11:11" hidden="1" x14ac:dyDescent="0.2">
      <c r="K996" t="str">
        <f t="shared" si="15"/>
        <v/>
      </c>
    </row>
    <row r="997" spans="11:11" hidden="1" x14ac:dyDescent="0.2">
      <c r="K997" t="str">
        <f t="shared" si="15"/>
        <v/>
      </c>
    </row>
    <row r="998" spans="11:11" hidden="1" x14ac:dyDescent="0.2">
      <c r="K998" t="str">
        <f t="shared" si="15"/>
        <v/>
      </c>
    </row>
    <row r="999" spans="11:11" hidden="1" x14ac:dyDescent="0.2">
      <c r="K999" t="str">
        <f t="shared" si="15"/>
        <v/>
      </c>
    </row>
    <row r="1000" spans="11:11" hidden="1" x14ac:dyDescent="0.2">
      <c r="K1000" t="str">
        <f t="shared" si="15"/>
        <v/>
      </c>
    </row>
    <row r="1001" spans="11:11" hidden="1" x14ac:dyDescent="0.2">
      <c r="K1001" t="str">
        <f t="shared" si="15"/>
        <v/>
      </c>
    </row>
    <row r="1002" spans="11:11" hidden="1" x14ac:dyDescent="0.2">
      <c r="K1002" t="str">
        <f t="shared" si="15"/>
        <v/>
      </c>
    </row>
    <row r="1003" spans="11:11" hidden="1" x14ac:dyDescent="0.2">
      <c r="K1003" t="str">
        <f t="shared" si="15"/>
        <v/>
      </c>
    </row>
    <row r="1004" spans="11:11" hidden="1" x14ac:dyDescent="0.2">
      <c r="K1004" t="str">
        <f t="shared" si="15"/>
        <v/>
      </c>
    </row>
    <row r="1005" spans="11:11" hidden="1" x14ac:dyDescent="0.2">
      <c r="K1005" t="str">
        <f t="shared" si="15"/>
        <v/>
      </c>
    </row>
    <row r="1006" spans="11:11" hidden="1" x14ac:dyDescent="0.2">
      <c r="K1006" t="str">
        <f t="shared" si="15"/>
        <v/>
      </c>
    </row>
    <row r="1007" spans="11:11" hidden="1" x14ac:dyDescent="0.2">
      <c r="K1007" t="str">
        <f t="shared" si="15"/>
        <v/>
      </c>
    </row>
    <row r="1008" spans="11:11" hidden="1" x14ac:dyDescent="0.2">
      <c r="K1008" t="str">
        <f t="shared" si="15"/>
        <v/>
      </c>
    </row>
    <row r="1009" spans="11:11" hidden="1" x14ac:dyDescent="0.2">
      <c r="K1009" t="str">
        <f t="shared" si="15"/>
        <v/>
      </c>
    </row>
    <row r="1010" spans="11:11" hidden="1" x14ac:dyDescent="0.2">
      <c r="K1010" t="str">
        <f t="shared" si="15"/>
        <v/>
      </c>
    </row>
    <row r="1011" spans="11:11" hidden="1" x14ac:dyDescent="0.2">
      <c r="K1011" t="str">
        <f t="shared" si="15"/>
        <v/>
      </c>
    </row>
    <row r="1012" spans="11:11" hidden="1" x14ac:dyDescent="0.2">
      <c r="K1012" t="str">
        <f t="shared" si="15"/>
        <v/>
      </c>
    </row>
    <row r="1013" spans="11:11" hidden="1" x14ac:dyDescent="0.2">
      <c r="K1013" t="str">
        <f t="shared" si="15"/>
        <v/>
      </c>
    </row>
    <row r="1014" spans="11:11" hidden="1" x14ac:dyDescent="0.2">
      <c r="K1014" t="str">
        <f t="shared" si="15"/>
        <v/>
      </c>
    </row>
    <row r="1015" spans="11:11" hidden="1" x14ac:dyDescent="0.2">
      <c r="K1015" t="str">
        <f t="shared" si="15"/>
        <v/>
      </c>
    </row>
    <row r="1016" spans="11:11" hidden="1" x14ac:dyDescent="0.2">
      <c r="K1016" t="str">
        <f t="shared" si="15"/>
        <v/>
      </c>
    </row>
    <row r="1017" spans="11:11" hidden="1" x14ac:dyDescent="0.2">
      <c r="K1017" t="str">
        <f t="shared" si="15"/>
        <v/>
      </c>
    </row>
    <row r="1018" spans="11:11" hidden="1" x14ac:dyDescent="0.2">
      <c r="K1018" t="str">
        <f t="shared" si="15"/>
        <v/>
      </c>
    </row>
    <row r="1019" spans="11:11" hidden="1" x14ac:dyDescent="0.2">
      <c r="K1019" t="str">
        <f t="shared" si="15"/>
        <v/>
      </c>
    </row>
    <row r="1020" spans="11:11" hidden="1" x14ac:dyDescent="0.2">
      <c r="K1020" t="str">
        <f t="shared" si="15"/>
        <v/>
      </c>
    </row>
    <row r="1021" spans="11:11" hidden="1" x14ac:dyDescent="0.2">
      <c r="K1021" t="str">
        <f t="shared" si="15"/>
        <v/>
      </c>
    </row>
    <row r="1022" spans="11:11" hidden="1" x14ac:dyDescent="0.2">
      <c r="K1022" t="str">
        <f t="shared" si="15"/>
        <v/>
      </c>
    </row>
    <row r="1023" spans="11:11" hidden="1" x14ac:dyDescent="0.2">
      <c r="K1023" t="str">
        <f t="shared" si="15"/>
        <v/>
      </c>
    </row>
    <row r="1024" spans="11:11" hidden="1" x14ac:dyDescent="0.2">
      <c r="K1024" t="str">
        <f t="shared" si="15"/>
        <v/>
      </c>
    </row>
    <row r="1025" spans="11:11" hidden="1" x14ac:dyDescent="0.2">
      <c r="K1025" t="str">
        <f t="shared" si="15"/>
        <v/>
      </c>
    </row>
    <row r="1026" spans="11:11" hidden="1" x14ac:dyDescent="0.2">
      <c r="K1026" t="str">
        <f t="shared" si="15"/>
        <v/>
      </c>
    </row>
    <row r="1027" spans="11:11" hidden="1" x14ac:dyDescent="0.2">
      <c r="K1027" t="str">
        <f t="shared" ref="K1027:K1090" si="16">MID(D1027,11,1)</f>
        <v/>
      </c>
    </row>
    <row r="1028" spans="11:11" hidden="1" x14ac:dyDescent="0.2">
      <c r="K1028" t="str">
        <f t="shared" si="16"/>
        <v/>
      </c>
    </row>
    <row r="1029" spans="11:11" hidden="1" x14ac:dyDescent="0.2">
      <c r="K1029" t="str">
        <f t="shared" si="16"/>
        <v/>
      </c>
    </row>
    <row r="1030" spans="11:11" hidden="1" x14ac:dyDescent="0.2">
      <c r="K1030" t="str">
        <f t="shared" si="16"/>
        <v/>
      </c>
    </row>
    <row r="1031" spans="11:11" hidden="1" x14ac:dyDescent="0.2">
      <c r="K1031" t="str">
        <f t="shared" si="16"/>
        <v/>
      </c>
    </row>
    <row r="1032" spans="11:11" hidden="1" x14ac:dyDescent="0.2">
      <c r="K1032" t="str">
        <f t="shared" si="16"/>
        <v/>
      </c>
    </row>
    <row r="1033" spans="11:11" hidden="1" x14ac:dyDescent="0.2">
      <c r="K1033" t="str">
        <f t="shared" si="16"/>
        <v/>
      </c>
    </row>
    <row r="1034" spans="11:11" hidden="1" x14ac:dyDescent="0.2">
      <c r="K1034" t="str">
        <f t="shared" si="16"/>
        <v/>
      </c>
    </row>
    <row r="1035" spans="11:11" hidden="1" x14ac:dyDescent="0.2">
      <c r="K1035" t="str">
        <f t="shared" si="16"/>
        <v/>
      </c>
    </row>
    <row r="1036" spans="11:11" hidden="1" x14ac:dyDescent="0.2">
      <c r="K1036" t="str">
        <f t="shared" si="16"/>
        <v/>
      </c>
    </row>
    <row r="1037" spans="11:11" hidden="1" x14ac:dyDescent="0.2">
      <c r="K1037" t="str">
        <f t="shared" si="16"/>
        <v/>
      </c>
    </row>
    <row r="1038" spans="11:11" hidden="1" x14ac:dyDescent="0.2">
      <c r="K1038" t="str">
        <f t="shared" si="16"/>
        <v/>
      </c>
    </row>
    <row r="1039" spans="11:11" hidden="1" x14ac:dyDescent="0.2">
      <c r="K1039" t="str">
        <f t="shared" si="16"/>
        <v/>
      </c>
    </row>
    <row r="1040" spans="11:11" hidden="1" x14ac:dyDescent="0.2">
      <c r="K1040" t="str">
        <f t="shared" si="16"/>
        <v/>
      </c>
    </row>
    <row r="1041" spans="11:11" hidden="1" x14ac:dyDescent="0.2">
      <c r="K1041" t="str">
        <f t="shared" si="16"/>
        <v/>
      </c>
    </row>
    <row r="1042" spans="11:11" hidden="1" x14ac:dyDescent="0.2">
      <c r="K1042" t="str">
        <f t="shared" si="16"/>
        <v/>
      </c>
    </row>
    <row r="1043" spans="11:11" hidden="1" x14ac:dyDescent="0.2">
      <c r="K1043" t="str">
        <f t="shared" si="16"/>
        <v/>
      </c>
    </row>
    <row r="1044" spans="11:11" hidden="1" x14ac:dyDescent="0.2">
      <c r="K1044" t="str">
        <f t="shared" si="16"/>
        <v/>
      </c>
    </row>
    <row r="1045" spans="11:11" hidden="1" x14ac:dyDescent="0.2">
      <c r="K1045" t="str">
        <f t="shared" si="16"/>
        <v/>
      </c>
    </row>
    <row r="1046" spans="11:11" hidden="1" x14ac:dyDescent="0.2">
      <c r="K1046" t="str">
        <f t="shared" si="16"/>
        <v/>
      </c>
    </row>
    <row r="1047" spans="11:11" hidden="1" x14ac:dyDescent="0.2">
      <c r="K1047" t="str">
        <f t="shared" si="16"/>
        <v/>
      </c>
    </row>
    <row r="1048" spans="11:11" hidden="1" x14ac:dyDescent="0.2">
      <c r="K1048" t="str">
        <f t="shared" si="16"/>
        <v/>
      </c>
    </row>
    <row r="1049" spans="11:11" hidden="1" x14ac:dyDescent="0.2">
      <c r="K1049" t="str">
        <f t="shared" si="16"/>
        <v/>
      </c>
    </row>
    <row r="1050" spans="11:11" hidden="1" x14ac:dyDescent="0.2">
      <c r="K1050" t="str">
        <f t="shared" si="16"/>
        <v/>
      </c>
    </row>
    <row r="1051" spans="11:11" hidden="1" x14ac:dyDescent="0.2">
      <c r="K1051" t="str">
        <f t="shared" si="16"/>
        <v/>
      </c>
    </row>
    <row r="1052" spans="11:11" hidden="1" x14ac:dyDescent="0.2">
      <c r="K1052" t="str">
        <f t="shared" si="16"/>
        <v/>
      </c>
    </row>
    <row r="1053" spans="11:11" hidden="1" x14ac:dyDescent="0.2">
      <c r="K1053" t="str">
        <f t="shared" si="16"/>
        <v/>
      </c>
    </row>
    <row r="1054" spans="11:11" hidden="1" x14ac:dyDescent="0.2">
      <c r="K1054" t="str">
        <f t="shared" si="16"/>
        <v/>
      </c>
    </row>
    <row r="1055" spans="11:11" hidden="1" x14ac:dyDescent="0.2">
      <c r="K1055" t="str">
        <f t="shared" si="16"/>
        <v/>
      </c>
    </row>
    <row r="1056" spans="11:11" hidden="1" x14ac:dyDescent="0.2">
      <c r="K1056" t="str">
        <f t="shared" si="16"/>
        <v/>
      </c>
    </row>
    <row r="1057" spans="11:11" hidden="1" x14ac:dyDescent="0.2">
      <c r="K1057" t="str">
        <f t="shared" si="16"/>
        <v/>
      </c>
    </row>
    <row r="1058" spans="11:11" hidden="1" x14ac:dyDescent="0.2">
      <c r="K1058" t="str">
        <f t="shared" si="16"/>
        <v/>
      </c>
    </row>
    <row r="1059" spans="11:11" hidden="1" x14ac:dyDescent="0.2">
      <c r="K1059" t="str">
        <f t="shared" si="16"/>
        <v/>
      </c>
    </row>
    <row r="1060" spans="11:11" hidden="1" x14ac:dyDescent="0.2">
      <c r="K1060" t="str">
        <f t="shared" si="16"/>
        <v/>
      </c>
    </row>
    <row r="1061" spans="11:11" hidden="1" x14ac:dyDescent="0.2">
      <c r="K1061" t="str">
        <f t="shared" si="16"/>
        <v/>
      </c>
    </row>
    <row r="1062" spans="11:11" hidden="1" x14ac:dyDescent="0.2">
      <c r="K1062" t="str">
        <f t="shared" si="16"/>
        <v/>
      </c>
    </row>
    <row r="1063" spans="11:11" hidden="1" x14ac:dyDescent="0.2">
      <c r="K1063" t="str">
        <f t="shared" si="16"/>
        <v/>
      </c>
    </row>
    <row r="1064" spans="11:11" hidden="1" x14ac:dyDescent="0.2">
      <c r="K1064" t="str">
        <f t="shared" si="16"/>
        <v/>
      </c>
    </row>
    <row r="1065" spans="11:11" hidden="1" x14ac:dyDescent="0.2">
      <c r="K1065" t="str">
        <f t="shared" si="16"/>
        <v/>
      </c>
    </row>
    <row r="1066" spans="11:11" hidden="1" x14ac:dyDescent="0.2">
      <c r="K1066" t="str">
        <f t="shared" si="16"/>
        <v/>
      </c>
    </row>
    <row r="1067" spans="11:11" hidden="1" x14ac:dyDescent="0.2">
      <c r="K1067" t="str">
        <f t="shared" si="16"/>
        <v/>
      </c>
    </row>
    <row r="1068" spans="11:11" hidden="1" x14ac:dyDescent="0.2">
      <c r="K1068" t="str">
        <f t="shared" si="16"/>
        <v/>
      </c>
    </row>
    <row r="1069" spans="11:11" hidden="1" x14ac:dyDescent="0.2">
      <c r="K1069" t="str">
        <f t="shared" si="16"/>
        <v/>
      </c>
    </row>
    <row r="1070" spans="11:11" hidden="1" x14ac:dyDescent="0.2">
      <c r="K1070" t="str">
        <f t="shared" si="16"/>
        <v/>
      </c>
    </row>
    <row r="1071" spans="11:11" hidden="1" x14ac:dyDescent="0.2">
      <c r="K1071" t="str">
        <f t="shared" si="16"/>
        <v/>
      </c>
    </row>
    <row r="1072" spans="11:11" hidden="1" x14ac:dyDescent="0.2">
      <c r="K1072" t="str">
        <f t="shared" si="16"/>
        <v/>
      </c>
    </row>
    <row r="1073" spans="11:11" hidden="1" x14ac:dyDescent="0.2">
      <c r="K1073" t="str">
        <f t="shared" si="16"/>
        <v/>
      </c>
    </row>
    <row r="1074" spans="11:11" hidden="1" x14ac:dyDescent="0.2">
      <c r="K1074" t="str">
        <f t="shared" si="16"/>
        <v/>
      </c>
    </row>
    <row r="1075" spans="11:11" hidden="1" x14ac:dyDescent="0.2">
      <c r="K1075" t="str">
        <f t="shared" si="16"/>
        <v/>
      </c>
    </row>
    <row r="1076" spans="11:11" hidden="1" x14ac:dyDescent="0.2">
      <c r="K1076" t="str">
        <f t="shared" si="16"/>
        <v/>
      </c>
    </row>
    <row r="1077" spans="11:11" hidden="1" x14ac:dyDescent="0.2">
      <c r="K1077" t="str">
        <f t="shared" si="16"/>
        <v/>
      </c>
    </row>
    <row r="1078" spans="11:11" hidden="1" x14ac:dyDescent="0.2">
      <c r="K1078" t="str">
        <f t="shared" si="16"/>
        <v/>
      </c>
    </row>
    <row r="1079" spans="11:11" hidden="1" x14ac:dyDescent="0.2">
      <c r="K1079" t="str">
        <f t="shared" si="16"/>
        <v/>
      </c>
    </row>
    <row r="1080" spans="11:11" hidden="1" x14ac:dyDescent="0.2">
      <c r="K1080" t="str">
        <f t="shared" si="16"/>
        <v/>
      </c>
    </row>
    <row r="1081" spans="11:11" hidden="1" x14ac:dyDescent="0.2">
      <c r="K1081" t="str">
        <f t="shared" si="16"/>
        <v/>
      </c>
    </row>
    <row r="1082" spans="11:11" hidden="1" x14ac:dyDescent="0.2">
      <c r="K1082" t="str">
        <f t="shared" si="16"/>
        <v/>
      </c>
    </row>
    <row r="1083" spans="11:11" hidden="1" x14ac:dyDescent="0.2">
      <c r="K1083" t="str">
        <f t="shared" si="16"/>
        <v/>
      </c>
    </row>
    <row r="1084" spans="11:11" hidden="1" x14ac:dyDescent="0.2">
      <c r="K1084" t="str">
        <f t="shared" si="16"/>
        <v/>
      </c>
    </row>
    <row r="1085" spans="11:11" hidden="1" x14ac:dyDescent="0.2">
      <c r="K1085" t="str">
        <f t="shared" si="16"/>
        <v/>
      </c>
    </row>
    <row r="1086" spans="11:11" hidden="1" x14ac:dyDescent="0.2">
      <c r="K1086" t="str">
        <f t="shared" si="16"/>
        <v/>
      </c>
    </row>
    <row r="1087" spans="11:11" hidden="1" x14ac:dyDescent="0.2">
      <c r="K1087" t="str">
        <f t="shared" si="16"/>
        <v/>
      </c>
    </row>
    <row r="1088" spans="11:11" hidden="1" x14ac:dyDescent="0.2">
      <c r="K1088" t="str">
        <f t="shared" si="16"/>
        <v/>
      </c>
    </row>
    <row r="1089" spans="11:11" hidden="1" x14ac:dyDescent="0.2">
      <c r="K1089" t="str">
        <f t="shared" si="16"/>
        <v/>
      </c>
    </row>
    <row r="1090" spans="11:11" hidden="1" x14ac:dyDescent="0.2">
      <c r="K1090" t="str">
        <f t="shared" si="16"/>
        <v/>
      </c>
    </row>
    <row r="1091" spans="11:11" hidden="1" x14ac:dyDescent="0.2">
      <c r="K1091" t="str">
        <f t="shared" ref="K1091:K1111" si="17">MID(D1091,11,1)</f>
        <v/>
      </c>
    </row>
    <row r="1092" spans="11:11" hidden="1" x14ac:dyDescent="0.2">
      <c r="K1092" t="str">
        <f t="shared" si="17"/>
        <v/>
      </c>
    </row>
    <row r="1093" spans="11:11" hidden="1" x14ac:dyDescent="0.2">
      <c r="K1093" t="str">
        <f t="shared" si="17"/>
        <v/>
      </c>
    </row>
    <row r="1094" spans="11:11" hidden="1" x14ac:dyDescent="0.2">
      <c r="K1094" t="str">
        <f t="shared" si="17"/>
        <v/>
      </c>
    </row>
    <row r="1095" spans="11:11" hidden="1" x14ac:dyDescent="0.2">
      <c r="K1095" t="str">
        <f t="shared" si="17"/>
        <v/>
      </c>
    </row>
    <row r="1096" spans="11:11" hidden="1" x14ac:dyDescent="0.2">
      <c r="K1096" t="str">
        <f t="shared" si="17"/>
        <v/>
      </c>
    </row>
    <row r="1097" spans="11:11" hidden="1" x14ac:dyDescent="0.2">
      <c r="K1097" t="str">
        <f t="shared" si="17"/>
        <v/>
      </c>
    </row>
    <row r="1098" spans="11:11" hidden="1" x14ac:dyDescent="0.2">
      <c r="K1098" t="str">
        <f t="shared" si="17"/>
        <v/>
      </c>
    </row>
    <row r="1099" spans="11:11" hidden="1" x14ac:dyDescent="0.2">
      <c r="K1099" t="str">
        <f t="shared" si="17"/>
        <v/>
      </c>
    </row>
    <row r="1100" spans="11:11" hidden="1" x14ac:dyDescent="0.2">
      <c r="K1100" t="str">
        <f t="shared" si="17"/>
        <v/>
      </c>
    </row>
    <row r="1101" spans="11:11" hidden="1" x14ac:dyDescent="0.2">
      <c r="K1101" t="str">
        <f t="shared" si="17"/>
        <v/>
      </c>
    </row>
    <row r="1102" spans="11:11" hidden="1" x14ac:dyDescent="0.2">
      <c r="K1102" t="str">
        <f t="shared" si="17"/>
        <v/>
      </c>
    </row>
    <row r="1103" spans="11:11" hidden="1" x14ac:dyDescent="0.2">
      <c r="K1103" t="str">
        <f t="shared" si="17"/>
        <v/>
      </c>
    </row>
    <row r="1104" spans="11:11" hidden="1" x14ac:dyDescent="0.2">
      <c r="K1104" t="str">
        <f t="shared" si="17"/>
        <v/>
      </c>
    </row>
    <row r="1105" spans="11:11" hidden="1" x14ac:dyDescent="0.2">
      <c r="K1105" t="str">
        <f t="shared" si="17"/>
        <v/>
      </c>
    </row>
    <row r="1106" spans="11:11" hidden="1" x14ac:dyDescent="0.2">
      <c r="K1106" t="str">
        <f t="shared" si="17"/>
        <v/>
      </c>
    </row>
    <row r="1107" spans="11:11" hidden="1" x14ac:dyDescent="0.2">
      <c r="K1107" t="str">
        <f t="shared" si="17"/>
        <v/>
      </c>
    </row>
    <row r="1108" spans="11:11" hidden="1" x14ac:dyDescent="0.2">
      <c r="K1108" t="str">
        <f t="shared" si="17"/>
        <v/>
      </c>
    </row>
    <row r="1109" spans="11:11" hidden="1" x14ac:dyDescent="0.2">
      <c r="K1109" t="str">
        <f t="shared" si="17"/>
        <v/>
      </c>
    </row>
    <row r="1110" spans="11:11" hidden="1" x14ac:dyDescent="0.2">
      <c r="K1110" t="str">
        <f t="shared" si="17"/>
        <v/>
      </c>
    </row>
    <row r="1111" spans="11:11" hidden="1" x14ac:dyDescent="0.2">
      <c r="K1111" t="str">
        <f t="shared" si="17"/>
        <v/>
      </c>
    </row>
    <row r="1112" spans="11:11" hidden="1" x14ac:dyDescent="0.2"/>
    <row r="1113" spans="11:11" hidden="1" x14ac:dyDescent="0.2"/>
    <row r="1114" spans="11:11" hidden="1" x14ac:dyDescent="0.2"/>
    <row r="1115" spans="11:11" hidden="1" x14ac:dyDescent="0.2"/>
    <row r="1116" spans="11:11" hidden="1" x14ac:dyDescent="0.2"/>
    <row r="1117" spans="11:11" hidden="1" x14ac:dyDescent="0.2"/>
    <row r="1118" spans="11:11" hidden="1" x14ac:dyDescent="0.2"/>
    <row r="1119" spans="11:11" hidden="1" x14ac:dyDescent="0.2"/>
    <row r="1120" spans="11:11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</sheetData>
  <autoFilter ref="K1:K1125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>
    <tabColor theme="9" tint="0.39997558519241921"/>
  </sheetPr>
  <dimension ref="A1:IH8"/>
  <sheetViews>
    <sheetView tabSelected="1" zoomScale="94" zoomScaleNormal="40" zoomScalePageLayoutView="40" workbookViewId="0">
      <selection activeCell="D12" sqref="D12"/>
    </sheetView>
  </sheetViews>
  <sheetFormatPr baseColWidth="10" defaultColWidth="11.5" defaultRowHeight="15" x14ac:dyDescent="0.2"/>
  <cols>
    <col min="1" max="1" width="20" bestFit="1" customWidth="1"/>
  </cols>
  <sheetData>
    <row r="1" spans="1:242" x14ac:dyDescent="0.2">
      <c r="A1" s="1" t="s">
        <v>2641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1"/>
      <c r="N1" s="3"/>
      <c r="O1" s="1"/>
      <c r="P1" s="1"/>
      <c r="Q1" s="1"/>
      <c r="R1" s="1"/>
      <c r="S1" s="1"/>
      <c r="T1" s="1"/>
      <c r="U1" s="1"/>
      <c r="V1" s="4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</row>
    <row r="2" spans="1:242" x14ac:dyDescent="0.2">
      <c r="A2" t="s">
        <v>1987</v>
      </c>
      <c r="B2">
        <v>-1.3247248</v>
      </c>
      <c r="C2">
        <v>-0.27667596666666666</v>
      </c>
      <c r="D2">
        <v>-1.3247248</v>
      </c>
      <c r="E2">
        <v>-0.27667596666666666</v>
      </c>
      <c r="F2">
        <v>-1.3462333333333334</v>
      </c>
      <c r="G2">
        <v>-0.30344740000000003</v>
      </c>
      <c r="H2">
        <v>-1.3027540000000002</v>
      </c>
      <c r="I2">
        <v>-0.26316003333333332</v>
      </c>
      <c r="J2">
        <v>-1.3423210000000001</v>
      </c>
      <c r="K2">
        <v>-0.30123880000000003</v>
      </c>
      <c r="L2">
        <v>-1.2021119666666664</v>
      </c>
      <c r="M2">
        <v>-0.26063976666666672</v>
      </c>
      <c r="N2">
        <v>-1.2021119666666664</v>
      </c>
      <c r="O2">
        <v>-0.26063976666666672</v>
      </c>
      <c r="P2">
        <v>-1.2613606666666666</v>
      </c>
      <c r="Q2">
        <v>-0.29423319999999997</v>
      </c>
      <c r="R2">
        <v>-1.222709</v>
      </c>
      <c r="S2">
        <v>-0.25828593333333333</v>
      </c>
      <c r="T2">
        <v>-1.2579346666666666</v>
      </c>
      <c r="U2">
        <v>-0.29197113333333335</v>
      </c>
      <c r="V2">
        <v>-1.1556364000000001</v>
      </c>
      <c r="W2">
        <v>-0.25351493333333336</v>
      </c>
      <c r="X2">
        <v>-1.1556364000000001</v>
      </c>
      <c r="Y2">
        <v>-0.25351493333333336</v>
      </c>
      <c r="Z2">
        <v>-1.2177043333333333</v>
      </c>
      <c r="AA2">
        <v>-0.28919696666666667</v>
      </c>
      <c r="AB2">
        <v>-1.1768536666666667</v>
      </c>
      <c r="AC2">
        <v>-0.25029973333333333</v>
      </c>
      <c r="AD2">
        <v>-1.2214770000000001</v>
      </c>
      <c r="AE2">
        <v>-0.29180990000000001</v>
      </c>
      <c r="AF2">
        <v>-1.1234211666666667</v>
      </c>
      <c r="AG2">
        <v>-0.24892036666666667</v>
      </c>
      <c r="AH2">
        <v>-1.1234211666666667</v>
      </c>
      <c r="AI2">
        <v>-0.24892036666666667</v>
      </c>
      <c r="AJ2">
        <v>-1.1866283333333332</v>
      </c>
      <c r="AK2">
        <v>-0.28220623333333333</v>
      </c>
      <c r="AL2">
        <v>-1.1487056666666668</v>
      </c>
      <c r="AM2">
        <v>-0.24421333333333331</v>
      </c>
      <c r="AN2">
        <v>-1.1972863333333332</v>
      </c>
      <c r="AO2">
        <v>-0.28801470000000007</v>
      </c>
      <c r="AP2">
        <v>-1.1033740333333335</v>
      </c>
      <c r="AQ2">
        <v>-0.2479489</v>
      </c>
      <c r="AR2">
        <v>-1.1033740333333335</v>
      </c>
      <c r="AS2">
        <v>-0.2479489</v>
      </c>
      <c r="AT2">
        <v>-1.1685588666666669</v>
      </c>
      <c r="AU2">
        <v>-0.2811055666666667</v>
      </c>
      <c r="AV2">
        <v>-1.1309812333333333</v>
      </c>
      <c r="AW2">
        <v>-0.23988250000000005</v>
      </c>
      <c r="AX2">
        <v>-1.1800569999999999</v>
      </c>
      <c r="AY2">
        <v>-0.28260563333333327</v>
      </c>
      <c r="AZ2">
        <v>-1.0953932000000002</v>
      </c>
      <c r="BA2">
        <v>-0.24484996666666664</v>
      </c>
      <c r="BB2">
        <v>-1.0953932000000002</v>
      </c>
      <c r="BC2">
        <v>-0.24484996666666664</v>
      </c>
      <c r="BD2">
        <v>-1.1615050666666664</v>
      </c>
      <c r="BE2">
        <v>-0.27561803333333329</v>
      </c>
      <c r="BF2">
        <v>-1.1346822000000001</v>
      </c>
      <c r="BG2">
        <v>-0.23670059999999998</v>
      </c>
      <c r="BH2">
        <v>-1.1796806666666666</v>
      </c>
      <c r="BI2">
        <v>-0.27466946666666664</v>
      </c>
      <c r="BJ2">
        <v>-1.1288484333333333</v>
      </c>
      <c r="BK2">
        <v>-0.24224286666666667</v>
      </c>
      <c r="BL2">
        <v>-1.1288484333333333</v>
      </c>
      <c r="BM2">
        <v>-0.24224286666666667</v>
      </c>
      <c r="BN2">
        <v>-1.1972643333333333</v>
      </c>
      <c r="BO2">
        <v>-0.2708795</v>
      </c>
      <c r="BP2">
        <v>-1.1960900000000001</v>
      </c>
      <c r="BQ2">
        <v>-0.22819950000000003</v>
      </c>
      <c r="BR2">
        <v>-1.2516320000000001</v>
      </c>
      <c r="BS2">
        <v>-0.26723930000000001</v>
      </c>
      <c r="BT2">
        <v>-1.0850231666666665</v>
      </c>
      <c r="BU2">
        <v>-0.28168890000000002</v>
      </c>
      <c r="BV2">
        <v>-1.0850231666666665</v>
      </c>
      <c r="BW2">
        <v>-0.28168890000000002</v>
      </c>
      <c r="BX2">
        <v>-1.1572999333333334</v>
      </c>
      <c r="BY2">
        <v>-0.31317576666666669</v>
      </c>
      <c r="BZ2">
        <v>-1.2026108333333332</v>
      </c>
      <c r="CA2">
        <v>-0.253455125</v>
      </c>
      <c r="CB2">
        <v>-1.2669636666666666</v>
      </c>
      <c r="CC2">
        <v>-0.32012566666666664</v>
      </c>
      <c r="CD2">
        <v>-1.0925963999999999</v>
      </c>
      <c r="CE2">
        <v>-0.39678930000000001</v>
      </c>
      <c r="CF2">
        <v>-1.0925963999999999</v>
      </c>
      <c r="CG2">
        <v>-0.39678930000000001</v>
      </c>
      <c r="CH2">
        <v>-1.1712868333333335</v>
      </c>
      <c r="CI2">
        <v>-0.43861353333333336</v>
      </c>
      <c r="CJ2">
        <v>-1.1618780000000002</v>
      </c>
      <c r="CK2">
        <v>-0.40031530000000004</v>
      </c>
      <c r="CL2">
        <v>-1.2262826666666666</v>
      </c>
      <c r="CM2">
        <v>-0.45028753333333338</v>
      </c>
      <c r="CN2">
        <v>-1.1047910999999999</v>
      </c>
      <c r="CO2">
        <v>-0.40705813333333329</v>
      </c>
      <c r="CP2">
        <v>-1.1047910999999999</v>
      </c>
      <c r="CQ2">
        <v>-0.40705813333333329</v>
      </c>
      <c r="CR2">
        <v>-1.1542799000000001</v>
      </c>
      <c r="CS2">
        <v>-0.43598576666666677</v>
      </c>
      <c r="CT2">
        <v>-1.1094816666666667</v>
      </c>
      <c r="CU2">
        <v>-0.39049289999999998</v>
      </c>
      <c r="CV2">
        <v>-1.1665769333333333</v>
      </c>
      <c r="CW2">
        <v>-0.43688773333333336</v>
      </c>
      <c r="CX2">
        <v>-1.0795971333333334</v>
      </c>
      <c r="CY2">
        <v>-0.37626349999999997</v>
      </c>
      <c r="CZ2">
        <v>-1.0795971333333334</v>
      </c>
      <c r="DA2">
        <v>-0.37626349999999997</v>
      </c>
      <c r="DB2">
        <v>-1.1105174333333334</v>
      </c>
      <c r="DC2">
        <v>-0.39811323333333332</v>
      </c>
      <c r="DD2">
        <v>-1.0724445333333334</v>
      </c>
      <c r="DE2">
        <v>-0.35489816666666663</v>
      </c>
      <c r="DF2">
        <v>-1.1189800999999999</v>
      </c>
      <c r="DG2">
        <v>-0.39332070000000002</v>
      </c>
      <c r="DH2">
        <v>-1.0198504333333331</v>
      </c>
      <c r="DI2">
        <v>-0.35354503333333331</v>
      </c>
      <c r="DJ2">
        <v>-1.0198504333333331</v>
      </c>
      <c r="DK2">
        <v>-0.35354503333333331</v>
      </c>
      <c r="DL2">
        <v>-1.0895660666666664</v>
      </c>
      <c r="DM2">
        <v>-0.3790756666666667</v>
      </c>
      <c r="DN2">
        <v>-1.0675155666666665</v>
      </c>
      <c r="DO2">
        <v>-0.34591526666666667</v>
      </c>
      <c r="DP2">
        <v>-1.1040537666666668</v>
      </c>
      <c r="DQ2">
        <v>-0.37612343333333337</v>
      </c>
      <c r="DR2">
        <v>-1.0094082333333332</v>
      </c>
      <c r="DS2">
        <v>-0.35107156666666672</v>
      </c>
      <c r="DT2">
        <v>-1.0094082333333332</v>
      </c>
      <c r="DU2">
        <v>-0.35107156666666672</v>
      </c>
      <c r="DV2">
        <v>-1.0968181333333333</v>
      </c>
      <c r="DW2">
        <v>-0.37884106666666667</v>
      </c>
      <c r="DX2">
        <v>-1.0917192</v>
      </c>
      <c r="DY2">
        <v>-0.34917926666666665</v>
      </c>
      <c r="DZ2">
        <v>-1.1235544000000002</v>
      </c>
      <c r="EA2">
        <v>-0.38157656666666667</v>
      </c>
      <c r="EB2">
        <v>-1.096935</v>
      </c>
      <c r="EC2">
        <v>-0.37983630000000002</v>
      </c>
      <c r="ED2">
        <v>-1.096935</v>
      </c>
      <c r="EE2">
        <v>-0.37983630000000002</v>
      </c>
      <c r="EF2">
        <v>-1.1178984666666667</v>
      </c>
      <c r="EG2">
        <v>-0.39009593333333337</v>
      </c>
      <c r="EH2">
        <v>-1.1309656666666665</v>
      </c>
      <c r="EI2">
        <v>-0.36568976666666664</v>
      </c>
      <c r="EJ2">
        <v>-1.1561716666666666</v>
      </c>
      <c r="EK2">
        <v>-0.39801729999999996</v>
      </c>
      <c r="EL2">
        <v>-1.1289446666666667</v>
      </c>
      <c r="EM2">
        <v>-0.39188213333333333</v>
      </c>
      <c r="EN2">
        <v>-1.1289446666666667</v>
      </c>
      <c r="EO2">
        <v>-0.39188213333333333</v>
      </c>
      <c r="EP2">
        <v>-1.1147001666666667</v>
      </c>
      <c r="EQ2">
        <v>-0.38922600000000002</v>
      </c>
      <c r="ER2">
        <v>-1.1477288666666667</v>
      </c>
      <c r="ES2">
        <v>-0.37545630000000008</v>
      </c>
      <c r="ET2">
        <v>-1.1655409999999999</v>
      </c>
      <c r="EU2">
        <v>-0.40482903333333331</v>
      </c>
      <c r="EV2">
        <v>-1.1443383333333332</v>
      </c>
      <c r="EW2">
        <v>-0.40067779999999997</v>
      </c>
      <c r="EX2">
        <v>-1.1443383333333332</v>
      </c>
      <c r="EY2">
        <v>-0.40067779999999997</v>
      </c>
      <c r="EZ2">
        <v>-1.153546</v>
      </c>
      <c r="FA2">
        <v>-0.41386483333333335</v>
      </c>
      <c r="FB2">
        <v>-1.1697433333333334</v>
      </c>
      <c r="FC2">
        <v>-0.38492686666666664</v>
      </c>
      <c r="FD2">
        <v>-1.1831576666666668</v>
      </c>
      <c r="FE2">
        <v>-0.41909130000000011</v>
      </c>
      <c r="FF2">
        <v>-1.1612246666666666</v>
      </c>
      <c r="FG2">
        <v>-0.41767503333333333</v>
      </c>
      <c r="FH2">
        <v>-1.1612246666666666</v>
      </c>
      <c r="FI2">
        <v>-0.41767503333333333</v>
      </c>
      <c r="FJ2">
        <v>-1.1165122999999999</v>
      </c>
      <c r="FK2">
        <v>-0.40298256666666676</v>
      </c>
      <c r="FL2">
        <v>-1.1821926666666667</v>
      </c>
      <c r="FM2">
        <v>-0.39464866666666659</v>
      </c>
      <c r="FN2">
        <v>-1.2063089999999999</v>
      </c>
      <c r="FO2">
        <v>-0.43903133333333333</v>
      </c>
      <c r="FP2">
        <v>-1.1497583333333332</v>
      </c>
      <c r="FQ2">
        <v>-0.41364823333333334</v>
      </c>
      <c r="FR2">
        <v>-1.1497583333333332</v>
      </c>
      <c r="FS2">
        <v>-0.41364823333333334</v>
      </c>
      <c r="FT2">
        <v>-1.1064384333333332</v>
      </c>
      <c r="FU2">
        <v>-0.39609916666666667</v>
      </c>
      <c r="FV2">
        <v>-1.1768233333333336</v>
      </c>
      <c r="FW2">
        <v>-0.39497923333333335</v>
      </c>
      <c r="FX2">
        <v>-1.203695</v>
      </c>
      <c r="FY2">
        <v>-0.43162076666666671</v>
      </c>
      <c r="FZ2">
        <v>-1.1412799999999999</v>
      </c>
      <c r="GA2">
        <v>-0.39209559999999993</v>
      </c>
      <c r="GB2">
        <v>-1.1412799999999999</v>
      </c>
      <c r="GC2">
        <v>-0.39209559999999993</v>
      </c>
      <c r="GD2">
        <v>-1.1021029666666666</v>
      </c>
      <c r="GE2">
        <v>-0.36905073333333327</v>
      </c>
      <c r="GF2">
        <v>-1.1518563333333334</v>
      </c>
      <c r="GG2">
        <v>-0.37634826666666676</v>
      </c>
      <c r="GH2">
        <v>-1.1708186666666667</v>
      </c>
      <c r="GI2">
        <v>-0.40319783333333331</v>
      </c>
      <c r="GJ2">
        <v>-1.1848639999999999</v>
      </c>
      <c r="GK2">
        <v>-0.35838886666666669</v>
      </c>
      <c r="GL2">
        <v>-1.1848639999999999</v>
      </c>
      <c r="GM2">
        <v>-0.35838886666666669</v>
      </c>
      <c r="GN2">
        <v>-1.1581551000000001</v>
      </c>
      <c r="GO2">
        <v>-0.3367479333333333</v>
      </c>
      <c r="GP2">
        <v>-1.1832045</v>
      </c>
      <c r="GQ2">
        <v>-0.33813726666666666</v>
      </c>
      <c r="GR2">
        <v>-1.2055368999999998</v>
      </c>
      <c r="GS2">
        <v>-0.36591393333333333</v>
      </c>
      <c r="GT2">
        <v>-1.6306389999999999</v>
      </c>
      <c r="GU2">
        <v>-0.30467417000000002</v>
      </c>
      <c r="GV2">
        <v>-1.6306389999999999</v>
      </c>
      <c r="GW2">
        <v>-0.30467417000000002</v>
      </c>
      <c r="GX2">
        <v>-1.6517866333333333</v>
      </c>
      <c r="GY2">
        <v>-0.30901744999999997</v>
      </c>
      <c r="GZ2">
        <v>-1.6416633333333333</v>
      </c>
      <c r="HA2">
        <v>-0.28908856666666666</v>
      </c>
      <c r="HB2">
        <v>-1.6763413333333332</v>
      </c>
      <c r="HC2">
        <v>-0.3212019333333333</v>
      </c>
      <c r="HD2">
        <v>-1.9025183333333335</v>
      </c>
      <c r="HE2">
        <v>-0.30697863333333331</v>
      </c>
      <c r="HF2">
        <v>-1.9025183333333335</v>
      </c>
      <c r="HG2">
        <v>-0.30697863333333331</v>
      </c>
      <c r="HH2">
        <v>-1.8809533333333335</v>
      </c>
      <c r="HI2">
        <v>-0.30934066666666665</v>
      </c>
      <c r="HJ2">
        <v>-1.8961563333333333</v>
      </c>
      <c r="HK2">
        <v>-0.28129436666666663</v>
      </c>
      <c r="HL2">
        <v>-1.9162383333333335</v>
      </c>
      <c r="HM2">
        <v>-0.31995089999999998</v>
      </c>
      <c r="HN2">
        <v>-1.7706096666666664</v>
      </c>
      <c r="HO2">
        <v>-0.30683906666666666</v>
      </c>
      <c r="HP2">
        <v>-1.7706096666666664</v>
      </c>
      <c r="HQ2">
        <v>-0.30683906666666666</v>
      </c>
      <c r="HR2">
        <v>-1.7356853333333333</v>
      </c>
      <c r="HS2">
        <v>-0.29541193333333332</v>
      </c>
      <c r="HT2">
        <v>-1.7663156666666666</v>
      </c>
      <c r="HU2">
        <v>-0.28184193333333329</v>
      </c>
      <c r="HV2">
        <v>-1.7798179999999999</v>
      </c>
      <c r="HW2">
        <v>-0.31531823333333331</v>
      </c>
      <c r="HX2">
        <v>-1.5149436666666669</v>
      </c>
      <c r="HY2">
        <v>-0.30400326666666666</v>
      </c>
      <c r="HZ2">
        <v>-1.5149436666666669</v>
      </c>
      <c r="IA2">
        <v>-0.30400326666666666</v>
      </c>
      <c r="IB2">
        <v>-1.5191363333333332</v>
      </c>
      <c r="IC2">
        <v>-0.2896051</v>
      </c>
      <c r="ID2">
        <v>-1.4689163333333333</v>
      </c>
      <c r="IE2">
        <v>-0.26684306666666668</v>
      </c>
      <c r="IF2">
        <v>-1.517952</v>
      </c>
      <c r="IG2">
        <v>-0.30227560000000003</v>
      </c>
    </row>
    <row r="3" spans="1:242" x14ac:dyDescent="0.2">
      <c r="A3" t="s">
        <v>2642</v>
      </c>
      <c r="B3">
        <v>-1.2709283333333332</v>
      </c>
      <c r="C3">
        <v>-0.27920987499999994</v>
      </c>
      <c r="D3">
        <v>-1.3247248</v>
      </c>
      <c r="E3">
        <v>-0.27667596666666666</v>
      </c>
      <c r="F3">
        <v>-1.3462333333333334</v>
      </c>
      <c r="G3">
        <v>-0.30344740000000003</v>
      </c>
      <c r="H3">
        <v>-1.3027540000000002</v>
      </c>
      <c r="I3">
        <v>-0.26316003333333332</v>
      </c>
      <c r="J3">
        <v>-1.3848112499999998</v>
      </c>
      <c r="K3">
        <v>-0.33202562499999999</v>
      </c>
      <c r="L3">
        <v>-1.1912879166666666</v>
      </c>
      <c r="M3">
        <v>-0.26550849999999998</v>
      </c>
      <c r="N3">
        <v>-1.2021119666666664</v>
      </c>
      <c r="O3">
        <v>-0.26063976666666672</v>
      </c>
      <c r="P3">
        <v>-1.2613606666666666</v>
      </c>
      <c r="Q3">
        <v>-0.29423319999999997</v>
      </c>
      <c r="R3">
        <v>-1.222709</v>
      </c>
      <c r="S3">
        <v>-0.25828593333333333</v>
      </c>
      <c r="T3">
        <v>-1.3000295833333333</v>
      </c>
      <c r="U3">
        <v>-0.32549191666666666</v>
      </c>
      <c r="V3">
        <v>-1.1569212500000001</v>
      </c>
      <c r="W3">
        <v>-0.2605055</v>
      </c>
      <c r="X3">
        <v>-1.1556364000000001</v>
      </c>
      <c r="Y3">
        <v>-0.25351493333333336</v>
      </c>
      <c r="Z3">
        <v>-1.2177043333333333</v>
      </c>
      <c r="AA3">
        <v>-0.28919696666666667</v>
      </c>
      <c r="AB3">
        <v>-1.1768536666666667</v>
      </c>
      <c r="AC3">
        <v>-0.25029973333333333</v>
      </c>
      <c r="AD3">
        <v>-1.26160125</v>
      </c>
      <c r="AE3">
        <v>-0.32570749999999998</v>
      </c>
      <c r="AF3">
        <v>-1.1365912499999999</v>
      </c>
      <c r="AG3">
        <v>-0.254687</v>
      </c>
      <c r="AH3">
        <v>-1.1234211666666667</v>
      </c>
      <c r="AI3">
        <v>-0.24892036666666667</v>
      </c>
      <c r="AJ3">
        <v>-1.1866283333333332</v>
      </c>
      <c r="AK3">
        <v>-0.28220623333333333</v>
      </c>
      <c r="AL3">
        <v>-1.1487056666666668</v>
      </c>
      <c r="AM3">
        <v>-0.24421333333333331</v>
      </c>
      <c r="AN3">
        <v>-1.2351937500000001</v>
      </c>
      <c r="AO3">
        <v>-0.32046541666666672</v>
      </c>
      <c r="AP3">
        <v>-1.1245716666666667</v>
      </c>
      <c r="AQ3">
        <v>-0.25154112499999998</v>
      </c>
      <c r="AR3">
        <v>-1.1033740333333335</v>
      </c>
      <c r="AS3">
        <v>-0.2479489</v>
      </c>
      <c r="AT3">
        <v>-1.1685588666666669</v>
      </c>
      <c r="AU3">
        <v>-0.2811055666666667</v>
      </c>
      <c r="AV3">
        <v>-1.1309812333333333</v>
      </c>
      <c r="AW3">
        <v>-0.23988250000000005</v>
      </c>
      <c r="AX3">
        <v>-1.21756</v>
      </c>
      <c r="AY3">
        <v>-0.3149918333333333</v>
      </c>
      <c r="AZ3">
        <v>-1.1272695833333335</v>
      </c>
      <c r="BA3">
        <v>-0.24455745833333334</v>
      </c>
      <c r="BB3">
        <v>-1.0953932000000002</v>
      </c>
      <c r="BC3">
        <v>-0.24484996666666664</v>
      </c>
      <c r="BD3">
        <v>-1.1615050666666664</v>
      </c>
      <c r="BE3">
        <v>-0.27561803333333329</v>
      </c>
      <c r="BF3">
        <v>-1.1346822000000001</v>
      </c>
      <c r="BG3">
        <v>-0.23670059999999998</v>
      </c>
      <c r="BH3">
        <v>-1.2169904166666665</v>
      </c>
      <c r="BI3">
        <v>-0.30703220833333333</v>
      </c>
      <c r="BJ3">
        <v>-1.2234570833333334</v>
      </c>
      <c r="BK3">
        <v>-0.24111783333333334</v>
      </c>
      <c r="BL3">
        <v>-1.1288484333333333</v>
      </c>
      <c r="BM3">
        <v>-0.24224286666666667</v>
      </c>
      <c r="BN3">
        <v>-1.1972643333333333</v>
      </c>
      <c r="BO3">
        <v>-0.2708795</v>
      </c>
      <c r="BP3">
        <v>-1.1960900000000001</v>
      </c>
      <c r="BQ3">
        <v>-0.22819950000000003</v>
      </c>
      <c r="BR3">
        <v>-1.2852929166666667</v>
      </c>
      <c r="BS3">
        <v>-0.30016120833333332</v>
      </c>
      <c r="BT3">
        <v>-1.2536383333333334</v>
      </c>
      <c r="BU3">
        <v>-0.30906841666666662</v>
      </c>
      <c r="BV3">
        <v>-1.0850231666666665</v>
      </c>
      <c r="BW3">
        <v>-0.28168890000000002</v>
      </c>
      <c r="BX3">
        <v>-1.1572999333333334</v>
      </c>
      <c r="BY3">
        <v>-0.31317576666666669</v>
      </c>
      <c r="BZ3">
        <v>-1.2026108333333332</v>
      </c>
      <c r="CA3">
        <v>-0.253455125</v>
      </c>
      <c r="CB3">
        <v>-1.2967075000000001</v>
      </c>
      <c r="CC3">
        <v>-0.35692341666666666</v>
      </c>
      <c r="CD3">
        <v>-1.1858658333333334</v>
      </c>
      <c r="CE3">
        <v>-0.4370168333333333</v>
      </c>
      <c r="CF3">
        <v>-1.0925963999999999</v>
      </c>
      <c r="CG3">
        <v>-0.39678930000000001</v>
      </c>
      <c r="CH3">
        <v>-1.1712868333333335</v>
      </c>
      <c r="CI3">
        <v>-0.43861353333333336</v>
      </c>
      <c r="CJ3">
        <v>-1.1618780000000002</v>
      </c>
      <c r="CK3">
        <v>-0.40031530000000004</v>
      </c>
      <c r="CL3">
        <v>-1.2664054166666667</v>
      </c>
      <c r="CM3">
        <v>-0.48539341666666669</v>
      </c>
      <c r="CN3">
        <v>-1.10326825</v>
      </c>
      <c r="CO3">
        <v>-0.40595124999999999</v>
      </c>
      <c r="CP3">
        <v>-1.1047910999999999</v>
      </c>
      <c r="CQ3">
        <v>-0.40705813333333329</v>
      </c>
      <c r="CR3">
        <v>-1.1542799000000001</v>
      </c>
      <c r="CS3">
        <v>-0.43598576666666677</v>
      </c>
      <c r="CT3">
        <v>-1.1094816666666667</v>
      </c>
      <c r="CU3">
        <v>-0.39049289999999998</v>
      </c>
      <c r="CV3">
        <v>-1.2102749999999998</v>
      </c>
      <c r="CW3">
        <v>-0.47381050000000002</v>
      </c>
      <c r="CX3">
        <v>-1.0572847916666666</v>
      </c>
      <c r="CY3">
        <v>-0.36424470833333339</v>
      </c>
      <c r="CZ3">
        <v>-1.0795971333333334</v>
      </c>
      <c r="DA3">
        <v>-0.37626349999999997</v>
      </c>
      <c r="DB3">
        <v>-1.1105174333333334</v>
      </c>
      <c r="DC3">
        <v>-0.39811323333333332</v>
      </c>
      <c r="DD3">
        <v>-1.0724445333333334</v>
      </c>
      <c r="DE3">
        <v>-0.35489816666666663</v>
      </c>
      <c r="DF3">
        <v>-1.1612804166666666</v>
      </c>
      <c r="DG3">
        <v>-0.43178733333333336</v>
      </c>
      <c r="DH3">
        <v>-1.0590163333333336</v>
      </c>
      <c r="DI3">
        <v>-0.35314629166666667</v>
      </c>
      <c r="DJ3">
        <v>-1.0198504333333331</v>
      </c>
      <c r="DK3">
        <v>-0.35354503333333331</v>
      </c>
      <c r="DL3">
        <v>-1.0895660666666664</v>
      </c>
      <c r="DM3">
        <v>-0.3790756666666667</v>
      </c>
      <c r="DN3">
        <v>-1.0675155666666665</v>
      </c>
      <c r="DO3">
        <v>-0.34591526666666667</v>
      </c>
      <c r="DP3">
        <v>-1.1430787499999999</v>
      </c>
      <c r="DQ3">
        <v>-0.41038025000000006</v>
      </c>
      <c r="DR3">
        <v>-1.0886236666666667</v>
      </c>
      <c r="DS3">
        <v>-0.3599633333333333</v>
      </c>
      <c r="DT3">
        <v>-1.0094082333333332</v>
      </c>
      <c r="DU3">
        <v>-0.35107156666666672</v>
      </c>
      <c r="DV3">
        <v>-1.0968181333333333</v>
      </c>
      <c r="DW3">
        <v>-0.37884106666666667</v>
      </c>
      <c r="DX3">
        <v>-1.0917192</v>
      </c>
      <c r="DY3">
        <v>-0.34917926666666665</v>
      </c>
      <c r="DZ3">
        <v>-1.1603108333333334</v>
      </c>
      <c r="EA3">
        <v>-0.41500979166666663</v>
      </c>
      <c r="EB3">
        <v>-1.1258745833333332</v>
      </c>
      <c r="EC3">
        <v>-0.36990225000000004</v>
      </c>
      <c r="ED3">
        <v>-1.096935</v>
      </c>
      <c r="EE3">
        <v>-0.37983630000000002</v>
      </c>
      <c r="EF3">
        <v>-1.1178984666666667</v>
      </c>
      <c r="EG3">
        <v>-0.39009593333333337</v>
      </c>
      <c r="EH3">
        <v>-1.1309656666666665</v>
      </c>
      <c r="EI3">
        <v>-0.36568976666666664</v>
      </c>
      <c r="EJ3">
        <v>-1.1897599999999999</v>
      </c>
      <c r="EK3">
        <v>-0.43105474999999999</v>
      </c>
      <c r="EL3">
        <v>-1.1569345833333333</v>
      </c>
      <c r="EM3">
        <v>-0.38648437500000005</v>
      </c>
      <c r="EN3">
        <v>-1.1289446666666667</v>
      </c>
      <c r="EO3">
        <v>-0.39188213333333333</v>
      </c>
      <c r="EP3">
        <v>-1.1147001666666667</v>
      </c>
      <c r="EQ3">
        <v>-0.38922600000000002</v>
      </c>
      <c r="ER3">
        <v>-1.1477288666666667</v>
      </c>
      <c r="ES3">
        <v>-0.37545630000000008</v>
      </c>
      <c r="ET3">
        <v>-1.1948483333333333</v>
      </c>
      <c r="EU3">
        <v>-0.4362074583333333</v>
      </c>
      <c r="EV3">
        <v>-1.1707183333333333</v>
      </c>
      <c r="EW3">
        <v>-0.40033708333333329</v>
      </c>
      <c r="EX3">
        <v>-1.1443383333333332</v>
      </c>
      <c r="EY3">
        <v>-0.40067779999999997</v>
      </c>
      <c r="EZ3">
        <v>-1.153546</v>
      </c>
      <c r="FA3">
        <v>-0.41386483333333335</v>
      </c>
      <c r="FB3">
        <v>-1.1697433333333334</v>
      </c>
      <c r="FC3">
        <v>-0.38492686666666664</v>
      </c>
      <c r="FD3">
        <v>-1.21159375</v>
      </c>
      <c r="FE3">
        <v>-0.45002587500000002</v>
      </c>
      <c r="FF3">
        <v>-1.1691637500000001</v>
      </c>
      <c r="FG3">
        <v>-0.40382745833333333</v>
      </c>
      <c r="FH3">
        <v>-1.1612246666666666</v>
      </c>
      <c r="FI3">
        <v>-0.41767503333333333</v>
      </c>
      <c r="FJ3">
        <v>-1.1165122999999999</v>
      </c>
      <c r="FK3">
        <v>-0.40298256666666676</v>
      </c>
      <c r="FL3">
        <v>-1.1821926666666667</v>
      </c>
      <c r="FM3">
        <v>-0.39464866666666659</v>
      </c>
      <c r="FN3">
        <v>-1.2430670833333333</v>
      </c>
      <c r="FO3">
        <v>-0.47399750000000002</v>
      </c>
      <c r="FP3">
        <v>-1.1718766666666665</v>
      </c>
      <c r="FQ3">
        <v>-0.40475416666666669</v>
      </c>
      <c r="FR3">
        <v>-1.1497583333333332</v>
      </c>
      <c r="FS3">
        <v>-0.41364823333333334</v>
      </c>
      <c r="FT3">
        <v>-1.1064384333333332</v>
      </c>
      <c r="FU3">
        <v>-0.39609916666666667</v>
      </c>
      <c r="FV3">
        <v>-1.1768233333333336</v>
      </c>
      <c r="FW3">
        <v>-0.39497923333333335</v>
      </c>
      <c r="FX3">
        <v>-1.2425804166666665</v>
      </c>
      <c r="FY3">
        <v>-0.46619816666666669</v>
      </c>
      <c r="FZ3">
        <v>-1.1457866666666667</v>
      </c>
      <c r="GA3">
        <v>-0.38282829166666665</v>
      </c>
      <c r="GB3">
        <v>-1.1412799999999999</v>
      </c>
      <c r="GC3">
        <v>-0.39209559999999993</v>
      </c>
      <c r="GD3">
        <v>-1.1021029666666666</v>
      </c>
      <c r="GE3">
        <v>-0.36905073333333327</v>
      </c>
      <c r="GF3">
        <v>-1.1518563333333334</v>
      </c>
      <c r="GG3">
        <v>-0.37634826666666676</v>
      </c>
      <c r="GH3">
        <v>-1.2087154166666667</v>
      </c>
      <c r="GI3">
        <v>-0.43564654166666666</v>
      </c>
      <c r="GJ3">
        <v>-1.1729375</v>
      </c>
      <c r="GK3">
        <v>-0.34991349999999999</v>
      </c>
      <c r="GL3">
        <v>-1.1848639999999999</v>
      </c>
      <c r="GM3">
        <v>-0.35838886666666669</v>
      </c>
      <c r="GN3">
        <v>-1.1581551000000001</v>
      </c>
      <c r="GO3">
        <v>-0.3367479333333333</v>
      </c>
      <c r="GP3">
        <v>-1.1832045</v>
      </c>
      <c r="GQ3">
        <v>-0.33813726666666666</v>
      </c>
      <c r="GR3">
        <v>-1.2518337499999999</v>
      </c>
      <c r="GS3">
        <v>-0.40078124999999998</v>
      </c>
      <c r="GT3">
        <v>-1.6336904166666668</v>
      </c>
      <c r="GU3">
        <v>-0.29196262500000003</v>
      </c>
      <c r="GV3">
        <v>-1.6306389999999999</v>
      </c>
      <c r="GW3">
        <v>-0.30467417000000002</v>
      </c>
      <c r="GX3">
        <v>-1.6517866333333333</v>
      </c>
      <c r="GY3">
        <v>-0.30901744999999997</v>
      </c>
      <c r="GZ3">
        <v>-1.6416633333333333</v>
      </c>
      <c r="HA3">
        <v>-0.28908856666666666</v>
      </c>
      <c r="HB3">
        <v>-1.7180616666666666</v>
      </c>
      <c r="HC3">
        <v>-0.35716454166666667</v>
      </c>
      <c r="HD3">
        <v>-1.8869179166666665</v>
      </c>
      <c r="HE3">
        <v>-0.28828529166666667</v>
      </c>
      <c r="HF3">
        <v>-1.9025183333333335</v>
      </c>
      <c r="HG3">
        <v>-0.30697863333333331</v>
      </c>
      <c r="HH3">
        <v>-1.8809533333333335</v>
      </c>
      <c r="HI3">
        <v>-0.30934066666666665</v>
      </c>
      <c r="HJ3">
        <v>-1.8961563333333333</v>
      </c>
      <c r="HK3">
        <v>-0.28129436666666663</v>
      </c>
      <c r="HL3">
        <v>-1.9543666666666666</v>
      </c>
      <c r="HM3">
        <v>-0.35284175000000007</v>
      </c>
      <c r="HN3">
        <v>-1.7497741666666666</v>
      </c>
      <c r="HO3">
        <v>-0.28666170833333332</v>
      </c>
      <c r="HP3">
        <v>-1.7706096666666664</v>
      </c>
      <c r="HQ3">
        <v>-0.30683906666666666</v>
      </c>
      <c r="HR3">
        <v>-1.7356853333333333</v>
      </c>
      <c r="HS3">
        <v>-0.29541193333333332</v>
      </c>
      <c r="HT3">
        <v>-1.7663156666666666</v>
      </c>
      <c r="HU3">
        <v>-0.28184193333333329</v>
      </c>
      <c r="HV3">
        <v>-1.8187800000000001</v>
      </c>
      <c r="HW3">
        <v>-0.351856</v>
      </c>
      <c r="HX3">
        <v>-1.4683079166666666</v>
      </c>
      <c r="HY3">
        <v>-0.28929412500000001</v>
      </c>
      <c r="HZ3">
        <v>-1.5149436666666669</v>
      </c>
      <c r="IA3">
        <v>-0.30400326666666666</v>
      </c>
      <c r="IB3">
        <v>-1.5191363333333332</v>
      </c>
      <c r="IC3">
        <v>-0.2896051</v>
      </c>
      <c r="ID3">
        <v>-1.4689163333333333</v>
      </c>
      <c r="IE3">
        <v>-0.26684306666666668</v>
      </c>
      <c r="IF3">
        <v>-1.5614541666666666</v>
      </c>
      <c r="IG3">
        <v>-0.33736670833333332</v>
      </c>
    </row>
    <row r="8" spans="1:242" x14ac:dyDescent="0.2">
      <c r="A8" s="17"/>
      <c r="B8" s="17"/>
      <c r="C8" s="17"/>
      <c r="D8" s="17"/>
      <c r="AD8" s="17"/>
      <c r="AE8" s="17"/>
      <c r="AF8" s="17"/>
      <c r="AG8" s="17"/>
    </row>
  </sheetData>
  <conditionalFormatting sqref="A2:IH11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tabColor theme="9" tint="0.39997558519241921"/>
  </sheetPr>
  <dimension ref="A1:AZ11"/>
  <sheetViews>
    <sheetView workbookViewId="0">
      <selection activeCell="C6" sqref="C6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-1.3247248</v>
      </c>
      <c r="F2">
        <v>-0.27667596666666666</v>
      </c>
      <c r="G2">
        <v>-1.2021119666666664</v>
      </c>
      <c r="H2">
        <v>-0.26063976666666672</v>
      </c>
      <c r="I2">
        <v>-1.1556364000000001</v>
      </c>
      <c r="J2">
        <v>-0.25351493333333336</v>
      </c>
      <c r="K2">
        <v>-1.1234211666666667</v>
      </c>
      <c r="L2">
        <v>-0.24892036666666667</v>
      </c>
      <c r="M2">
        <v>-1.1033740333333335</v>
      </c>
      <c r="N2">
        <v>-0.2479489</v>
      </c>
      <c r="O2">
        <v>-1.0953932000000002</v>
      </c>
      <c r="P2">
        <v>-0.24484996666666664</v>
      </c>
      <c r="Q2">
        <v>-1.1288484333333333</v>
      </c>
      <c r="R2">
        <v>-0.24224286666666667</v>
      </c>
      <c r="S2">
        <v>-1.0850231666666665</v>
      </c>
      <c r="T2">
        <v>-0.28168890000000002</v>
      </c>
      <c r="U2">
        <v>-1.0925963999999999</v>
      </c>
      <c r="V2">
        <v>-0.39678930000000001</v>
      </c>
      <c r="W2">
        <v>-1.1047910999999999</v>
      </c>
      <c r="X2">
        <v>-0.40705813333333329</v>
      </c>
      <c r="Y2">
        <v>-1.0795971333333334</v>
      </c>
      <c r="Z2">
        <v>-0.37626349999999997</v>
      </c>
      <c r="AA2">
        <v>-1.0198504333333331</v>
      </c>
      <c r="AB2">
        <v>-0.35354503333333331</v>
      </c>
      <c r="AC2">
        <v>-1.0094082333333332</v>
      </c>
      <c r="AD2">
        <v>-0.35107156666666672</v>
      </c>
      <c r="AE2">
        <v>-1.096935</v>
      </c>
      <c r="AF2">
        <v>-0.37983630000000002</v>
      </c>
      <c r="AG2">
        <v>-1.1289446666666667</v>
      </c>
      <c r="AH2">
        <v>-0.39188213333333333</v>
      </c>
      <c r="AI2">
        <v>-1.1443383333333332</v>
      </c>
      <c r="AJ2">
        <v>-0.40067779999999997</v>
      </c>
      <c r="AK2">
        <v>-1.1612246666666666</v>
      </c>
      <c r="AL2">
        <v>-0.41767503333333333</v>
      </c>
      <c r="AM2">
        <v>-1.1497583333333332</v>
      </c>
      <c r="AN2">
        <v>-0.41364823333333334</v>
      </c>
      <c r="AO2">
        <v>-1.1412799999999999</v>
      </c>
      <c r="AP2">
        <v>-0.39209559999999993</v>
      </c>
      <c r="AQ2">
        <v>-1.1848639999999999</v>
      </c>
      <c r="AR2">
        <v>-0.35838886666666669</v>
      </c>
      <c r="AS2">
        <v>-1.6306389999999999</v>
      </c>
      <c r="AT2">
        <v>-0.30467417000000002</v>
      </c>
      <c r="AU2">
        <v>-1.9025183333333335</v>
      </c>
      <c r="AV2">
        <v>-0.30697863333333331</v>
      </c>
      <c r="AW2">
        <v>-1.7706096666666664</v>
      </c>
      <c r="AX2">
        <v>-0.30683906666666666</v>
      </c>
      <c r="AY2">
        <v>-1.5149436666666669</v>
      </c>
      <c r="AZ2">
        <v>-0.30400326666666666</v>
      </c>
    </row>
    <row r="3" spans="1:52" x14ac:dyDescent="0.2">
      <c r="A3" t="s">
        <v>2642</v>
      </c>
      <c r="B3" t="s">
        <v>1484</v>
      </c>
      <c r="C3">
        <v>2</v>
      </c>
      <c r="E3">
        <v>-1.3247248</v>
      </c>
      <c r="F3">
        <v>-0.27667596666666666</v>
      </c>
      <c r="G3">
        <v>-1.2021119666666664</v>
      </c>
      <c r="H3">
        <v>-0.26063976666666672</v>
      </c>
      <c r="I3">
        <v>-1.1556364000000001</v>
      </c>
      <c r="J3">
        <v>-0.25351493333333336</v>
      </c>
      <c r="K3">
        <v>-1.1234211666666667</v>
      </c>
      <c r="L3">
        <v>-0.24892036666666667</v>
      </c>
      <c r="M3">
        <v>-1.1033740333333335</v>
      </c>
      <c r="N3">
        <v>-0.2479489</v>
      </c>
      <c r="O3">
        <v>-1.0953932000000002</v>
      </c>
      <c r="P3">
        <v>-0.24484996666666664</v>
      </c>
      <c r="Q3">
        <v>-1.1288484333333333</v>
      </c>
      <c r="R3">
        <v>-0.24224286666666667</v>
      </c>
      <c r="S3">
        <v>-1.0850231666666665</v>
      </c>
      <c r="T3">
        <v>-0.28168890000000002</v>
      </c>
      <c r="U3">
        <v>-1.0925963999999999</v>
      </c>
      <c r="V3">
        <v>-0.39678930000000001</v>
      </c>
      <c r="W3">
        <v>-1.1047910999999999</v>
      </c>
      <c r="X3">
        <v>-0.40705813333333329</v>
      </c>
      <c r="Y3">
        <v>-1.0795971333333334</v>
      </c>
      <c r="Z3">
        <v>-0.37626349999999997</v>
      </c>
      <c r="AA3">
        <v>-1.0198504333333331</v>
      </c>
      <c r="AB3">
        <v>-0.35354503333333331</v>
      </c>
      <c r="AC3">
        <v>-1.0094082333333332</v>
      </c>
      <c r="AD3">
        <v>-0.35107156666666672</v>
      </c>
      <c r="AE3">
        <v>-1.096935</v>
      </c>
      <c r="AF3">
        <v>-0.37983630000000002</v>
      </c>
      <c r="AG3">
        <v>-1.1289446666666667</v>
      </c>
      <c r="AH3">
        <v>-0.39188213333333333</v>
      </c>
      <c r="AI3">
        <v>-1.1443383333333332</v>
      </c>
      <c r="AJ3">
        <v>-0.40067779999999997</v>
      </c>
      <c r="AK3">
        <v>-1.1612246666666666</v>
      </c>
      <c r="AL3">
        <v>-0.41767503333333333</v>
      </c>
      <c r="AM3">
        <v>-1.1497583333333332</v>
      </c>
      <c r="AN3">
        <v>-0.41364823333333334</v>
      </c>
      <c r="AO3">
        <v>-1.1412799999999999</v>
      </c>
      <c r="AP3">
        <v>-0.39209559999999993</v>
      </c>
      <c r="AQ3">
        <v>-1.1848639999999999</v>
      </c>
      <c r="AR3">
        <v>-0.35838886666666669</v>
      </c>
      <c r="AS3">
        <v>-1.6306389999999999</v>
      </c>
      <c r="AT3">
        <v>-0.30467417000000002</v>
      </c>
      <c r="AU3">
        <v>-1.9025183333333335</v>
      </c>
      <c r="AV3">
        <v>-0.30697863333333331</v>
      </c>
      <c r="AW3">
        <v>-1.7706096666666664</v>
      </c>
      <c r="AX3">
        <v>-0.30683906666666666</v>
      </c>
      <c r="AY3">
        <v>-1.5149436666666669</v>
      </c>
      <c r="AZ3">
        <v>-0.30400326666666666</v>
      </c>
    </row>
    <row r="4" spans="1:52" x14ac:dyDescent="0.2">
      <c r="A4" t="s">
        <v>1987</v>
      </c>
      <c r="B4" t="s">
        <v>1484</v>
      </c>
      <c r="C4">
        <v>3</v>
      </c>
      <c r="E4">
        <v>-1.3462333333333334</v>
      </c>
      <c r="F4">
        <v>-0.30344740000000003</v>
      </c>
      <c r="G4">
        <v>-1.2613606666666666</v>
      </c>
      <c r="H4">
        <v>-0.29423319999999997</v>
      </c>
      <c r="I4">
        <v>-1.2177043333333333</v>
      </c>
      <c r="J4">
        <v>-0.28919696666666667</v>
      </c>
      <c r="K4">
        <v>-1.1866283333333332</v>
      </c>
      <c r="L4">
        <v>-0.28220623333333333</v>
      </c>
      <c r="M4">
        <v>-1.1685588666666669</v>
      </c>
      <c r="N4">
        <v>-0.2811055666666667</v>
      </c>
      <c r="O4">
        <v>-1.1615050666666664</v>
      </c>
      <c r="P4">
        <v>-0.27561803333333329</v>
      </c>
      <c r="Q4">
        <v>-1.1972643333333333</v>
      </c>
      <c r="R4">
        <v>-0.2708795</v>
      </c>
      <c r="S4">
        <v>-1.1572999333333334</v>
      </c>
      <c r="T4">
        <v>-0.31317576666666669</v>
      </c>
      <c r="U4">
        <v>-1.1712868333333335</v>
      </c>
      <c r="V4">
        <v>-0.43861353333333336</v>
      </c>
      <c r="W4">
        <v>-1.1542799000000001</v>
      </c>
      <c r="X4">
        <v>-0.43598576666666677</v>
      </c>
      <c r="Y4">
        <v>-1.1105174333333334</v>
      </c>
      <c r="Z4">
        <v>-0.39811323333333332</v>
      </c>
      <c r="AA4">
        <v>-1.0895660666666664</v>
      </c>
      <c r="AB4">
        <v>-0.3790756666666667</v>
      </c>
      <c r="AC4">
        <v>-1.0968181333333333</v>
      </c>
      <c r="AD4">
        <v>-0.37884106666666667</v>
      </c>
      <c r="AE4">
        <v>-1.1178984666666667</v>
      </c>
      <c r="AF4">
        <v>-0.39009593333333337</v>
      </c>
      <c r="AG4">
        <v>-1.1147001666666667</v>
      </c>
      <c r="AH4">
        <v>-0.38922600000000002</v>
      </c>
      <c r="AI4">
        <v>-1.153546</v>
      </c>
      <c r="AJ4">
        <v>-0.41386483333333335</v>
      </c>
      <c r="AK4">
        <v>-1.1165122999999999</v>
      </c>
      <c r="AL4">
        <v>-0.40298256666666676</v>
      </c>
      <c r="AM4">
        <v>-1.1064384333333332</v>
      </c>
      <c r="AN4">
        <v>-0.39609916666666667</v>
      </c>
      <c r="AO4">
        <v>-1.1021029666666666</v>
      </c>
      <c r="AP4">
        <v>-0.36905073333333327</v>
      </c>
      <c r="AQ4">
        <v>-1.1581551000000001</v>
      </c>
      <c r="AR4">
        <v>-0.3367479333333333</v>
      </c>
      <c r="AS4">
        <v>-1.6517866333333333</v>
      </c>
      <c r="AT4">
        <v>-0.30901744999999997</v>
      </c>
      <c r="AU4">
        <v>-1.8809533333333335</v>
      </c>
      <c r="AV4">
        <v>-0.30934066666666665</v>
      </c>
      <c r="AW4">
        <v>-1.7356853333333333</v>
      </c>
      <c r="AX4">
        <v>-0.29541193333333332</v>
      </c>
      <c r="AY4">
        <v>-1.5191363333333332</v>
      </c>
      <c r="AZ4">
        <v>-0.2896051</v>
      </c>
    </row>
    <row r="5" spans="1:52" x14ac:dyDescent="0.2">
      <c r="A5" t="s">
        <v>1987</v>
      </c>
      <c r="B5" t="s">
        <v>1484</v>
      </c>
      <c r="C5">
        <v>4</v>
      </c>
      <c r="E5">
        <v>-1.3027540000000002</v>
      </c>
      <c r="F5">
        <v>-0.26316003333333332</v>
      </c>
      <c r="G5">
        <v>-1.222709</v>
      </c>
      <c r="H5">
        <v>-0.25828593333333333</v>
      </c>
      <c r="I5">
        <v>-1.1768536666666667</v>
      </c>
      <c r="J5">
        <v>-0.25029973333333333</v>
      </c>
      <c r="K5">
        <v>-1.1487056666666668</v>
      </c>
      <c r="L5" s="17">
        <v>-0.24421333333333331</v>
      </c>
      <c r="M5">
        <v>-1.1309812333333333</v>
      </c>
      <c r="N5">
        <v>-0.23988250000000005</v>
      </c>
      <c r="O5">
        <v>-1.1346822000000001</v>
      </c>
      <c r="P5">
        <v>-0.23670059999999998</v>
      </c>
      <c r="Q5">
        <v>-1.1960900000000001</v>
      </c>
      <c r="R5">
        <v>-0.22819950000000003</v>
      </c>
      <c r="S5">
        <v>-1.2026108333333332</v>
      </c>
      <c r="T5">
        <v>-0.253455125</v>
      </c>
      <c r="U5">
        <v>-1.1618780000000002</v>
      </c>
      <c r="V5">
        <v>-0.40031530000000004</v>
      </c>
      <c r="W5">
        <v>-1.1094816666666667</v>
      </c>
      <c r="X5">
        <v>-0.39049289999999998</v>
      </c>
      <c r="Y5">
        <v>-1.0724445333333334</v>
      </c>
      <c r="Z5">
        <v>-0.35489816666666663</v>
      </c>
      <c r="AA5">
        <v>-1.0675155666666665</v>
      </c>
      <c r="AB5">
        <v>-0.34591526666666667</v>
      </c>
      <c r="AC5">
        <v>-1.0917192</v>
      </c>
      <c r="AD5">
        <v>-0.34917926666666665</v>
      </c>
      <c r="AE5">
        <v>-1.1309656666666665</v>
      </c>
      <c r="AF5">
        <v>-0.36568976666666664</v>
      </c>
      <c r="AG5">
        <v>-1.1477288666666667</v>
      </c>
      <c r="AH5">
        <v>-0.37545630000000008</v>
      </c>
      <c r="AI5">
        <v>-1.1697433333333334</v>
      </c>
      <c r="AJ5">
        <v>-0.38492686666666664</v>
      </c>
      <c r="AK5">
        <v>-1.1821926666666667</v>
      </c>
      <c r="AL5">
        <v>-0.39464866666666659</v>
      </c>
      <c r="AM5">
        <v>-1.1768233333333336</v>
      </c>
      <c r="AN5">
        <v>-0.39497923333333335</v>
      </c>
      <c r="AO5">
        <v>-1.1518563333333334</v>
      </c>
      <c r="AP5">
        <v>-0.37634826666666676</v>
      </c>
      <c r="AQ5">
        <v>-1.1832045</v>
      </c>
      <c r="AR5">
        <v>-0.33813726666666666</v>
      </c>
      <c r="AS5">
        <v>-1.6416633333333333</v>
      </c>
      <c r="AT5">
        <v>-0.28908856666666666</v>
      </c>
      <c r="AU5">
        <v>-1.8961563333333333</v>
      </c>
      <c r="AV5">
        <v>-0.28129436666666663</v>
      </c>
      <c r="AW5">
        <v>-1.7663156666666666</v>
      </c>
      <c r="AX5">
        <v>-0.28184193333333329</v>
      </c>
      <c r="AY5">
        <v>-1.4689163333333333</v>
      </c>
      <c r="AZ5">
        <v>-0.26684306666666668</v>
      </c>
    </row>
    <row r="6" spans="1:52" x14ac:dyDescent="0.2">
      <c r="A6" t="s">
        <v>1987</v>
      </c>
      <c r="B6" t="s">
        <v>1484</v>
      </c>
      <c r="C6">
        <v>5</v>
      </c>
      <c r="E6">
        <v>-1.3423210000000001</v>
      </c>
      <c r="F6">
        <v>-0.30123880000000003</v>
      </c>
      <c r="G6">
        <v>-1.2579346666666666</v>
      </c>
      <c r="H6">
        <v>-0.29197113333333335</v>
      </c>
      <c r="I6">
        <v>-1.2214770000000001</v>
      </c>
      <c r="J6">
        <v>-0.29180990000000001</v>
      </c>
      <c r="K6">
        <v>-1.1972863333333332</v>
      </c>
      <c r="L6">
        <v>-0.28801470000000007</v>
      </c>
      <c r="M6">
        <v>-1.1800569999999999</v>
      </c>
      <c r="N6">
        <v>-0.28260563333333327</v>
      </c>
      <c r="O6">
        <v>-1.1796806666666666</v>
      </c>
      <c r="P6">
        <v>-0.27466946666666664</v>
      </c>
      <c r="Q6">
        <v>-1.2516320000000001</v>
      </c>
      <c r="R6">
        <v>-0.26723930000000001</v>
      </c>
      <c r="S6">
        <v>-1.2669636666666666</v>
      </c>
      <c r="T6">
        <v>-0.32012566666666664</v>
      </c>
      <c r="U6">
        <v>-1.2262826666666666</v>
      </c>
      <c r="V6">
        <v>-0.45028753333333338</v>
      </c>
      <c r="W6">
        <v>-1.1665769333333333</v>
      </c>
      <c r="X6">
        <v>-0.43688773333333336</v>
      </c>
      <c r="Y6">
        <v>-1.1189800999999999</v>
      </c>
      <c r="Z6">
        <v>-0.39332070000000002</v>
      </c>
      <c r="AA6">
        <v>-1.1040537666666668</v>
      </c>
      <c r="AB6">
        <v>-0.37612343333333337</v>
      </c>
      <c r="AC6">
        <v>-1.1235544000000002</v>
      </c>
      <c r="AD6">
        <v>-0.38157656666666667</v>
      </c>
      <c r="AE6">
        <v>-1.1561716666666666</v>
      </c>
      <c r="AF6">
        <v>-0.39801729999999996</v>
      </c>
      <c r="AG6">
        <v>-1.1655409999999999</v>
      </c>
      <c r="AH6">
        <v>-0.40482903333333331</v>
      </c>
      <c r="AI6">
        <v>-1.1831576666666668</v>
      </c>
      <c r="AJ6">
        <v>-0.41909130000000011</v>
      </c>
      <c r="AK6">
        <v>-1.2063089999999999</v>
      </c>
      <c r="AL6">
        <v>-0.43903133333333333</v>
      </c>
      <c r="AM6">
        <v>-1.203695</v>
      </c>
      <c r="AN6">
        <v>-0.43162076666666671</v>
      </c>
      <c r="AO6">
        <v>-1.1708186666666667</v>
      </c>
      <c r="AP6">
        <v>-0.40319783333333331</v>
      </c>
      <c r="AQ6">
        <v>-1.2055368999999998</v>
      </c>
      <c r="AR6">
        <v>-0.36591393333333333</v>
      </c>
      <c r="AS6">
        <v>-1.6763413333333332</v>
      </c>
      <c r="AT6">
        <v>-0.3212019333333333</v>
      </c>
      <c r="AU6">
        <v>-1.9162383333333335</v>
      </c>
      <c r="AV6">
        <v>-0.31995089999999998</v>
      </c>
      <c r="AW6">
        <v>-1.7798179999999999</v>
      </c>
      <c r="AX6">
        <v>-0.31531823333333331</v>
      </c>
      <c r="AY6">
        <v>-1.517952</v>
      </c>
      <c r="AZ6">
        <v>-0.30227560000000003</v>
      </c>
    </row>
    <row r="7" spans="1:52" x14ac:dyDescent="0.2">
      <c r="A7" s="17" t="s">
        <v>1980</v>
      </c>
      <c r="B7" s="17" t="s">
        <v>1484</v>
      </c>
      <c r="C7" s="17">
        <v>1</v>
      </c>
      <c r="D7" s="17"/>
      <c r="E7" s="17">
        <v>-1.2709283333333332</v>
      </c>
      <c r="F7" s="17">
        <v>-0.27920987499999994</v>
      </c>
      <c r="G7" s="17">
        <v>-1.1912879166666666</v>
      </c>
      <c r="H7" s="17">
        <v>-0.26550849999999998</v>
      </c>
      <c r="I7" s="17">
        <v>-1.1569212500000001</v>
      </c>
      <c r="J7" s="17">
        <v>-0.2605055</v>
      </c>
      <c r="K7" s="17">
        <v>-1.1365912499999999</v>
      </c>
      <c r="L7" s="17">
        <v>-0.254687</v>
      </c>
      <c r="M7" s="17">
        <v>-1.1245716666666667</v>
      </c>
      <c r="N7" s="17">
        <v>-0.25154112499999998</v>
      </c>
      <c r="O7" s="17">
        <v>-1.1272695833333335</v>
      </c>
      <c r="P7" s="17">
        <v>-0.24455745833333334</v>
      </c>
      <c r="Q7" s="17">
        <v>-1.2234570833333334</v>
      </c>
      <c r="R7" s="17">
        <v>-0.24111783333333334</v>
      </c>
      <c r="S7" s="17">
        <v>-1.2536383333333334</v>
      </c>
      <c r="T7" s="17">
        <v>-0.30906841666666662</v>
      </c>
      <c r="U7" s="17">
        <v>-1.1858658333333334</v>
      </c>
      <c r="V7" s="17">
        <v>-0.4370168333333333</v>
      </c>
      <c r="W7" s="17">
        <v>-1.10326825</v>
      </c>
      <c r="X7" s="17">
        <v>-0.40595124999999999</v>
      </c>
      <c r="Y7" s="17">
        <v>-1.0572847916666666</v>
      </c>
      <c r="Z7" s="17">
        <v>-0.36424470833333339</v>
      </c>
      <c r="AA7" s="17">
        <v>-1.0590163333333336</v>
      </c>
      <c r="AB7" s="17">
        <v>-0.35314629166666667</v>
      </c>
      <c r="AC7" s="17">
        <v>-1.0886236666666667</v>
      </c>
      <c r="AD7" s="17">
        <v>-0.3599633333333333</v>
      </c>
      <c r="AE7" s="17">
        <v>-1.1258745833333332</v>
      </c>
      <c r="AF7" s="17">
        <v>-0.36990225000000004</v>
      </c>
      <c r="AG7" s="17">
        <v>-1.1569345833333333</v>
      </c>
      <c r="AH7" s="17">
        <v>-0.38648437500000005</v>
      </c>
      <c r="AI7" s="17">
        <v>-1.1707183333333333</v>
      </c>
      <c r="AJ7" s="17">
        <v>-0.40033708333333329</v>
      </c>
      <c r="AK7" s="17">
        <v>-1.1691637500000001</v>
      </c>
      <c r="AL7" s="17">
        <v>-0.40382745833333333</v>
      </c>
      <c r="AM7" s="17">
        <v>-1.1718766666666665</v>
      </c>
      <c r="AN7" s="17">
        <v>-0.40475416666666669</v>
      </c>
      <c r="AO7" s="17">
        <v>-1.1457866666666667</v>
      </c>
      <c r="AP7" s="17">
        <v>-0.38282829166666665</v>
      </c>
      <c r="AQ7" s="17">
        <v>-1.1729375</v>
      </c>
      <c r="AR7" s="17">
        <v>-0.34991349999999999</v>
      </c>
      <c r="AS7" s="17">
        <v>-1.6336904166666668</v>
      </c>
      <c r="AT7" s="17">
        <v>-0.29196262500000003</v>
      </c>
      <c r="AU7" s="17">
        <v>-1.8869179166666665</v>
      </c>
      <c r="AV7" s="17">
        <v>-0.28828529166666667</v>
      </c>
      <c r="AW7" s="17">
        <v>-1.7497741666666666</v>
      </c>
      <c r="AX7" s="17">
        <v>-0.28666170833333332</v>
      </c>
      <c r="AY7" s="17">
        <v>-1.4683079166666666</v>
      </c>
      <c r="AZ7" s="17">
        <v>-0.28929412500000001</v>
      </c>
    </row>
    <row r="8" spans="1:52" x14ac:dyDescent="0.2">
      <c r="A8" s="17" t="s">
        <v>1980</v>
      </c>
      <c r="B8" s="17" t="s">
        <v>1484</v>
      </c>
      <c r="C8" s="17">
        <v>2</v>
      </c>
      <c r="D8" s="17"/>
      <c r="E8" s="17">
        <v>-1.3247248</v>
      </c>
      <c r="F8" s="17">
        <v>-0.27667596666666666</v>
      </c>
      <c r="G8" s="17">
        <v>-1.2021119666666664</v>
      </c>
      <c r="H8" s="17">
        <v>-0.26063976666666672</v>
      </c>
      <c r="I8" s="17">
        <v>-1.1556364000000001</v>
      </c>
      <c r="J8" s="17">
        <v>-0.25351493333333336</v>
      </c>
      <c r="K8" s="17">
        <v>-1.1234211666666667</v>
      </c>
      <c r="L8" s="17">
        <v>-0.24892036666666667</v>
      </c>
      <c r="M8" s="17">
        <v>-1.1033740333333335</v>
      </c>
      <c r="N8" s="17">
        <v>-0.2479489</v>
      </c>
      <c r="O8" s="17">
        <v>-1.0953932000000002</v>
      </c>
      <c r="P8" s="17">
        <v>-0.24484996666666664</v>
      </c>
      <c r="Q8" s="17">
        <v>-1.1288484333333333</v>
      </c>
      <c r="R8" s="17">
        <v>-0.24224286666666667</v>
      </c>
      <c r="S8" s="17">
        <v>-1.0850231666666665</v>
      </c>
      <c r="T8" s="17">
        <v>-0.28168890000000002</v>
      </c>
      <c r="U8" s="17">
        <v>-1.0925963999999999</v>
      </c>
      <c r="V8" s="17">
        <v>-0.39678930000000001</v>
      </c>
      <c r="W8" s="17">
        <v>-1.1047910999999999</v>
      </c>
      <c r="X8" s="17">
        <v>-0.40705813333333329</v>
      </c>
      <c r="Y8" s="17">
        <v>-1.0795971333333334</v>
      </c>
      <c r="Z8" s="17">
        <v>-0.37626349999999997</v>
      </c>
      <c r="AA8" s="17">
        <v>-1.0198504333333331</v>
      </c>
      <c r="AB8" s="17">
        <v>-0.35354503333333331</v>
      </c>
      <c r="AC8" s="17">
        <v>-1.0094082333333332</v>
      </c>
      <c r="AD8" s="17">
        <v>-0.35107156666666672</v>
      </c>
      <c r="AE8" s="17">
        <v>-1.096935</v>
      </c>
      <c r="AF8" s="17">
        <v>-0.37983630000000002</v>
      </c>
      <c r="AG8" s="17">
        <v>-1.1289446666666667</v>
      </c>
      <c r="AH8" s="17">
        <v>-0.39188213333333333</v>
      </c>
      <c r="AI8" s="17">
        <v>-1.1443383333333332</v>
      </c>
      <c r="AJ8" s="17">
        <v>-0.40067779999999997</v>
      </c>
      <c r="AK8" s="17">
        <v>-1.1612246666666666</v>
      </c>
      <c r="AL8" s="17">
        <v>-0.41767503333333333</v>
      </c>
      <c r="AM8" s="17">
        <v>-1.1497583333333332</v>
      </c>
      <c r="AN8" s="17">
        <v>-0.41364823333333334</v>
      </c>
      <c r="AO8" s="17">
        <v>-1.1412799999999999</v>
      </c>
      <c r="AP8" s="17">
        <v>-0.39209559999999993</v>
      </c>
      <c r="AQ8" s="17">
        <v>-1.1848639999999999</v>
      </c>
      <c r="AR8" s="17">
        <v>-0.35838886666666669</v>
      </c>
      <c r="AS8" s="17">
        <v>-1.6306389999999999</v>
      </c>
      <c r="AT8" s="17">
        <v>-0.30467417000000002</v>
      </c>
      <c r="AU8" s="17">
        <v>-1.9025183333333335</v>
      </c>
      <c r="AV8" s="17">
        <v>-0.30697863333333331</v>
      </c>
      <c r="AW8" s="17">
        <v>-1.7706096666666664</v>
      </c>
      <c r="AX8" s="17">
        <v>-0.30683906666666666</v>
      </c>
      <c r="AY8" s="17">
        <v>-1.5149436666666669</v>
      </c>
      <c r="AZ8" s="17">
        <v>-0.30400326666666666</v>
      </c>
    </row>
    <row r="9" spans="1:52" x14ac:dyDescent="0.2">
      <c r="A9" s="17" t="s">
        <v>1980</v>
      </c>
      <c r="B9" s="17" t="s">
        <v>1484</v>
      </c>
      <c r="C9" s="17">
        <v>3</v>
      </c>
      <c r="D9" s="17"/>
      <c r="E9" s="17">
        <v>-1.3462333333333334</v>
      </c>
      <c r="F9" s="17">
        <v>-0.30344740000000003</v>
      </c>
      <c r="G9" s="17">
        <v>-1.2613606666666666</v>
      </c>
      <c r="H9" s="17">
        <v>-0.29423319999999997</v>
      </c>
      <c r="I9" s="17">
        <v>-1.2177043333333333</v>
      </c>
      <c r="J9" s="17">
        <v>-0.28919696666666667</v>
      </c>
      <c r="K9" s="17">
        <v>-1.1866283333333332</v>
      </c>
      <c r="L9" s="17">
        <v>-0.28220623333333333</v>
      </c>
      <c r="M9" s="17">
        <v>-1.1685588666666669</v>
      </c>
      <c r="N9" s="17">
        <v>-0.2811055666666667</v>
      </c>
      <c r="O9" s="17">
        <v>-1.1615050666666664</v>
      </c>
      <c r="P9" s="17">
        <v>-0.27561803333333329</v>
      </c>
      <c r="Q9" s="17">
        <v>-1.1972643333333333</v>
      </c>
      <c r="R9" s="17">
        <v>-0.2708795</v>
      </c>
      <c r="S9" s="17">
        <v>-1.1572999333333334</v>
      </c>
      <c r="T9" s="17">
        <v>-0.31317576666666669</v>
      </c>
      <c r="U9" s="17">
        <v>-1.1712868333333335</v>
      </c>
      <c r="V9" s="17">
        <v>-0.43861353333333336</v>
      </c>
      <c r="W9" s="17">
        <v>-1.1542799000000001</v>
      </c>
      <c r="X9" s="17">
        <v>-0.43598576666666677</v>
      </c>
      <c r="Y9" s="17">
        <v>-1.1105174333333334</v>
      </c>
      <c r="Z9" s="17">
        <v>-0.39811323333333332</v>
      </c>
      <c r="AA9" s="17">
        <v>-1.0895660666666664</v>
      </c>
      <c r="AB9" s="17">
        <v>-0.3790756666666667</v>
      </c>
      <c r="AC9" s="17">
        <v>-1.0968181333333333</v>
      </c>
      <c r="AD9" s="17">
        <v>-0.37884106666666667</v>
      </c>
      <c r="AE9" s="17">
        <v>-1.1178984666666667</v>
      </c>
      <c r="AF9" s="17">
        <v>-0.39009593333333337</v>
      </c>
      <c r="AG9" s="17">
        <v>-1.1147001666666667</v>
      </c>
      <c r="AH9" s="17">
        <v>-0.38922600000000002</v>
      </c>
      <c r="AI9" s="17">
        <v>-1.153546</v>
      </c>
      <c r="AJ9" s="17">
        <v>-0.41386483333333335</v>
      </c>
      <c r="AK9" s="17">
        <v>-1.1165122999999999</v>
      </c>
      <c r="AL9" s="17">
        <v>-0.40298256666666676</v>
      </c>
      <c r="AM9" s="17">
        <v>-1.1064384333333332</v>
      </c>
      <c r="AN9" s="17">
        <v>-0.39609916666666667</v>
      </c>
      <c r="AO9" s="17">
        <v>-1.1021029666666666</v>
      </c>
      <c r="AP9" s="17">
        <v>-0.36905073333333327</v>
      </c>
      <c r="AQ9" s="17">
        <v>-1.1581551000000001</v>
      </c>
      <c r="AR9" s="17">
        <v>-0.3367479333333333</v>
      </c>
      <c r="AS9" s="17">
        <v>-1.6517866333333333</v>
      </c>
      <c r="AT9" s="17">
        <v>-0.30901744999999997</v>
      </c>
      <c r="AU9" s="17">
        <v>-1.8809533333333335</v>
      </c>
      <c r="AV9" s="17">
        <v>-0.30934066666666665</v>
      </c>
      <c r="AW9" s="17">
        <v>-1.7356853333333333</v>
      </c>
      <c r="AX9" s="17">
        <v>-0.29541193333333332</v>
      </c>
      <c r="AY9" s="17">
        <v>-1.5191363333333332</v>
      </c>
      <c r="AZ9" s="17">
        <v>-0.2896051</v>
      </c>
    </row>
    <row r="10" spans="1:52" x14ac:dyDescent="0.2">
      <c r="A10" s="17" t="s">
        <v>1980</v>
      </c>
      <c r="B10" s="17" t="s">
        <v>1484</v>
      </c>
      <c r="C10" s="17">
        <v>4</v>
      </c>
      <c r="D10" s="17"/>
      <c r="E10" s="17">
        <v>-1.3027540000000002</v>
      </c>
      <c r="F10" s="17">
        <v>-0.26316003333333332</v>
      </c>
      <c r="G10" s="17">
        <v>-1.222709</v>
      </c>
      <c r="H10" s="17">
        <v>-0.25828593333333333</v>
      </c>
      <c r="I10" s="17">
        <v>-1.1768536666666667</v>
      </c>
      <c r="J10" s="17">
        <v>-0.25029973333333333</v>
      </c>
      <c r="K10" s="17">
        <v>-1.1487056666666668</v>
      </c>
      <c r="L10" s="17">
        <v>-0.24421333333333331</v>
      </c>
      <c r="M10" s="17">
        <v>-1.1309812333333333</v>
      </c>
      <c r="N10" s="17">
        <v>-0.23988250000000005</v>
      </c>
      <c r="O10" s="17">
        <v>-1.1346822000000001</v>
      </c>
      <c r="P10" s="17">
        <v>-0.23670059999999998</v>
      </c>
      <c r="Q10" s="17">
        <v>-1.1960900000000001</v>
      </c>
      <c r="R10" s="17">
        <v>-0.22819950000000003</v>
      </c>
      <c r="S10" s="17">
        <v>-1.2026108333333332</v>
      </c>
      <c r="T10" s="17">
        <v>-0.253455125</v>
      </c>
      <c r="U10" s="17">
        <v>-1.1618780000000002</v>
      </c>
      <c r="V10" s="17">
        <v>-0.40031530000000004</v>
      </c>
      <c r="W10" s="17">
        <v>-1.1094816666666667</v>
      </c>
      <c r="X10" s="17">
        <v>-0.39049289999999998</v>
      </c>
      <c r="Y10" s="17">
        <v>-1.0724445333333334</v>
      </c>
      <c r="Z10" s="17">
        <v>-0.35489816666666663</v>
      </c>
      <c r="AA10" s="17">
        <v>-1.0675155666666665</v>
      </c>
      <c r="AB10" s="17">
        <v>-0.34591526666666667</v>
      </c>
      <c r="AC10" s="17">
        <v>-1.0917192</v>
      </c>
      <c r="AD10" s="17">
        <v>-0.34917926666666665</v>
      </c>
      <c r="AE10" s="17">
        <v>-1.1309656666666665</v>
      </c>
      <c r="AF10" s="17">
        <v>-0.36568976666666664</v>
      </c>
      <c r="AG10" s="17">
        <v>-1.1477288666666667</v>
      </c>
      <c r="AH10" s="17">
        <v>-0.37545630000000008</v>
      </c>
      <c r="AI10" s="17">
        <v>-1.1697433333333334</v>
      </c>
      <c r="AJ10" s="17">
        <v>-0.38492686666666664</v>
      </c>
      <c r="AK10" s="17">
        <v>-1.1821926666666667</v>
      </c>
      <c r="AL10" s="17">
        <v>-0.39464866666666659</v>
      </c>
      <c r="AM10" s="17">
        <v>-1.1768233333333336</v>
      </c>
      <c r="AN10" s="17">
        <v>-0.39497923333333335</v>
      </c>
      <c r="AO10" s="17">
        <v>-1.1518563333333334</v>
      </c>
      <c r="AP10" s="17">
        <v>-0.37634826666666676</v>
      </c>
      <c r="AQ10" s="17">
        <v>-1.1832045</v>
      </c>
      <c r="AR10" s="17">
        <v>-0.33813726666666666</v>
      </c>
      <c r="AS10" s="17">
        <v>-1.6416633333333333</v>
      </c>
      <c r="AT10" s="17">
        <v>-0.28908856666666666</v>
      </c>
      <c r="AU10" s="17">
        <v>-1.8961563333333333</v>
      </c>
      <c r="AV10" s="17">
        <v>-0.28129436666666663</v>
      </c>
      <c r="AW10" s="17">
        <v>-1.7663156666666666</v>
      </c>
      <c r="AX10" s="17">
        <v>-0.28184193333333329</v>
      </c>
      <c r="AY10" s="17">
        <v>-1.4689163333333333</v>
      </c>
      <c r="AZ10" s="17">
        <v>-0.26684306666666668</v>
      </c>
    </row>
    <row r="11" spans="1:52" x14ac:dyDescent="0.2">
      <c r="A11" s="17" t="s">
        <v>1980</v>
      </c>
      <c r="B11" s="17" t="s">
        <v>1484</v>
      </c>
      <c r="C11" s="17">
        <v>5</v>
      </c>
      <c r="D11" s="17"/>
      <c r="E11" s="17">
        <v>-1.3848112499999998</v>
      </c>
      <c r="F11" s="17">
        <v>-0.33202562499999999</v>
      </c>
      <c r="G11" s="17">
        <v>-1.3000295833333333</v>
      </c>
      <c r="H11" s="17">
        <v>-0.32549191666666666</v>
      </c>
      <c r="I11" s="17">
        <v>-1.26160125</v>
      </c>
      <c r="J11" s="17">
        <v>-0.32570749999999998</v>
      </c>
      <c r="K11" s="17">
        <v>-1.2351937500000001</v>
      </c>
      <c r="L11" s="17">
        <v>-0.32046541666666672</v>
      </c>
      <c r="M11" s="17">
        <v>-1.21756</v>
      </c>
      <c r="N11" s="17">
        <v>-0.3149918333333333</v>
      </c>
      <c r="O11" s="17">
        <v>-1.2169904166666665</v>
      </c>
      <c r="P11" s="17">
        <v>-0.30703220833333333</v>
      </c>
      <c r="Q11" s="17">
        <v>-1.2852929166666667</v>
      </c>
      <c r="R11" s="17">
        <v>-0.30016120833333332</v>
      </c>
      <c r="S11" s="17">
        <v>-1.2967075000000001</v>
      </c>
      <c r="T11" s="17">
        <v>-0.35692341666666666</v>
      </c>
      <c r="U11" s="17">
        <v>-1.2664054166666667</v>
      </c>
      <c r="V11" s="17">
        <v>-0.48539341666666669</v>
      </c>
      <c r="W11" s="17">
        <v>-1.2102749999999998</v>
      </c>
      <c r="X11" s="17">
        <v>-0.47381050000000002</v>
      </c>
      <c r="Y11" s="17">
        <v>-1.1612804166666666</v>
      </c>
      <c r="Z11" s="17">
        <v>-0.43178733333333336</v>
      </c>
      <c r="AA11" s="17">
        <v>-1.1430787499999999</v>
      </c>
      <c r="AB11" s="17">
        <v>-0.41038025000000006</v>
      </c>
      <c r="AC11" s="17">
        <v>-1.1603108333333334</v>
      </c>
      <c r="AD11" s="17">
        <v>-0.41500979166666663</v>
      </c>
      <c r="AE11" s="17">
        <v>-1.1897599999999999</v>
      </c>
      <c r="AF11" s="17">
        <v>-0.43105474999999999</v>
      </c>
      <c r="AG11" s="17">
        <v>-1.1948483333333333</v>
      </c>
      <c r="AH11" s="17">
        <v>-0.4362074583333333</v>
      </c>
      <c r="AI11" s="17">
        <v>-1.21159375</v>
      </c>
      <c r="AJ11" s="17">
        <v>-0.45002587500000002</v>
      </c>
      <c r="AK11" s="17">
        <v>-1.2430670833333333</v>
      </c>
      <c r="AL11" s="17">
        <v>-0.47399750000000002</v>
      </c>
      <c r="AM11" s="17">
        <v>-1.2425804166666665</v>
      </c>
      <c r="AN11" s="17">
        <v>-0.46619816666666669</v>
      </c>
      <c r="AO11" s="17">
        <v>-1.2087154166666667</v>
      </c>
      <c r="AP11" s="17">
        <v>-0.43564654166666666</v>
      </c>
      <c r="AQ11" s="17">
        <v>-1.2518337499999999</v>
      </c>
      <c r="AR11" s="17">
        <v>-0.40078124999999998</v>
      </c>
      <c r="AS11" s="17">
        <v>-1.7180616666666666</v>
      </c>
      <c r="AT11" s="17">
        <v>-0.35716454166666667</v>
      </c>
      <c r="AU11" s="17">
        <v>-1.9543666666666666</v>
      </c>
      <c r="AV11" s="17">
        <v>-0.35284175000000007</v>
      </c>
      <c r="AW11" s="17">
        <v>-1.8187800000000001</v>
      </c>
      <c r="AX11" s="17">
        <v>-0.351856</v>
      </c>
      <c r="AY11" s="17">
        <v>-1.5614541666666666</v>
      </c>
      <c r="AZ11" s="17">
        <v>-0.33736670833333332</v>
      </c>
    </row>
  </sheetData>
  <conditionalFormatting sqref="E2:AZ6">
    <cfRule type="cellIs" dxfId="30" priority="2" operator="lessThan">
      <formula>0</formula>
    </cfRule>
  </conditionalFormatting>
  <conditionalFormatting sqref="E7:AZ11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2" enableFormatConditionsCalculation="0">
    <tabColor theme="9" tint="0.39997558519241921"/>
  </sheetPr>
  <dimension ref="A1:P10"/>
  <sheetViews>
    <sheetView workbookViewId="0">
      <selection activeCell="F22" sqref="F22"/>
    </sheetView>
  </sheetViews>
  <sheetFormatPr baseColWidth="10" defaultRowHeight="15" x14ac:dyDescent="0.2"/>
  <sheetData>
    <row r="1" spans="1:16" s="54" customFormat="1" x14ac:dyDescent="0.2">
      <c r="A1" s="54" t="s">
        <v>1982</v>
      </c>
    </row>
    <row r="4" spans="1:16" x14ac:dyDescent="0.2">
      <c r="L4" s="53"/>
      <c r="M4" s="53"/>
      <c r="N4" s="53"/>
      <c r="O4" s="53"/>
      <c r="P4" s="53"/>
    </row>
    <row r="5" spans="1:16" x14ac:dyDescent="0.2">
      <c r="L5" s="53"/>
      <c r="M5" s="53"/>
      <c r="N5" s="53"/>
      <c r="O5" s="53"/>
      <c r="P5" s="53"/>
    </row>
    <row r="6" spans="1:16" x14ac:dyDescent="0.2">
      <c r="L6" s="53"/>
      <c r="M6" s="53"/>
      <c r="N6" s="53"/>
      <c r="O6" s="53"/>
      <c r="P6" s="53"/>
    </row>
    <row r="7" spans="1:16" x14ac:dyDescent="0.2">
      <c r="L7" s="53"/>
      <c r="M7" s="53"/>
      <c r="N7" s="53"/>
      <c r="O7" s="53"/>
      <c r="P7" s="53"/>
    </row>
    <row r="8" spans="1:16" x14ac:dyDescent="0.2">
      <c r="L8" s="53"/>
      <c r="M8" s="53"/>
      <c r="N8" s="53"/>
      <c r="O8" s="53"/>
      <c r="P8" s="53"/>
    </row>
    <row r="9" spans="1:16" x14ac:dyDescent="0.2">
      <c r="L9" s="53"/>
      <c r="M9" s="53"/>
      <c r="N9" s="53"/>
      <c r="O9" s="53"/>
      <c r="P9" s="53"/>
    </row>
    <row r="10" spans="1:16" x14ac:dyDescent="0.2">
      <c r="L10" s="53"/>
      <c r="M10" s="53"/>
      <c r="N10" s="53"/>
      <c r="O10" s="53"/>
      <c r="P10" s="5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3" name="Button 2">
              <controlPr defaultSize="0" print="0" autoFill="0" autoPict="0" macro="[0]!consulta_SIMOCE">
                <anchor moveWithCells="1" sizeWithCells="1">
                  <from>
                    <xdr:col>11</xdr:col>
                    <xdr:colOff>266700</xdr:colOff>
                    <xdr:row>3</xdr:row>
                    <xdr:rowOff>50800</xdr:rowOff>
                  </from>
                  <to>
                    <xdr:col>15</xdr:col>
                    <xdr:colOff>368300</xdr:colOff>
                    <xdr:row>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theme="9" tint="0.39997558519241921"/>
  </sheetPr>
  <dimension ref="A1:BE51"/>
  <sheetViews>
    <sheetView workbookViewId="0">
      <selection activeCell="B34" sqref="B34"/>
    </sheetView>
  </sheetViews>
  <sheetFormatPr baseColWidth="10" defaultColWidth="11.5" defaultRowHeight="15" x14ac:dyDescent="0.2"/>
  <cols>
    <col min="2" max="2" width="11.5" customWidth="1"/>
    <col min="3" max="3" width="15" customWidth="1"/>
  </cols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s="19" customFormat="1" x14ac:dyDescent="0.2">
      <c r="A2" s="19" t="s">
        <v>1987</v>
      </c>
      <c r="B2" s="17" t="s">
        <v>1484</v>
      </c>
      <c r="C2" s="19">
        <v>1</v>
      </c>
      <c r="D2" s="20">
        <v>42109</v>
      </c>
      <c r="E2" s="17">
        <v>-1.2094083333333332</v>
      </c>
      <c r="F2" s="17">
        <v>-0.16290616666666669</v>
      </c>
      <c r="G2" s="17">
        <v>-1.1065849999999999</v>
      </c>
      <c r="H2" s="17">
        <v>-0.15395883333333332</v>
      </c>
      <c r="I2" s="17">
        <v>-1.0584083333333336</v>
      </c>
      <c r="J2" s="17">
        <v>-0.14718000000000001</v>
      </c>
      <c r="K2" s="17">
        <v>-1.0247616666666668</v>
      </c>
      <c r="L2" s="17">
        <v>-0.14329916666666664</v>
      </c>
      <c r="M2" s="17">
        <v>-1.0011831666666666</v>
      </c>
      <c r="N2" s="17">
        <v>-0.14115733333333333</v>
      </c>
      <c r="O2" s="17">
        <v>-0.98823850000000002</v>
      </c>
      <c r="P2" s="17">
        <v>-0.13738466666666668</v>
      </c>
      <c r="Q2" s="17">
        <v>-1.0108003333333333</v>
      </c>
      <c r="R2" s="17">
        <v>-0.13283</v>
      </c>
      <c r="S2" s="17">
        <v>-0.9849254999999999</v>
      </c>
      <c r="T2" s="17">
        <v>-0.16056899999999999</v>
      </c>
      <c r="U2" s="17">
        <v>-0.96640233333333347</v>
      </c>
      <c r="V2" s="17">
        <v>-0.26827600000000001</v>
      </c>
      <c r="W2" s="17">
        <v>-0.97404383333333333</v>
      </c>
      <c r="X2" s="17">
        <v>-0.27891266666666664</v>
      </c>
      <c r="Y2" s="17">
        <v>-0.95319566666666666</v>
      </c>
      <c r="Z2" s="17">
        <v>-0.25246966666666665</v>
      </c>
      <c r="AA2" s="17">
        <v>-0.7009238333333333</v>
      </c>
      <c r="AB2" s="17">
        <v>-0.15834283333333332</v>
      </c>
      <c r="AC2" s="17">
        <v>-0.61601116666666667</v>
      </c>
      <c r="AD2" s="17">
        <v>-0.12742133333333333</v>
      </c>
      <c r="AE2" s="17">
        <v>-0.98509666666666673</v>
      </c>
      <c r="AF2" s="17">
        <v>-0.25784066666666672</v>
      </c>
      <c r="AG2" s="17">
        <v>-1.0402516666666668</v>
      </c>
      <c r="AH2" s="17">
        <v>-0.27576233333333333</v>
      </c>
      <c r="AI2" s="17">
        <v>-1.033595</v>
      </c>
      <c r="AJ2" s="17">
        <v>-0.27735666666666664</v>
      </c>
      <c r="AK2" s="17">
        <v>-1.0419666666666665</v>
      </c>
      <c r="AL2" s="17">
        <v>-0.29572100000000007</v>
      </c>
      <c r="AM2" s="17">
        <v>-1.0311566666666665</v>
      </c>
      <c r="AN2" s="17">
        <v>-0.29097500000000004</v>
      </c>
      <c r="AO2" s="17">
        <v>-1.0194816666666666</v>
      </c>
      <c r="AP2" s="17">
        <v>-0.26364883333333333</v>
      </c>
      <c r="AQ2" s="17">
        <v>-1.0586683333333333</v>
      </c>
      <c r="AR2" s="17">
        <v>-0.23301216666666666</v>
      </c>
      <c r="AS2" s="17">
        <v>-1.4539300000000002</v>
      </c>
      <c r="AT2" s="17">
        <v>-0.15618884999999999</v>
      </c>
      <c r="AU2" s="17">
        <v>-1.7366800000000002</v>
      </c>
      <c r="AV2" s="17">
        <v>-0.16601250000000001</v>
      </c>
      <c r="AW2" s="17">
        <v>-1.5871933333333335</v>
      </c>
      <c r="AX2" s="17">
        <v>-0.16693283333333331</v>
      </c>
      <c r="AY2" s="17">
        <v>-1.3076566666666665</v>
      </c>
      <c r="AZ2" s="17">
        <v>-0.16354733333333335</v>
      </c>
    </row>
    <row r="3" spans="1:57" x14ac:dyDescent="0.2">
      <c r="A3" t="s">
        <v>1987</v>
      </c>
      <c r="B3" t="s">
        <v>1484</v>
      </c>
      <c r="C3">
        <v>1</v>
      </c>
      <c r="D3" s="5">
        <v>42116</v>
      </c>
      <c r="E3" s="17">
        <v>-1.3852450000000001</v>
      </c>
      <c r="F3" s="17">
        <v>-0.29850516666666671</v>
      </c>
      <c r="G3" s="17">
        <v>-1.2966366666666664</v>
      </c>
      <c r="H3" s="17">
        <v>-0.28632833333333335</v>
      </c>
      <c r="I3" s="17">
        <v>-1.2488650000000001</v>
      </c>
      <c r="J3" s="17">
        <v>-0.27957150000000003</v>
      </c>
      <c r="K3" s="17">
        <v>-1.2163349999999997</v>
      </c>
      <c r="L3" s="17">
        <v>-0.2783006666666667</v>
      </c>
      <c r="M3" s="17">
        <v>-1.1942316666666666</v>
      </c>
      <c r="N3" s="17">
        <v>-0.28345333333333333</v>
      </c>
      <c r="O3" s="17">
        <v>-1.1776933333333335</v>
      </c>
      <c r="P3" s="17">
        <v>-0.28422516666666664</v>
      </c>
      <c r="Q3" s="17">
        <v>-1.2002149999999998</v>
      </c>
      <c r="R3" s="17">
        <v>-0.28234033333333336</v>
      </c>
      <c r="S3" s="17">
        <v>-1.1486699999999999</v>
      </c>
      <c r="T3" s="17">
        <v>-0.31566116666666666</v>
      </c>
      <c r="U3" s="17">
        <v>-1.1416983333333333</v>
      </c>
      <c r="V3" s="17">
        <v>-0.42939783333333326</v>
      </c>
      <c r="W3" s="17">
        <v>-1.1481733333333333</v>
      </c>
      <c r="X3" s="17">
        <v>-0.44972649999999997</v>
      </c>
      <c r="Y3" s="17">
        <v>-1.1061316666666667</v>
      </c>
      <c r="Z3" s="17">
        <v>-0.39989450000000004</v>
      </c>
      <c r="AA3" s="17">
        <v>-1.1010233333333332</v>
      </c>
      <c r="AB3" s="17">
        <v>-0.3941234999999999</v>
      </c>
      <c r="AC3" s="17">
        <v>-1.1226333333333334</v>
      </c>
      <c r="AD3" s="17">
        <v>-0.40449583333333333</v>
      </c>
      <c r="AE3" s="17">
        <v>-1.1347333333333334</v>
      </c>
      <c r="AF3" s="17">
        <v>-0.4070091666666667</v>
      </c>
      <c r="AG3" s="17">
        <v>-1.1652233333333331</v>
      </c>
      <c r="AH3" s="17">
        <v>-0.41094333333333333</v>
      </c>
      <c r="AI3" s="17">
        <v>-1.1865583333333334</v>
      </c>
      <c r="AJ3" s="17">
        <v>-0.42270749999999996</v>
      </c>
      <c r="AK3" s="17">
        <v>-1.1929516666666666</v>
      </c>
      <c r="AL3" s="17">
        <v>-0.43895333333333331</v>
      </c>
      <c r="AM3" s="17">
        <v>-1.1849799999999997</v>
      </c>
      <c r="AN3" s="17">
        <v>-0.44429566666666664</v>
      </c>
      <c r="AO3" s="17">
        <v>-1.1724866666666669</v>
      </c>
      <c r="AP3" s="17">
        <v>-0.42198733333333333</v>
      </c>
      <c r="AQ3" s="17">
        <v>-1.2047000000000001</v>
      </c>
      <c r="AR3" s="17">
        <v>-0.38597716666666676</v>
      </c>
      <c r="AS3" s="17">
        <v>-1.7393350000000001</v>
      </c>
      <c r="AT3" s="17">
        <v>-0.34832083333333336</v>
      </c>
      <c r="AU3" s="17">
        <v>-1.9999866666666664</v>
      </c>
      <c r="AV3" s="17">
        <v>-0.3475091666666667</v>
      </c>
      <c r="AW3" s="17">
        <v>-1.8638216666666667</v>
      </c>
      <c r="AX3" s="17">
        <v>-0.34915966666666665</v>
      </c>
      <c r="AY3" s="17">
        <v>-1.5789200000000001</v>
      </c>
      <c r="AZ3" s="17">
        <v>-0.3417048333333334</v>
      </c>
    </row>
    <row r="4" spans="1:57" x14ac:dyDescent="0.2">
      <c r="A4" t="s">
        <v>1987</v>
      </c>
      <c r="B4" t="s">
        <v>1484</v>
      </c>
      <c r="C4">
        <v>1</v>
      </c>
      <c r="D4" s="5">
        <v>42130</v>
      </c>
      <c r="E4" s="17">
        <v>-1.4655</v>
      </c>
      <c r="F4" s="17">
        <v>-0.32041483333333332</v>
      </c>
      <c r="G4" s="17">
        <v>-1.3263816666666666</v>
      </c>
      <c r="H4" s="17">
        <v>-0.30668716666666668</v>
      </c>
      <c r="I4" s="17">
        <v>-1.2738049999999999</v>
      </c>
      <c r="J4" s="17">
        <v>-0.30344233333333337</v>
      </c>
      <c r="K4" s="17">
        <v>-1.2335066666666668</v>
      </c>
      <c r="L4" s="17">
        <v>-0.29287316666666668</v>
      </c>
      <c r="M4" s="17">
        <v>-1.2148550000000002</v>
      </c>
      <c r="N4" s="17">
        <v>-0.29153016666666665</v>
      </c>
      <c r="O4" s="17">
        <v>-1.2151350000000001</v>
      </c>
      <c r="P4" s="17">
        <v>-0.28652050000000001</v>
      </c>
      <c r="Q4" s="17">
        <v>-1.2911116666666667</v>
      </c>
      <c r="R4" s="17">
        <v>-0.287829</v>
      </c>
      <c r="S4" s="17">
        <v>-1.2348233333333329</v>
      </c>
      <c r="T4" s="17">
        <v>-0.32722983333333333</v>
      </c>
      <c r="U4" s="17">
        <v>-1.1979283333333333</v>
      </c>
      <c r="V4" s="17">
        <v>-0.43549266666666669</v>
      </c>
      <c r="W4" s="17">
        <v>-1.1689766666666668</v>
      </c>
      <c r="X4" s="17">
        <v>-0.44202033333333324</v>
      </c>
      <c r="Y4" s="17">
        <v>-1.1208233333333333</v>
      </c>
      <c r="Z4" s="17">
        <v>-0.40808433333333327</v>
      </c>
      <c r="AA4" s="17">
        <v>-1.0790866666666667</v>
      </c>
      <c r="AB4" s="17">
        <v>-0.39074933333333339</v>
      </c>
      <c r="AC4" s="17">
        <v>-1.1077283333333332</v>
      </c>
      <c r="AD4" s="17">
        <v>-0.40671583333333339</v>
      </c>
      <c r="AE4" s="17">
        <v>-1.1346850000000002</v>
      </c>
      <c r="AF4" s="17">
        <v>-0.41506500000000002</v>
      </c>
      <c r="AG4" s="17">
        <v>-1.1340299999999999</v>
      </c>
      <c r="AH4" s="17">
        <v>-0.40988966666666665</v>
      </c>
      <c r="AI4" s="17">
        <v>-1.1671383333333334</v>
      </c>
      <c r="AJ4" s="17">
        <v>-0.42609483333333331</v>
      </c>
      <c r="AK4" s="17">
        <v>-1.2058016666666667</v>
      </c>
      <c r="AL4" s="17">
        <v>-0.44477233333333333</v>
      </c>
      <c r="AM4" s="17">
        <v>-1.1893066666666665</v>
      </c>
      <c r="AN4" s="17">
        <v>-0.43853749999999997</v>
      </c>
      <c r="AO4" s="17">
        <v>-1.1768766666666666</v>
      </c>
      <c r="AP4" s="17">
        <v>-0.41767683333333339</v>
      </c>
      <c r="AQ4" s="17">
        <v>-1.2504966666666666</v>
      </c>
      <c r="AR4" s="17">
        <v>-0.37772800000000001</v>
      </c>
      <c r="AS4" s="17">
        <v>-1.7258766666666667</v>
      </c>
      <c r="AT4" s="17">
        <v>-0.3505943333333334</v>
      </c>
      <c r="AU4" s="17">
        <v>-1.9846666666666668</v>
      </c>
      <c r="AV4" s="17">
        <v>-0.36131600000000003</v>
      </c>
      <c r="AW4" s="17">
        <v>-1.8466749999999998</v>
      </c>
      <c r="AX4" s="17">
        <v>-0.34396066666666669</v>
      </c>
      <c r="AY4" s="17">
        <v>-1.6136933333333334</v>
      </c>
      <c r="AZ4" s="17">
        <v>-0.3347383333333333</v>
      </c>
    </row>
    <row r="5" spans="1:57" x14ac:dyDescent="0.2">
      <c r="A5" t="s">
        <v>1987</v>
      </c>
      <c r="B5" t="s">
        <v>1484</v>
      </c>
      <c r="C5">
        <v>1</v>
      </c>
      <c r="D5" s="5">
        <v>42137</v>
      </c>
      <c r="E5" s="17">
        <v>-1.2163023333333334</v>
      </c>
      <c r="F5" s="17">
        <v>-0.27846683333333333</v>
      </c>
      <c r="G5" s="17">
        <v>-1.0229664999999999</v>
      </c>
      <c r="H5" s="17">
        <v>-0.23773799999999998</v>
      </c>
      <c r="I5" s="17">
        <v>-0.97894199999999998</v>
      </c>
      <c r="J5" s="17">
        <v>-0.21941433333333329</v>
      </c>
      <c r="K5" s="17">
        <v>-0.94922083333333329</v>
      </c>
      <c r="L5" s="17">
        <v>-0.21389316666666663</v>
      </c>
      <c r="M5" s="17">
        <v>-0.93322366666666678</v>
      </c>
      <c r="N5" s="17">
        <v>-0.21397450000000001</v>
      </c>
      <c r="O5" s="17">
        <v>-0.92808083333333347</v>
      </c>
      <c r="P5" s="17">
        <v>-0.21020566666666665</v>
      </c>
      <c r="Q5" s="17">
        <v>-0.95451683333333326</v>
      </c>
      <c r="R5" s="17">
        <v>-0.21308233333333332</v>
      </c>
      <c r="S5" s="17">
        <v>-0.92717700000000014</v>
      </c>
      <c r="T5" s="17">
        <v>-0.25954549999999998</v>
      </c>
      <c r="U5" s="17">
        <v>-1.0104263333333334</v>
      </c>
      <c r="V5" s="17">
        <v>-0.3908686666666667</v>
      </c>
      <c r="W5" s="17">
        <v>-1.0961566666666667</v>
      </c>
      <c r="X5" s="17">
        <v>-0.41506816666666668</v>
      </c>
      <c r="Y5" s="17">
        <v>-1.11253</v>
      </c>
      <c r="Z5" s="17">
        <v>-0.40512049999999999</v>
      </c>
      <c r="AA5" s="17">
        <v>-1.1147033333333332</v>
      </c>
      <c r="AB5" s="17">
        <v>-0.41361383333333335</v>
      </c>
      <c r="AC5" s="17">
        <v>-1.1147516666666668</v>
      </c>
      <c r="AD5" s="17">
        <v>-0.40888300000000005</v>
      </c>
      <c r="AE5" s="17">
        <v>-1.1349533333333333</v>
      </c>
      <c r="AF5" s="17">
        <v>-0.41339783333333335</v>
      </c>
      <c r="AG5" s="17">
        <v>-1.1690766666666665</v>
      </c>
      <c r="AH5" s="17">
        <v>-0.44226366666666667</v>
      </c>
      <c r="AI5" s="17">
        <v>-1.1814916666666668</v>
      </c>
      <c r="AJ5" s="17">
        <v>-0.44702333333333338</v>
      </c>
      <c r="AK5" s="17">
        <v>-1.2007216666666667</v>
      </c>
      <c r="AL5" s="17">
        <v>-0.46671383333333322</v>
      </c>
      <c r="AM5" s="17">
        <v>-1.188533333333333</v>
      </c>
      <c r="AN5" s="17">
        <v>-0.4602471666666666</v>
      </c>
      <c r="AO5" s="17">
        <v>-1.1885766666666666</v>
      </c>
      <c r="AP5" s="17">
        <v>-0.43089100000000002</v>
      </c>
      <c r="AQ5" s="17">
        <v>-1.2326783333333333</v>
      </c>
      <c r="AR5" s="17">
        <v>-0.40391966666666668</v>
      </c>
      <c r="AS5" s="17">
        <v>-1.6635016666666669</v>
      </c>
      <c r="AT5" s="17">
        <v>-0.35045900000000002</v>
      </c>
      <c r="AU5" s="17">
        <v>-1.9249400000000003</v>
      </c>
      <c r="AV5" s="17">
        <v>-0.34243599999999996</v>
      </c>
      <c r="AW5" s="17">
        <v>-1.7989516666666665</v>
      </c>
      <c r="AX5" s="17">
        <v>-0.34781150000000005</v>
      </c>
      <c r="AY5" s="17">
        <v>-1.5609083333333336</v>
      </c>
      <c r="AZ5" s="17">
        <v>-0.35204283333333336</v>
      </c>
    </row>
    <row r="6" spans="1:57" x14ac:dyDescent="0.2">
      <c r="A6" t="s">
        <v>1987</v>
      </c>
      <c r="B6" t="s">
        <v>1484</v>
      </c>
      <c r="C6">
        <v>1</v>
      </c>
      <c r="D6" s="5">
        <v>42144</v>
      </c>
      <c r="E6" s="17">
        <v>-1.3471683333333333</v>
      </c>
      <c r="F6" s="17">
        <v>-0.32308683333333327</v>
      </c>
      <c r="G6" s="17">
        <v>-1.2579899999999999</v>
      </c>
      <c r="H6" s="17">
        <v>-0.31848650000000006</v>
      </c>
      <c r="I6" s="17">
        <v>-1.2181616666666666</v>
      </c>
      <c r="J6" s="17">
        <v>-0.31796649999999999</v>
      </c>
      <c r="K6" s="17">
        <v>-1.1932816666666668</v>
      </c>
      <c r="L6" s="17">
        <v>-0.31623566666666664</v>
      </c>
      <c r="M6" s="17">
        <v>-1.1733766666666667</v>
      </c>
      <c r="N6" s="17">
        <v>-0.30962916666666668</v>
      </c>
      <c r="O6" s="17">
        <v>-1.1678183333333334</v>
      </c>
      <c r="P6" s="17">
        <v>-0.30591383333333327</v>
      </c>
      <c r="Q6" s="17">
        <v>-1.1875983333333333</v>
      </c>
      <c r="R6" s="17">
        <v>-0.29513266666666665</v>
      </c>
      <c r="S6" s="17">
        <v>-1.1295200000000003</v>
      </c>
      <c r="T6" s="17">
        <v>-0.345439</v>
      </c>
      <c r="U6" s="17">
        <v>-1.1465266666666667</v>
      </c>
      <c r="V6" s="17">
        <v>-0.45991133333333339</v>
      </c>
      <c r="W6" s="17">
        <v>-1.1366049999999999</v>
      </c>
      <c r="X6" s="17">
        <v>-0.44956300000000005</v>
      </c>
      <c r="Y6" s="17">
        <v>-1.105305</v>
      </c>
      <c r="Z6" s="17">
        <v>-0.41574849999999997</v>
      </c>
      <c r="AA6" s="17">
        <v>-1.103515</v>
      </c>
      <c r="AB6" s="17">
        <v>-0.4108956666666666</v>
      </c>
      <c r="AC6" s="17">
        <v>-1.0859166666666666</v>
      </c>
      <c r="AD6" s="17">
        <v>-0.40784183333333335</v>
      </c>
      <c r="AE6" s="17">
        <v>-1.0952066666666667</v>
      </c>
      <c r="AF6" s="17">
        <v>-0.4058688333333334</v>
      </c>
      <c r="AG6" s="17">
        <v>-1.1361416666666666</v>
      </c>
      <c r="AH6" s="17">
        <v>-0.42055166666666671</v>
      </c>
      <c r="AI6" s="17">
        <v>-1.1529083333333334</v>
      </c>
      <c r="AJ6" s="17">
        <v>-0.43020666666666663</v>
      </c>
      <c r="AK6" s="17">
        <v>-1.1646816666666666</v>
      </c>
      <c r="AL6" s="17">
        <v>-0.4422146666666667</v>
      </c>
      <c r="AM6" s="17">
        <v>-1.1548149999999999</v>
      </c>
      <c r="AN6" s="17">
        <v>-0.43418583333333338</v>
      </c>
      <c r="AO6" s="17">
        <v>-1.1489783333333332</v>
      </c>
      <c r="AP6" s="17">
        <v>-0.42627399999999993</v>
      </c>
      <c r="AQ6" s="17">
        <v>-1.1777766666666669</v>
      </c>
      <c r="AR6" s="17">
        <v>-0.39130733333333334</v>
      </c>
      <c r="AS6" s="17">
        <v>-1.5705516666666663</v>
      </c>
      <c r="AT6" s="17">
        <v>-0.31780783333333329</v>
      </c>
      <c r="AU6" s="17">
        <v>-1.8663183333333333</v>
      </c>
      <c r="AV6" s="17">
        <v>-0.31761949999999994</v>
      </c>
      <c r="AW6" s="17">
        <v>-1.7564066666666667</v>
      </c>
      <c r="AX6" s="17">
        <v>-0.32633066666666666</v>
      </c>
      <c r="AY6" s="17">
        <v>-1.5135399999999999</v>
      </c>
      <c r="AZ6" s="17">
        <v>-0.32798300000000002</v>
      </c>
    </row>
    <row r="7" spans="1:57" x14ac:dyDescent="0.2">
      <c r="A7" t="s">
        <v>1987</v>
      </c>
      <c r="B7" t="s">
        <v>1484</v>
      </c>
      <c r="C7">
        <v>2</v>
      </c>
      <c r="D7" s="5">
        <v>42113</v>
      </c>
      <c r="E7">
        <v>-1.2094083333333332</v>
      </c>
      <c r="F7">
        <v>-0.16290616666666669</v>
      </c>
      <c r="G7">
        <v>-1.1065849999999999</v>
      </c>
      <c r="H7">
        <v>-0.15395883333333332</v>
      </c>
      <c r="I7">
        <v>-1.0584083333333336</v>
      </c>
      <c r="J7">
        <v>-0.14718000000000001</v>
      </c>
      <c r="K7">
        <v>-1.0247616666666668</v>
      </c>
      <c r="L7">
        <v>-0.14329916666666664</v>
      </c>
      <c r="M7">
        <v>-1.0011831666666666</v>
      </c>
      <c r="N7">
        <v>-0.14115733333333333</v>
      </c>
      <c r="O7">
        <v>-0.98823850000000002</v>
      </c>
      <c r="P7">
        <v>-0.13738466666666668</v>
      </c>
      <c r="Q7">
        <v>-1.0108003333333333</v>
      </c>
      <c r="R7">
        <v>-0.13283</v>
      </c>
      <c r="S7">
        <v>-0.9849254999999999</v>
      </c>
      <c r="T7">
        <v>-0.16056899999999999</v>
      </c>
      <c r="U7">
        <v>-0.96640233333333347</v>
      </c>
      <c r="V7">
        <v>-0.26827600000000001</v>
      </c>
      <c r="W7">
        <v>-0.97404383333333333</v>
      </c>
      <c r="X7">
        <v>-0.27891266666666664</v>
      </c>
      <c r="Y7">
        <v>-0.95319566666666666</v>
      </c>
      <c r="Z7">
        <v>-0.25246966666666665</v>
      </c>
      <c r="AA7">
        <v>-0.7009238333333333</v>
      </c>
      <c r="AB7">
        <v>-0.15834283333333332</v>
      </c>
      <c r="AC7">
        <v>-0.61601116666666667</v>
      </c>
      <c r="AD7">
        <v>-0.12742133333333333</v>
      </c>
      <c r="AE7">
        <v>-0.98509666666666673</v>
      </c>
      <c r="AF7">
        <v>-0.25784066666666672</v>
      </c>
      <c r="AG7">
        <v>-1.0402516666666668</v>
      </c>
      <c r="AH7">
        <v>-0.27576233333333333</v>
      </c>
      <c r="AI7">
        <v>-1.033595</v>
      </c>
      <c r="AJ7">
        <v>-0.27735666666666664</v>
      </c>
      <c r="AK7">
        <v>-1.0419666666666665</v>
      </c>
      <c r="AL7">
        <v>-0.29572100000000007</v>
      </c>
      <c r="AM7">
        <v>-1.0311566666666665</v>
      </c>
      <c r="AN7">
        <v>-0.29097500000000004</v>
      </c>
      <c r="AO7">
        <v>-1.0194816666666666</v>
      </c>
      <c r="AP7">
        <v>-0.26364883333333333</v>
      </c>
      <c r="AQ7">
        <v>-1.0586683333333333</v>
      </c>
      <c r="AR7">
        <v>-0.23301216666666666</v>
      </c>
      <c r="AS7">
        <v>-1.4539300000000002</v>
      </c>
      <c r="AT7">
        <v>-0.15618884999999999</v>
      </c>
      <c r="AU7">
        <v>-1.7366800000000002</v>
      </c>
      <c r="AV7">
        <v>-0.16601250000000001</v>
      </c>
      <c r="AW7">
        <v>-1.5871933333333335</v>
      </c>
      <c r="AX7">
        <v>-0.16693283333333331</v>
      </c>
      <c r="AY7">
        <v>-1.3076566666666665</v>
      </c>
      <c r="AZ7">
        <v>-0.16354733333333335</v>
      </c>
    </row>
    <row r="8" spans="1:57" x14ac:dyDescent="0.2">
      <c r="A8" t="s">
        <v>1987</v>
      </c>
      <c r="B8" t="s">
        <v>1484</v>
      </c>
      <c r="C8">
        <v>2</v>
      </c>
      <c r="D8" s="5">
        <v>42120</v>
      </c>
      <c r="E8">
        <v>-1.3852450000000001</v>
      </c>
      <c r="F8">
        <v>-0.29850516666666671</v>
      </c>
      <c r="G8">
        <v>-1.2966366666666664</v>
      </c>
      <c r="H8">
        <v>-0.28632833333333335</v>
      </c>
      <c r="I8">
        <v>-1.2488650000000001</v>
      </c>
      <c r="J8">
        <v>-0.27957150000000003</v>
      </c>
      <c r="K8">
        <v>-1.2163349999999997</v>
      </c>
      <c r="L8">
        <v>-0.2783006666666667</v>
      </c>
      <c r="M8">
        <v>-1.1942316666666666</v>
      </c>
      <c r="N8">
        <v>-0.28345333333333333</v>
      </c>
      <c r="O8">
        <v>-1.1776933333333335</v>
      </c>
      <c r="P8">
        <v>-0.28422516666666664</v>
      </c>
      <c r="Q8">
        <v>-1.2002149999999998</v>
      </c>
      <c r="R8">
        <v>-0.28234033333333336</v>
      </c>
      <c r="S8">
        <v>-1.1486699999999999</v>
      </c>
      <c r="T8">
        <v>-0.31566116666666666</v>
      </c>
      <c r="U8">
        <v>-1.1416983333333333</v>
      </c>
      <c r="V8">
        <v>-0.42939783333333326</v>
      </c>
      <c r="W8">
        <v>-1.1481733333333333</v>
      </c>
      <c r="X8">
        <v>-0.44972649999999997</v>
      </c>
      <c r="Y8">
        <v>-1.1061316666666667</v>
      </c>
      <c r="Z8">
        <v>-0.39989450000000004</v>
      </c>
      <c r="AA8">
        <v>-1.1010233333333332</v>
      </c>
      <c r="AB8">
        <v>-0.3941234999999999</v>
      </c>
      <c r="AC8">
        <v>-1.1226333333333334</v>
      </c>
      <c r="AD8">
        <v>-0.40449583333333333</v>
      </c>
      <c r="AE8">
        <v>-1.1347333333333334</v>
      </c>
      <c r="AF8">
        <v>-0.4070091666666667</v>
      </c>
      <c r="AG8">
        <v>-1.1652233333333331</v>
      </c>
      <c r="AH8">
        <v>-0.41094333333333333</v>
      </c>
      <c r="AI8">
        <v>-1.1865583333333334</v>
      </c>
      <c r="AJ8">
        <v>-0.42270749999999996</v>
      </c>
      <c r="AK8">
        <v>-1.1929516666666666</v>
      </c>
      <c r="AL8">
        <v>-0.43895333333333331</v>
      </c>
      <c r="AM8">
        <v>-1.1849799999999997</v>
      </c>
      <c r="AN8">
        <v>-0.44429566666666664</v>
      </c>
      <c r="AO8">
        <v>-1.1724866666666669</v>
      </c>
      <c r="AP8">
        <v>-0.42198733333333333</v>
      </c>
      <c r="AQ8">
        <v>-1.2047000000000001</v>
      </c>
      <c r="AR8">
        <v>-0.38597716666666676</v>
      </c>
      <c r="AS8">
        <v>-1.7393350000000001</v>
      </c>
      <c r="AT8">
        <v>-0.34832083333333336</v>
      </c>
      <c r="AU8">
        <v>-1.9999866666666664</v>
      </c>
      <c r="AV8">
        <v>-0.3475091666666667</v>
      </c>
      <c r="AW8">
        <v>-1.8638216666666667</v>
      </c>
      <c r="AX8">
        <v>-0.34915966666666665</v>
      </c>
      <c r="AY8">
        <v>-1.5789200000000001</v>
      </c>
      <c r="AZ8">
        <v>-0.3417048333333334</v>
      </c>
    </row>
    <row r="9" spans="1:57" x14ac:dyDescent="0.2">
      <c r="A9" t="s">
        <v>1987</v>
      </c>
      <c r="B9" t="s">
        <v>1484</v>
      </c>
      <c r="C9">
        <v>2</v>
      </c>
      <c r="D9" s="5">
        <v>42134</v>
      </c>
      <c r="E9">
        <v>-1.4655</v>
      </c>
      <c r="F9">
        <v>-0.32041483333333332</v>
      </c>
      <c r="G9">
        <v>-1.3263816666666666</v>
      </c>
      <c r="H9">
        <v>-0.30668716666666668</v>
      </c>
      <c r="I9">
        <v>-1.2738049999999999</v>
      </c>
      <c r="J9">
        <v>-0.30344233333333337</v>
      </c>
      <c r="K9">
        <v>-1.2335066666666668</v>
      </c>
      <c r="L9">
        <v>-0.29287316666666668</v>
      </c>
      <c r="M9">
        <v>-1.2148550000000002</v>
      </c>
      <c r="N9">
        <v>-0.29153016666666665</v>
      </c>
      <c r="O9">
        <v>-1.2151350000000001</v>
      </c>
      <c r="P9">
        <v>-0.28652050000000001</v>
      </c>
      <c r="Q9">
        <v>-1.2911116666666667</v>
      </c>
      <c r="R9">
        <v>-0.287829</v>
      </c>
      <c r="S9">
        <v>-1.2348233333333329</v>
      </c>
      <c r="T9">
        <v>-0.32722983333333333</v>
      </c>
      <c r="U9">
        <v>-1.1979283333333333</v>
      </c>
      <c r="V9">
        <v>-0.43549266666666669</v>
      </c>
      <c r="W9">
        <v>-1.1689766666666668</v>
      </c>
      <c r="X9">
        <v>-0.44202033333333324</v>
      </c>
      <c r="Y9">
        <v>-1.1208233333333333</v>
      </c>
      <c r="Z9">
        <v>-0.40808433333333327</v>
      </c>
      <c r="AA9">
        <v>-1.0790866666666667</v>
      </c>
      <c r="AB9">
        <v>-0.39074933333333339</v>
      </c>
      <c r="AC9">
        <v>-1.1077283333333332</v>
      </c>
      <c r="AD9">
        <v>-0.40671583333333339</v>
      </c>
      <c r="AE9">
        <v>-1.1346850000000002</v>
      </c>
      <c r="AF9">
        <v>-0.41506500000000002</v>
      </c>
      <c r="AG9">
        <v>-1.1340299999999999</v>
      </c>
      <c r="AH9">
        <v>-0.40988966666666665</v>
      </c>
      <c r="AI9">
        <v>-1.1671383333333334</v>
      </c>
      <c r="AJ9">
        <v>-0.42609483333333331</v>
      </c>
      <c r="AK9">
        <v>-1.2058016666666667</v>
      </c>
      <c r="AL9">
        <v>-0.44477233333333333</v>
      </c>
      <c r="AM9">
        <v>-1.1893066666666665</v>
      </c>
      <c r="AN9">
        <v>-0.43853749999999997</v>
      </c>
      <c r="AO9">
        <v>-1.1768766666666666</v>
      </c>
      <c r="AP9">
        <v>-0.41767683333333339</v>
      </c>
      <c r="AQ9">
        <v>-1.2504966666666666</v>
      </c>
      <c r="AR9">
        <v>-0.37772800000000001</v>
      </c>
      <c r="AS9">
        <v>-1.7258766666666667</v>
      </c>
      <c r="AT9">
        <v>-0.3505943333333334</v>
      </c>
      <c r="AU9">
        <v>-1.9846666666666668</v>
      </c>
      <c r="AV9">
        <v>-0.36131600000000003</v>
      </c>
      <c r="AW9">
        <v>-1.8466749999999998</v>
      </c>
      <c r="AX9">
        <v>-0.34396066666666669</v>
      </c>
      <c r="AY9">
        <v>-1.6136933333333334</v>
      </c>
      <c r="AZ9">
        <v>-0.3347383333333333</v>
      </c>
    </row>
    <row r="10" spans="1:57" x14ac:dyDescent="0.2">
      <c r="A10" t="s">
        <v>1987</v>
      </c>
      <c r="B10" t="s">
        <v>1484</v>
      </c>
      <c r="C10">
        <v>2</v>
      </c>
      <c r="D10" s="5">
        <v>42141</v>
      </c>
      <c r="E10">
        <v>-1.2163023333333334</v>
      </c>
      <c r="F10">
        <v>-0.27846683333333333</v>
      </c>
      <c r="G10">
        <v>-1.0229664999999999</v>
      </c>
      <c r="H10">
        <v>-0.23773799999999998</v>
      </c>
      <c r="I10">
        <v>-0.97894199999999998</v>
      </c>
      <c r="J10">
        <v>-0.21941433333333329</v>
      </c>
      <c r="K10">
        <v>-0.94922083333333329</v>
      </c>
      <c r="L10">
        <v>-0.21389316666666663</v>
      </c>
      <c r="M10">
        <v>-0.93322366666666678</v>
      </c>
      <c r="N10">
        <v>-0.21397450000000001</v>
      </c>
      <c r="O10">
        <v>-0.92808083333333347</v>
      </c>
      <c r="P10">
        <v>-0.21020566666666665</v>
      </c>
      <c r="Q10">
        <v>-0.95451683333333326</v>
      </c>
      <c r="R10">
        <v>-0.21308233333333332</v>
      </c>
      <c r="S10">
        <v>-0.92717700000000014</v>
      </c>
      <c r="T10">
        <v>-0.25954549999999998</v>
      </c>
      <c r="U10">
        <v>-1.0104263333333334</v>
      </c>
      <c r="V10">
        <v>-0.3908686666666667</v>
      </c>
      <c r="W10">
        <v>-1.0961566666666667</v>
      </c>
      <c r="X10">
        <v>-0.41506816666666668</v>
      </c>
      <c r="Y10">
        <v>-1.11253</v>
      </c>
      <c r="Z10">
        <v>-0.40512049999999999</v>
      </c>
      <c r="AA10">
        <v>-1.1147033333333332</v>
      </c>
      <c r="AB10">
        <v>-0.41361383333333335</v>
      </c>
      <c r="AC10">
        <v>-1.1147516666666668</v>
      </c>
      <c r="AD10">
        <v>-0.40888300000000005</v>
      </c>
      <c r="AE10">
        <v>-1.1349533333333333</v>
      </c>
      <c r="AF10">
        <v>-0.41339783333333335</v>
      </c>
      <c r="AG10">
        <v>-1.1690766666666665</v>
      </c>
      <c r="AH10">
        <v>-0.44226366666666667</v>
      </c>
      <c r="AI10">
        <v>-1.1814916666666668</v>
      </c>
      <c r="AJ10">
        <v>-0.44702333333333338</v>
      </c>
      <c r="AK10">
        <v>-1.2007216666666667</v>
      </c>
      <c r="AL10">
        <v>-0.46671383333333322</v>
      </c>
      <c r="AM10">
        <v>-1.188533333333333</v>
      </c>
      <c r="AN10">
        <v>-0.4602471666666666</v>
      </c>
      <c r="AO10">
        <v>-1.1885766666666666</v>
      </c>
      <c r="AP10">
        <v>-0.43089100000000002</v>
      </c>
      <c r="AQ10">
        <v>-1.2326783333333333</v>
      </c>
      <c r="AR10">
        <v>-0.40391966666666668</v>
      </c>
      <c r="AS10">
        <v>-1.6635016666666669</v>
      </c>
      <c r="AT10">
        <v>-0.35045900000000002</v>
      </c>
      <c r="AU10">
        <v>-1.9249400000000003</v>
      </c>
      <c r="AV10">
        <v>-0.34243599999999996</v>
      </c>
      <c r="AW10">
        <v>-1.7989516666666665</v>
      </c>
      <c r="AX10">
        <v>-0.34781150000000005</v>
      </c>
      <c r="AY10">
        <v>-1.5609083333333336</v>
      </c>
      <c r="AZ10">
        <v>-0.35204283333333336</v>
      </c>
    </row>
    <row r="11" spans="1:57" x14ac:dyDescent="0.2">
      <c r="A11" t="s">
        <v>1987</v>
      </c>
      <c r="B11" t="s">
        <v>1484</v>
      </c>
      <c r="C11">
        <v>2</v>
      </c>
      <c r="D11" s="5">
        <v>42148</v>
      </c>
      <c r="E11">
        <v>-1.3471683333333333</v>
      </c>
      <c r="F11">
        <v>-0.32308683333333327</v>
      </c>
      <c r="G11">
        <v>-1.2579899999999999</v>
      </c>
      <c r="H11">
        <v>-0.31848650000000006</v>
      </c>
      <c r="I11">
        <v>-1.2181616666666666</v>
      </c>
      <c r="J11">
        <v>-0.31796649999999999</v>
      </c>
      <c r="K11">
        <v>-1.1932816666666668</v>
      </c>
      <c r="L11">
        <v>-0.31623566666666664</v>
      </c>
      <c r="M11">
        <v>-1.1733766666666667</v>
      </c>
      <c r="N11">
        <v>-0.30962916666666668</v>
      </c>
      <c r="O11">
        <v>-1.1678183333333334</v>
      </c>
      <c r="P11">
        <v>-0.30591383333333327</v>
      </c>
      <c r="Q11">
        <v>-1.1875983333333333</v>
      </c>
      <c r="R11">
        <v>-0.29513266666666665</v>
      </c>
      <c r="S11">
        <v>-1.1295200000000003</v>
      </c>
      <c r="T11">
        <v>-0.345439</v>
      </c>
      <c r="U11">
        <v>-1.1465266666666667</v>
      </c>
      <c r="V11">
        <v>-0.45991133333333339</v>
      </c>
      <c r="W11">
        <v>-1.1366049999999999</v>
      </c>
      <c r="X11">
        <v>-0.44956300000000005</v>
      </c>
      <c r="Y11">
        <v>-1.105305</v>
      </c>
      <c r="Z11">
        <v>-0.41574849999999997</v>
      </c>
      <c r="AA11">
        <v>-1.103515</v>
      </c>
      <c r="AB11">
        <v>-0.4108956666666666</v>
      </c>
      <c r="AC11">
        <v>-1.0859166666666666</v>
      </c>
      <c r="AD11">
        <v>-0.40784183333333335</v>
      </c>
      <c r="AE11">
        <v>-1.0952066666666667</v>
      </c>
      <c r="AF11">
        <v>-0.4058688333333334</v>
      </c>
      <c r="AG11">
        <v>-1.1361416666666666</v>
      </c>
      <c r="AH11">
        <v>-0.42055166666666671</v>
      </c>
      <c r="AI11">
        <v>-1.1529083333333334</v>
      </c>
      <c r="AJ11">
        <v>-0.43020666666666663</v>
      </c>
      <c r="AK11">
        <v>-1.1646816666666666</v>
      </c>
      <c r="AL11">
        <v>-0.4422146666666667</v>
      </c>
      <c r="AM11">
        <v>-1.1548149999999999</v>
      </c>
      <c r="AN11">
        <v>-0.43418583333333338</v>
      </c>
      <c r="AO11">
        <v>-1.1489783333333332</v>
      </c>
      <c r="AP11">
        <v>-0.42627399999999993</v>
      </c>
      <c r="AQ11">
        <v>-1.1777766666666669</v>
      </c>
      <c r="AR11">
        <v>-0.39130733333333334</v>
      </c>
      <c r="AS11">
        <v>-1.5705516666666663</v>
      </c>
      <c r="AT11">
        <v>-0.31780783333333329</v>
      </c>
      <c r="AU11">
        <v>-1.8663183333333333</v>
      </c>
      <c r="AV11">
        <v>-0.31761949999999994</v>
      </c>
      <c r="AW11">
        <v>-1.7564066666666667</v>
      </c>
      <c r="AX11">
        <v>-0.32633066666666666</v>
      </c>
      <c r="AY11">
        <v>-1.5135399999999999</v>
      </c>
      <c r="AZ11">
        <v>-0.32798300000000002</v>
      </c>
    </row>
    <row r="12" spans="1:57" x14ac:dyDescent="0.2">
      <c r="A12" t="s">
        <v>1987</v>
      </c>
      <c r="B12" t="s">
        <v>1484</v>
      </c>
      <c r="C12">
        <v>3</v>
      </c>
      <c r="D12" s="5">
        <v>42112</v>
      </c>
      <c r="E12">
        <v>-1.1672550000000002</v>
      </c>
      <c r="F12">
        <v>-0.16409883333333333</v>
      </c>
      <c r="G12">
        <v>-1.0883300000000002</v>
      </c>
      <c r="H12">
        <v>-0.16354166666666664</v>
      </c>
      <c r="I12">
        <v>-1.0471000000000001</v>
      </c>
      <c r="J12">
        <v>-0.15568899999999999</v>
      </c>
      <c r="K12">
        <v>-1.0197216666666666</v>
      </c>
      <c r="L12">
        <v>-0.14689333333333335</v>
      </c>
      <c r="M12">
        <v>-1.0027093333333335</v>
      </c>
      <c r="N12">
        <v>-0.14473</v>
      </c>
      <c r="O12">
        <v>-1.0047470000000001</v>
      </c>
      <c r="P12">
        <v>-0.14419233333333334</v>
      </c>
      <c r="Q12">
        <v>-1.0492250000000001</v>
      </c>
      <c r="R12">
        <v>-0.14020916666666666</v>
      </c>
      <c r="S12">
        <v>-1.0380499999999999</v>
      </c>
      <c r="T12">
        <v>-0.16279266666666667</v>
      </c>
      <c r="U12">
        <v>-0.99499249999999995</v>
      </c>
      <c r="V12">
        <v>-0.26970149999999998</v>
      </c>
      <c r="W12">
        <v>-0.98584783333333326</v>
      </c>
      <c r="X12">
        <v>-0.2902198333333334</v>
      </c>
      <c r="Y12">
        <v>-0.95445883333333348</v>
      </c>
      <c r="Z12">
        <v>-0.25105066666666664</v>
      </c>
      <c r="AA12">
        <v>-0.94684533333333332</v>
      </c>
      <c r="AB12">
        <v>-0.23899383333333332</v>
      </c>
      <c r="AC12">
        <v>-0.96176233333333327</v>
      </c>
      <c r="AD12">
        <v>-0.24255983333333334</v>
      </c>
      <c r="AE12">
        <v>-0.98088900000000001</v>
      </c>
      <c r="AF12">
        <v>-0.25934600000000008</v>
      </c>
      <c r="AG12">
        <v>-0.93045250000000002</v>
      </c>
      <c r="AH12">
        <v>-0.2371355</v>
      </c>
      <c r="AI12">
        <v>-1.03586</v>
      </c>
      <c r="AJ12">
        <v>-0.28936616666666665</v>
      </c>
      <c r="AK12">
        <v>-0.90479649999999989</v>
      </c>
      <c r="AL12">
        <v>-0.2564555</v>
      </c>
      <c r="AM12">
        <v>-0.67260883333333321</v>
      </c>
      <c r="AN12">
        <v>-0.17259799999999997</v>
      </c>
      <c r="AO12">
        <v>-0.6572865</v>
      </c>
      <c r="AP12">
        <v>-0.14844566666666664</v>
      </c>
      <c r="AQ12">
        <v>-0.66992883333333331</v>
      </c>
      <c r="AR12">
        <v>-0.12795866666666664</v>
      </c>
      <c r="AS12">
        <v>-1.4694565000000002</v>
      </c>
      <c r="AT12">
        <v>-0.18633208333333334</v>
      </c>
      <c r="AU12">
        <v>-1.7809916666666665</v>
      </c>
      <c r="AV12">
        <v>-0.20768633333333333</v>
      </c>
      <c r="AW12">
        <v>-1.61591</v>
      </c>
      <c r="AX12">
        <v>-0.17748783333333332</v>
      </c>
      <c r="AY12">
        <v>-1.3834549999999999</v>
      </c>
      <c r="AZ12">
        <v>-0.16481166666666669</v>
      </c>
    </row>
    <row r="13" spans="1:57" x14ac:dyDescent="0.2">
      <c r="A13" t="s">
        <v>1987</v>
      </c>
      <c r="B13" t="s">
        <v>1484</v>
      </c>
      <c r="C13">
        <v>3</v>
      </c>
      <c r="D13" s="5">
        <v>42119</v>
      </c>
      <c r="E13">
        <v>-1.4236383333333333</v>
      </c>
      <c r="F13">
        <v>-0.34412599999999999</v>
      </c>
      <c r="G13">
        <v>-1.3325933333333333</v>
      </c>
      <c r="H13">
        <v>-0.33757216666666673</v>
      </c>
      <c r="I13">
        <v>-1.2736666666666667</v>
      </c>
      <c r="J13">
        <v>-0.3205351666666667</v>
      </c>
      <c r="K13">
        <v>-1.2327483333333331</v>
      </c>
      <c r="L13">
        <v>-0.31321199999999999</v>
      </c>
      <c r="M13">
        <v>-1.2134750000000001</v>
      </c>
      <c r="N13">
        <v>-0.31442983333333335</v>
      </c>
      <c r="O13">
        <v>-1.2040299999999997</v>
      </c>
      <c r="P13">
        <v>-0.30822416666666669</v>
      </c>
      <c r="Q13">
        <v>-1.2385633333333332</v>
      </c>
      <c r="R13">
        <v>-0.30697449999999998</v>
      </c>
      <c r="S13">
        <v>-1.0936796666666666</v>
      </c>
      <c r="T13">
        <v>-0.32482516666666666</v>
      </c>
      <c r="U13">
        <v>-1.2051733333333332</v>
      </c>
      <c r="V13">
        <v>-0.49661500000000003</v>
      </c>
      <c r="W13">
        <v>-1.1799950000000001</v>
      </c>
      <c r="X13">
        <v>-0.47609416666666671</v>
      </c>
      <c r="Y13">
        <v>-1.1574966666666666</v>
      </c>
      <c r="Z13">
        <v>-0.4459596666666667</v>
      </c>
      <c r="AA13">
        <v>-1.1488983333333334</v>
      </c>
      <c r="AB13">
        <v>-0.43284333333333325</v>
      </c>
      <c r="AC13">
        <v>-1.1737466666666667</v>
      </c>
      <c r="AD13">
        <v>-0.43982750000000004</v>
      </c>
      <c r="AE13">
        <v>-1.2026783333333333</v>
      </c>
      <c r="AF13">
        <v>-0.445575</v>
      </c>
      <c r="AG13">
        <v>-1.2060599999999999</v>
      </c>
      <c r="AH13">
        <v>-0.44282416666666657</v>
      </c>
      <c r="AI13">
        <v>-1.22105</v>
      </c>
      <c r="AJ13">
        <v>-0.45490216666666666</v>
      </c>
      <c r="AK13">
        <v>-1.1363066666666666</v>
      </c>
      <c r="AL13">
        <v>-0.42785150000000005</v>
      </c>
      <c r="AM13">
        <v>-1.2273000000000001</v>
      </c>
      <c r="AN13">
        <v>-0.47855083333333331</v>
      </c>
      <c r="AO13">
        <v>-1.1964300000000001</v>
      </c>
      <c r="AP13">
        <v>-0.4457308333333333</v>
      </c>
      <c r="AQ13">
        <v>-1.2135816666666668</v>
      </c>
      <c r="AR13">
        <v>-0.40184466666666668</v>
      </c>
      <c r="AS13">
        <v>-1.7191983333333334</v>
      </c>
      <c r="AT13">
        <v>-0.35269383333333332</v>
      </c>
      <c r="AU13">
        <v>-1.9681116666666667</v>
      </c>
      <c r="AV13">
        <v>-0.35110066666666667</v>
      </c>
      <c r="AW13">
        <v>-1.821175</v>
      </c>
      <c r="AX13">
        <v>-0.34120416666666664</v>
      </c>
      <c r="AY13">
        <v>-1.5661616666666667</v>
      </c>
      <c r="AZ13">
        <v>-0.31627450000000001</v>
      </c>
    </row>
    <row r="14" spans="1:57" x14ac:dyDescent="0.2">
      <c r="A14" t="s">
        <v>1987</v>
      </c>
      <c r="B14" t="s">
        <v>1484</v>
      </c>
      <c r="C14">
        <v>3</v>
      </c>
      <c r="D14" s="5">
        <v>42133</v>
      </c>
      <c r="E14">
        <v>-1.4162783333333335</v>
      </c>
      <c r="F14">
        <v>-0.32102233333333335</v>
      </c>
      <c r="G14">
        <v>-1.3276966666666667</v>
      </c>
      <c r="H14">
        <v>-0.31760466666666659</v>
      </c>
      <c r="I14">
        <v>-1.2800633333333333</v>
      </c>
      <c r="J14">
        <v>-0.31365333333333334</v>
      </c>
      <c r="K14">
        <v>-1.2417516666666666</v>
      </c>
      <c r="L14">
        <v>-0.29852383333333338</v>
      </c>
      <c r="M14">
        <v>-1.2148766666666668</v>
      </c>
      <c r="N14">
        <v>-0.29261583333333335</v>
      </c>
      <c r="O14">
        <v>-1.2084566666666667</v>
      </c>
      <c r="P14">
        <v>-0.28798666666666661</v>
      </c>
      <c r="Q14">
        <v>-1.2531516666666667</v>
      </c>
      <c r="R14">
        <v>-0.2883343333333333</v>
      </c>
      <c r="S14">
        <v>-1.2077733333333334</v>
      </c>
      <c r="T14">
        <v>-0.345945</v>
      </c>
      <c r="U14">
        <v>-1.2052116666666668</v>
      </c>
      <c r="V14">
        <v>-0.47080883333333334</v>
      </c>
      <c r="W14">
        <v>-1.1887716666666668</v>
      </c>
      <c r="X14">
        <v>-0.46107466666666669</v>
      </c>
      <c r="Y14">
        <v>-1.1621966666666668</v>
      </c>
      <c r="Z14">
        <v>-0.43031633333333336</v>
      </c>
      <c r="AA14">
        <v>-1.1499183333333334</v>
      </c>
      <c r="AB14">
        <v>-0.41537699999999994</v>
      </c>
      <c r="AC14">
        <v>-1.13758</v>
      </c>
      <c r="AD14">
        <v>-0.40256400000000003</v>
      </c>
      <c r="AE14">
        <v>-1.1689566666666666</v>
      </c>
      <c r="AF14">
        <v>-0.41754366666666665</v>
      </c>
      <c r="AG14">
        <v>-1.1724600000000001</v>
      </c>
      <c r="AH14">
        <v>-0.42222799999999999</v>
      </c>
      <c r="AI14">
        <v>-1.2255966666666667</v>
      </c>
      <c r="AJ14">
        <v>-0.46536933333333325</v>
      </c>
      <c r="AK14">
        <v>-1.2390299999999999</v>
      </c>
      <c r="AL14">
        <v>-0.47997133333333336</v>
      </c>
      <c r="AM14">
        <v>-1.2230033333333332</v>
      </c>
      <c r="AN14">
        <v>-0.47849133333333332</v>
      </c>
      <c r="AO14">
        <v>-1.2026999999999999</v>
      </c>
      <c r="AP14">
        <v>-0.45330750000000009</v>
      </c>
      <c r="AQ14">
        <v>-1.2684199999999999</v>
      </c>
      <c r="AR14">
        <v>-0.41050083333333331</v>
      </c>
      <c r="AS14">
        <v>-1.7224166666666667</v>
      </c>
      <c r="AT14">
        <v>-0.35604066666666662</v>
      </c>
      <c r="AU14">
        <v>-1.9911949999999998</v>
      </c>
      <c r="AV14">
        <v>-0.3510813333333333</v>
      </c>
      <c r="AW14">
        <v>-1.8689566666666666</v>
      </c>
      <c r="AX14">
        <v>-0.32928499999999999</v>
      </c>
      <c r="AY14">
        <v>-1.6663266666666667</v>
      </c>
      <c r="AZ14">
        <v>-0.33098916666666667</v>
      </c>
    </row>
    <row r="15" spans="1:57" x14ac:dyDescent="0.2">
      <c r="A15" t="s">
        <v>1987</v>
      </c>
      <c r="B15" t="s">
        <v>1484</v>
      </c>
      <c r="C15">
        <v>3</v>
      </c>
      <c r="D15" s="5">
        <v>42140</v>
      </c>
      <c r="E15">
        <v>-1.3937416666666667</v>
      </c>
      <c r="F15">
        <v>-0.34848716666666674</v>
      </c>
      <c r="G15">
        <v>-1.3130716666666666</v>
      </c>
      <c r="H15">
        <v>-0.3349881666666667</v>
      </c>
      <c r="I15">
        <v>-1.2754183333333333</v>
      </c>
      <c r="J15">
        <v>-0.33317166666666664</v>
      </c>
      <c r="K15">
        <v>-1.2463649999999999</v>
      </c>
      <c r="L15">
        <v>-0.32464800000000005</v>
      </c>
      <c r="M15">
        <v>-1.2330633333333332</v>
      </c>
      <c r="N15">
        <v>-0.3246115</v>
      </c>
      <c r="O15">
        <v>-1.2289649999999999</v>
      </c>
      <c r="P15">
        <v>-0.31588366666666667</v>
      </c>
      <c r="Q15">
        <v>-1.2566499999999998</v>
      </c>
      <c r="R15">
        <v>-0.3081848333333333</v>
      </c>
      <c r="S15">
        <v>-1.235115</v>
      </c>
      <c r="T15">
        <v>-0.37271833333333343</v>
      </c>
      <c r="U15">
        <v>-1.2202833333333336</v>
      </c>
      <c r="V15">
        <v>-0.49486716666666664</v>
      </c>
      <c r="W15">
        <v>-1.2008500000000002</v>
      </c>
      <c r="X15">
        <v>-0.48150066666666674</v>
      </c>
      <c r="Y15">
        <v>-1.1649449999999999</v>
      </c>
      <c r="Z15">
        <v>-0.44200516666666662</v>
      </c>
      <c r="AA15">
        <v>-1.1445516666666666</v>
      </c>
      <c r="AB15">
        <v>-0.42414883333333336</v>
      </c>
      <c r="AC15">
        <v>-1.1512200000000001</v>
      </c>
      <c r="AD15">
        <v>-0.42384600000000006</v>
      </c>
      <c r="AE15">
        <v>-1.1594599999999999</v>
      </c>
      <c r="AF15">
        <v>-0.42903716666666675</v>
      </c>
      <c r="AG15">
        <v>-1.1785833333333333</v>
      </c>
      <c r="AH15">
        <v>-0.4390478333333333</v>
      </c>
      <c r="AI15">
        <v>-1.1875100000000001</v>
      </c>
      <c r="AJ15">
        <v>-0.45106149999999995</v>
      </c>
      <c r="AK15">
        <v>-1.1978716666666667</v>
      </c>
      <c r="AL15">
        <v>-0.43263483333333336</v>
      </c>
      <c r="AM15">
        <v>-1.2341216666666666</v>
      </c>
      <c r="AN15">
        <v>-0.40498849999999997</v>
      </c>
      <c r="AO15">
        <v>-1.2718583333333333</v>
      </c>
      <c r="AP15">
        <v>-0.3809501666666667</v>
      </c>
      <c r="AQ15">
        <v>-1.4096666666666668</v>
      </c>
      <c r="AR15">
        <v>-0.35535633333333333</v>
      </c>
      <c r="AS15">
        <v>-1.7470699999999997</v>
      </c>
      <c r="AT15">
        <v>-0.3222328333333333</v>
      </c>
      <c r="AU15">
        <v>-1.8382583333333331</v>
      </c>
      <c r="AV15">
        <v>-0.32370216666666662</v>
      </c>
      <c r="AW15">
        <v>-1.675915</v>
      </c>
      <c r="AX15">
        <v>-0.31779933333333332</v>
      </c>
      <c r="AY15">
        <v>-1.4823383333333331</v>
      </c>
      <c r="AZ15">
        <v>-0.31374949999999996</v>
      </c>
    </row>
    <row r="16" spans="1:57" x14ac:dyDescent="0.2">
      <c r="A16" t="s">
        <v>1987</v>
      </c>
      <c r="B16" t="s">
        <v>1484</v>
      </c>
      <c r="C16">
        <v>3</v>
      </c>
      <c r="D16" s="5">
        <v>42147</v>
      </c>
      <c r="E16">
        <v>-1.3302533333333333</v>
      </c>
      <c r="F16">
        <v>-0.33950266666666662</v>
      </c>
      <c r="G16">
        <v>-1.2451116666666666</v>
      </c>
      <c r="H16">
        <v>-0.31745933333333337</v>
      </c>
      <c r="I16">
        <v>-1.2122733333333333</v>
      </c>
      <c r="J16">
        <v>-0.32293566666666668</v>
      </c>
      <c r="K16">
        <v>-1.192555</v>
      </c>
      <c r="L16">
        <v>-0.32775399999999999</v>
      </c>
      <c r="M16">
        <v>-1.1786700000000001</v>
      </c>
      <c r="N16">
        <v>-0.32914066666666669</v>
      </c>
      <c r="O16">
        <v>-1.1613266666666666</v>
      </c>
      <c r="P16">
        <v>-0.32180333333333333</v>
      </c>
      <c r="Q16">
        <v>-1.1887316666666665</v>
      </c>
      <c r="R16">
        <v>-0.31069466666666673</v>
      </c>
      <c r="S16">
        <v>-1.2118816666666667</v>
      </c>
      <c r="T16">
        <v>-0.3595976666666667</v>
      </c>
      <c r="U16">
        <v>-1.2307733333333333</v>
      </c>
      <c r="V16">
        <v>-0.4610751666666667</v>
      </c>
      <c r="W16">
        <v>-1.215935</v>
      </c>
      <c r="X16">
        <v>-0.47103950000000006</v>
      </c>
      <c r="Y16">
        <v>-1.1134900000000001</v>
      </c>
      <c r="Z16">
        <v>-0.42123433333333332</v>
      </c>
      <c r="AA16">
        <v>-1.0576166666666666</v>
      </c>
      <c r="AB16">
        <v>-0.38401533333333332</v>
      </c>
      <c r="AC16">
        <v>-1.0597816666666666</v>
      </c>
      <c r="AD16">
        <v>-0.38540799999999997</v>
      </c>
      <c r="AE16">
        <v>-1.0775083333333333</v>
      </c>
      <c r="AF16">
        <v>-0.39897783333333336</v>
      </c>
      <c r="AG16">
        <v>-1.0859449999999999</v>
      </c>
      <c r="AH16">
        <v>-0.40489450000000005</v>
      </c>
      <c r="AI16">
        <v>-1.0977133333333333</v>
      </c>
      <c r="AJ16">
        <v>-0.40862500000000002</v>
      </c>
      <c r="AK16">
        <v>-1.1045566666666664</v>
      </c>
      <c r="AL16">
        <v>-0.41799966666666677</v>
      </c>
      <c r="AM16">
        <v>-1.1751583333333333</v>
      </c>
      <c r="AN16">
        <v>-0.44586716666666659</v>
      </c>
      <c r="AO16">
        <v>-1.18224</v>
      </c>
      <c r="AP16">
        <v>-0.41681950000000001</v>
      </c>
      <c r="AQ16">
        <v>-1.2291783333333333</v>
      </c>
      <c r="AR16">
        <v>-0.38807916666666664</v>
      </c>
      <c r="AS16">
        <v>-1.6007916666666668</v>
      </c>
      <c r="AT16">
        <v>-0.32778783333333339</v>
      </c>
      <c r="AU16">
        <v>-1.8262100000000001</v>
      </c>
      <c r="AV16">
        <v>-0.31313283333333336</v>
      </c>
      <c r="AW16">
        <v>-1.6964699999999999</v>
      </c>
      <c r="AX16">
        <v>-0.31128333333333336</v>
      </c>
      <c r="AY16">
        <v>-1.4973999999999998</v>
      </c>
      <c r="AZ16">
        <v>-0.32220066666666669</v>
      </c>
    </row>
    <row r="17" spans="1:52" x14ac:dyDescent="0.2">
      <c r="A17" t="s">
        <v>1987</v>
      </c>
      <c r="B17" t="s">
        <v>1484</v>
      </c>
      <c r="C17">
        <v>4</v>
      </c>
      <c r="D17" s="5">
        <v>42107</v>
      </c>
      <c r="E17">
        <v>-1.1647283333333334</v>
      </c>
      <c r="F17">
        <v>-0.167792</v>
      </c>
      <c r="G17">
        <v>-1.0878700000000001</v>
      </c>
      <c r="H17">
        <v>-0.15863066666666664</v>
      </c>
      <c r="I17">
        <v>-1.0485899999999999</v>
      </c>
      <c r="J17">
        <v>-0.15661433333333333</v>
      </c>
      <c r="K17">
        <v>-1.0188700000000002</v>
      </c>
      <c r="L17">
        <v>-0.14458000000000001</v>
      </c>
      <c r="M17">
        <v>-1.0029985000000001</v>
      </c>
      <c r="N17">
        <v>-0.13896633333333333</v>
      </c>
      <c r="O17">
        <v>-1.0092395000000001</v>
      </c>
      <c r="P17">
        <v>-0.13383200000000003</v>
      </c>
      <c r="Q17">
        <v>-1.0964666666666665</v>
      </c>
      <c r="R17">
        <v>-0.11903016666666667</v>
      </c>
      <c r="S17">
        <v>-1.1696699999999998</v>
      </c>
      <c r="T17">
        <v>-0.16567050000000003</v>
      </c>
      <c r="U17">
        <v>-1.0554349999999999</v>
      </c>
      <c r="V17">
        <v>-0.29609800000000003</v>
      </c>
      <c r="W17">
        <v>-0.99434366666666663</v>
      </c>
      <c r="X17">
        <v>-0.28779699999999997</v>
      </c>
      <c r="Y17">
        <v>-0.95024533333333328</v>
      </c>
      <c r="Z17">
        <v>-0.24219450000000003</v>
      </c>
      <c r="AA17">
        <v>-0.94619683333333326</v>
      </c>
      <c r="AB17">
        <v>-0.23132100000000003</v>
      </c>
      <c r="AC17">
        <v>-0.97765516666666674</v>
      </c>
      <c r="AD17">
        <v>-0.24299566666666667</v>
      </c>
      <c r="AE17">
        <v>-1.0202899999999999</v>
      </c>
      <c r="AF17">
        <v>-0.26777333333333331</v>
      </c>
      <c r="AG17">
        <v>-1.0438750000000003</v>
      </c>
      <c r="AH17">
        <v>-0.27799533333333332</v>
      </c>
      <c r="AI17">
        <v>-1.0554516666666669</v>
      </c>
      <c r="AJ17">
        <v>-0.28311883333333332</v>
      </c>
      <c r="AK17">
        <v>-1.0605649999999998</v>
      </c>
      <c r="AL17">
        <v>-0.28975099999999998</v>
      </c>
      <c r="AM17">
        <v>-1.0522033333333334</v>
      </c>
      <c r="AN17">
        <v>-0.29247033333333339</v>
      </c>
      <c r="AO17">
        <v>-1.0196633333333334</v>
      </c>
      <c r="AP17">
        <v>-0.27695150000000002</v>
      </c>
      <c r="AQ17">
        <v>-1.0385591666666667</v>
      </c>
      <c r="AR17">
        <v>-0.24763016666666668</v>
      </c>
      <c r="AS17">
        <v>-1.5591816666666667</v>
      </c>
      <c r="AT17">
        <v>-0.19410716666666666</v>
      </c>
      <c r="AU17">
        <v>-1.7552383333333335</v>
      </c>
      <c r="AV17">
        <v>-0.17885883333333333</v>
      </c>
      <c r="AW17">
        <v>-1.6339983333333332</v>
      </c>
      <c r="AX17">
        <v>-0.17407399999999998</v>
      </c>
      <c r="AY17">
        <v>-1.3434350000000002</v>
      </c>
      <c r="AZ17">
        <v>-0.17163999999999999</v>
      </c>
    </row>
    <row r="18" spans="1:52" x14ac:dyDescent="0.2">
      <c r="A18" t="s">
        <v>1987</v>
      </c>
      <c r="B18" t="s">
        <v>1484</v>
      </c>
      <c r="C18">
        <v>4</v>
      </c>
      <c r="D18" s="5">
        <v>42114</v>
      </c>
      <c r="E18">
        <v>-1.1412533333333332</v>
      </c>
      <c r="F18">
        <v>-0.16349950000000002</v>
      </c>
      <c r="G18">
        <v>-1.0704633333333333</v>
      </c>
      <c r="H18">
        <v>-0.156916</v>
      </c>
      <c r="I18">
        <v>-1.0372250000000001</v>
      </c>
      <c r="J18">
        <v>-0.15261983333333334</v>
      </c>
      <c r="K18">
        <v>-1.0124416666666667</v>
      </c>
      <c r="L18">
        <v>-0.15049899999999999</v>
      </c>
      <c r="M18">
        <v>-0.99607933333333343</v>
      </c>
      <c r="N18">
        <v>-0.145928</v>
      </c>
      <c r="O18">
        <v>-1.0065565000000001</v>
      </c>
      <c r="P18">
        <v>-0.14302883333333336</v>
      </c>
      <c r="Q18">
        <v>-1.100875</v>
      </c>
      <c r="R18">
        <v>-0.13117233333333334</v>
      </c>
      <c r="S18">
        <v>-1.1377683333333333</v>
      </c>
      <c r="T18">
        <v>-0.16769000000000001</v>
      </c>
      <c r="U18">
        <v>-1.0271016666666666</v>
      </c>
      <c r="V18">
        <v>-0.28179916666666666</v>
      </c>
      <c r="W18">
        <v>-0.96744133333333326</v>
      </c>
      <c r="X18">
        <v>-0.28148116666666662</v>
      </c>
      <c r="Y18">
        <v>-0.935284</v>
      </c>
      <c r="Z18">
        <v>-0.24589133333333332</v>
      </c>
      <c r="AA18">
        <v>-0.94257933333333321</v>
      </c>
      <c r="AB18">
        <v>-0.24805066666666664</v>
      </c>
      <c r="AC18">
        <v>-0.97378083333333321</v>
      </c>
      <c r="AD18">
        <v>-0.25328699999999998</v>
      </c>
      <c r="AE18">
        <v>-1.0322049999999998</v>
      </c>
      <c r="AF18">
        <v>-0.28342600000000001</v>
      </c>
      <c r="AG18">
        <v>-1.0548550000000001</v>
      </c>
      <c r="AH18">
        <v>-0.2900766666666667</v>
      </c>
      <c r="AI18">
        <v>-1.0682666666666667</v>
      </c>
      <c r="AJ18">
        <v>-0.29839116666666665</v>
      </c>
      <c r="AK18">
        <v>-1.070306666666667</v>
      </c>
      <c r="AL18">
        <v>-0.30202699999999999</v>
      </c>
      <c r="AM18">
        <v>-1.0682749999999999</v>
      </c>
      <c r="AN18">
        <v>-0.3039405</v>
      </c>
      <c r="AO18">
        <v>-1.0429849999999998</v>
      </c>
      <c r="AP18">
        <v>-0.27905383333333339</v>
      </c>
      <c r="AQ18">
        <v>-1.0512650000000001</v>
      </c>
      <c r="AR18">
        <v>-0.24428499999999997</v>
      </c>
      <c r="AS18">
        <v>-1.4575916666666664</v>
      </c>
      <c r="AT18">
        <v>-0.18956750000000003</v>
      </c>
      <c r="AU18">
        <v>-1.7607366666666666</v>
      </c>
      <c r="AV18">
        <v>-0.17399116666666667</v>
      </c>
      <c r="AW18">
        <v>-1.6332716666666665</v>
      </c>
      <c r="AX18">
        <v>-0.18325083333333331</v>
      </c>
      <c r="AY18">
        <v>-1.3305783333333332</v>
      </c>
      <c r="AZ18">
        <v>-0.17526983333333332</v>
      </c>
    </row>
    <row r="19" spans="1:52" s="17" customFormat="1" x14ac:dyDescent="0.2">
      <c r="A19" s="17" t="s">
        <v>1987</v>
      </c>
      <c r="B19" s="17" t="s">
        <v>1484</v>
      </c>
      <c r="C19" s="17">
        <v>4</v>
      </c>
      <c r="D19" s="41">
        <v>42128</v>
      </c>
      <c r="E19" s="17">
        <v>-1.3923550000000002</v>
      </c>
      <c r="F19" s="17">
        <v>-0.30989883333333335</v>
      </c>
      <c r="G19" s="17">
        <v>-1.3051116666666667</v>
      </c>
      <c r="H19" s="17">
        <v>-0.30753849999999999</v>
      </c>
      <c r="I19" s="17">
        <v>-1.2506766666666664</v>
      </c>
      <c r="J19" s="17">
        <v>-0.29747866666666672</v>
      </c>
      <c r="K19" s="17">
        <v>-1.2206316666666666</v>
      </c>
      <c r="L19" s="17">
        <v>-0.29119966666666663</v>
      </c>
      <c r="M19" s="17">
        <v>-1.2009449999999999</v>
      </c>
      <c r="N19" s="17">
        <v>-0.28866266666666668</v>
      </c>
      <c r="O19" s="17">
        <v>-1.1979616666666668</v>
      </c>
      <c r="P19" s="17">
        <v>-0.28537416666666665</v>
      </c>
      <c r="Q19" s="17">
        <v>-1.2400949999999999</v>
      </c>
      <c r="R19" s="17">
        <v>-0.27962666666666663</v>
      </c>
      <c r="S19" s="17">
        <v>-1.2213783333333332</v>
      </c>
      <c r="T19" s="17">
        <v>-0.34025333333333341</v>
      </c>
      <c r="U19" s="17">
        <v>-1.2188283333333334</v>
      </c>
      <c r="V19" s="17">
        <v>-0.46198016666666664</v>
      </c>
      <c r="W19" s="17">
        <v>-1.1840999999999999</v>
      </c>
      <c r="X19" s="17">
        <v>-0.45114416666666662</v>
      </c>
      <c r="Y19" s="17">
        <v>-1.1358916666666667</v>
      </c>
      <c r="Z19" s="17">
        <v>-0.41148683333333336</v>
      </c>
      <c r="AA19" s="17">
        <v>-1.1171533333333334</v>
      </c>
      <c r="AB19" s="17">
        <v>-0.39675099999999996</v>
      </c>
      <c r="AC19" s="17">
        <v>-1.1370916666666664</v>
      </c>
      <c r="AD19" s="17">
        <v>-0.40755983333333329</v>
      </c>
      <c r="AE19" s="17">
        <v>-1.1873199999999999</v>
      </c>
      <c r="AF19" s="17">
        <v>-0.42806116666666666</v>
      </c>
      <c r="AG19" s="17">
        <v>-1.1969316666666665</v>
      </c>
      <c r="AH19" s="17">
        <v>-0.4206423333333334</v>
      </c>
      <c r="AI19" s="17">
        <v>-1.2173399999999999</v>
      </c>
      <c r="AJ19" s="17">
        <v>-0.42860533333333323</v>
      </c>
      <c r="AK19" s="17">
        <v>-1.2298466666666665</v>
      </c>
      <c r="AL19" s="17">
        <v>-0.43883049999999996</v>
      </c>
      <c r="AM19" s="17">
        <v>-1.2296800000000001</v>
      </c>
      <c r="AN19" s="17">
        <v>-0.44076000000000004</v>
      </c>
      <c r="AO19" s="17">
        <v>-1.2085200000000003</v>
      </c>
      <c r="AP19" s="17">
        <v>-0.41917483333333344</v>
      </c>
      <c r="AQ19" s="17">
        <v>-1.2441433333333334</v>
      </c>
      <c r="AR19" s="17">
        <v>-0.38320949999999998</v>
      </c>
      <c r="AS19" s="17">
        <v>-1.7547416666666666</v>
      </c>
      <c r="AT19" s="17">
        <v>-0.35712983333333337</v>
      </c>
      <c r="AU19" s="17">
        <v>-2.0081283333333335</v>
      </c>
      <c r="AV19" s="17">
        <v>-0.35571366666666659</v>
      </c>
      <c r="AW19" s="17">
        <v>-1.8584916666666667</v>
      </c>
      <c r="AX19" s="17">
        <v>-0.35813783333333327</v>
      </c>
      <c r="AY19" s="17">
        <v>-1.5466033333333333</v>
      </c>
      <c r="AZ19" s="17">
        <v>-0.31936116666666664</v>
      </c>
    </row>
    <row r="20" spans="1:52" x14ac:dyDescent="0.2">
      <c r="A20" t="s">
        <v>1987</v>
      </c>
      <c r="B20" t="s">
        <v>1484</v>
      </c>
      <c r="C20">
        <v>4</v>
      </c>
      <c r="D20" s="5">
        <v>42135</v>
      </c>
      <c r="E20">
        <v>-1.4360383333333331</v>
      </c>
      <c r="F20">
        <v>-0.33311583333333333</v>
      </c>
      <c r="G20">
        <v>-1.3504616666666669</v>
      </c>
      <c r="H20">
        <v>-0.33171366666666668</v>
      </c>
      <c r="I20">
        <v>-1.2792150000000002</v>
      </c>
      <c r="J20">
        <v>-0.30439083333333333</v>
      </c>
      <c r="K20">
        <v>-1.2474133333333333</v>
      </c>
      <c r="L20">
        <v>-0.2972143333333333</v>
      </c>
      <c r="M20">
        <v>-1.2211566666666667</v>
      </c>
      <c r="N20">
        <v>-0.2881205</v>
      </c>
      <c r="O20">
        <v>-1.2191183333333331</v>
      </c>
      <c r="P20">
        <v>-0.28705599999999998</v>
      </c>
      <c r="Q20">
        <v>-1.2848333333333335</v>
      </c>
      <c r="R20">
        <v>-0.28331433333333339</v>
      </c>
      <c r="S20">
        <v>-1.2816266666666667</v>
      </c>
      <c r="T20">
        <v>-0.34020666666666666</v>
      </c>
      <c r="U20">
        <v>-1.2471816666666666</v>
      </c>
      <c r="V20">
        <v>-0.45791150000000008</v>
      </c>
      <c r="W20">
        <v>-1.2067749999999999</v>
      </c>
      <c r="X20">
        <v>-0.46796633333333332</v>
      </c>
      <c r="Y20">
        <v>-1.1739766666666667</v>
      </c>
      <c r="Z20">
        <v>-0.43884549999999994</v>
      </c>
      <c r="AA20">
        <v>-1.1709983333333331</v>
      </c>
      <c r="AB20">
        <v>-0.42516850000000006</v>
      </c>
      <c r="AC20">
        <v>-1.1848599999999998</v>
      </c>
      <c r="AD20">
        <v>-0.41828350000000003</v>
      </c>
      <c r="AE20">
        <v>-1.2226983333333334</v>
      </c>
      <c r="AF20">
        <v>-0.43469033333333329</v>
      </c>
      <c r="AG20">
        <v>-1.1918193333333331</v>
      </c>
      <c r="AH20">
        <v>-0.42985183333333332</v>
      </c>
      <c r="AI20">
        <v>-1.250105</v>
      </c>
      <c r="AJ20">
        <v>-0.44854683333333334</v>
      </c>
      <c r="AK20">
        <v>-1.2682500000000001</v>
      </c>
      <c r="AL20">
        <v>-0.46064933333333336</v>
      </c>
      <c r="AM20">
        <v>-1.2670333333333335</v>
      </c>
      <c r="AN20">
        <v>-0.46458616666666663</v>
      </c>
      <c r="AO20">
        <v>-1.24813</v>
      </c>
      <c r="AP20">
        <v>-0.45528716666666669</v>
      </c>
      <c r="AQ20">
        <v>-1.2962</v>
      </c>
      <c r="AR20">
        <v>-0.40732449999999992</v>
      </c>
      <c r="AS20">
        <v>-1.7568550000000003</v>
      </c>
      <c r="AT20">
        <v>-0.35022016666666667</v>
      </c>
      <c r="AU20">
        <v>-1.9981283333333333</v>
      </c>
      <c r="AV20">
        <v>-0.34389816666666667</v>
      </c>
      <c r="AW20">
        <v>-1.8832283333333333</v>
      </c>
      <c r="AX20">
        <v>-0.34746549999999998</v>
      </c>
      <c r="AY20">
        <v>-1.6187716666666667</v>
      </c>
      <c r="AZ20">
        <v>-0.3380063333333333</v>
      </c>
    </row>
    <row r="21" spans="1:52" x14ac:dyDescent="0.2">
      <c r="A21" t="s">
        <v>1987</v>
      </c>
      <c r="B21" t="s">
        <v>1484</v>
      </c>
      <c r="C21">
        <v>4</v>
      </c>
      <c r="D21" s="5">
        <v>42142</v>
      </c>
      <c r="E21">
        <v>-1.3793950000000001</v>
      </c>
      <c r="F21">
        <v>-0.34149399999999996</v>
      </c>
      <c r="G21">
        <v>-1.2996383333333332</v>
      </c>
      <c r="H21">
        <v>-0.33663083333333332</v>
      </c>
      <c r="I21">
        <v>-1.2685616666666668</v>
      </c>
      <c r="J21">
        <v>-0.34039500000000006</v>
      </c>
      <c r="K21">
        <v>-1.2441716666666669</v>
      </c>
      <c r="L21">
        <v>-0.33757366666666661</v>
      </c>
      <c r="M21">
        <v>-1.2337266666666666</v>
      </c>
      <c r="N21">
        <v>-0.33773500000000006</v>
      </c>
      <c r="O21">
        <v>-1.2405350000000002</v>
      </c>
      <c r="P21">
        <v>-0.33421200000000001</v>
      </c>
      <c r="Q21">
        <v>-1.2581800000000001</v>
      </c>
      <c r="R21">
        <v>-0.32785399999999998</v>
      </c>
      <c r="U21">
        <v>-1.2608433333333335</v>
      </c>
      <c r="V21">
        <v>-0.50378766666666663</v>
      </c>
      <c r="W21">
        <v>-1.1947483333333333</v>
      </c>
      <c r="X21">
        <v>-0.4640758333333333</v>
      </c>
      <c r="Y21">
        <v>-1.166825</v>
      </c>
      <c r="Z21">
        <v>-0.43607266666666661</v>
      </c>
      <c r="AA21">
        <v>-1.16065</v>
      </c>
      <c r="AB21">
        <v>-0.42828516666666672</v>
      </c>
      <c r="AC21">
        <v>-1.1852083333333332</v>
      </c>
      <c r="AD21">
        <v>-0.4237703333333333</v>
      </c>
      <c r="AE21">
        <v>-1.192315</v>
      </c>
      <c r="AF21">
        <v>-0.41449800000000003</v>
      </c>
      <c r="AG21">
        <v>-1.2511633333333332</v>
      </c>
      <c r="AH21">
        <v>-0.45871533333333331</v>
      </c>
      <c r="AI21">
        <v>-1.2575533333333333</v>
      </c>
      <c r="AJ21">
        <v>-0.46597216666666669</v>
      </c>
      <c r="AK21">
        <v>-1.2819950000000002</v>
      </c>
      <c r="AL21">
        <v>-0.48198550000000001</v>
      </c>
      <c r="AM21">
        <v>-1.2669250000000001</v>
      </c>
      <c r="AN21">
        <v>-0.47313916666666667</v>
      </c>
      <c r="AO21">
        <v>-1.2399833333333334</v>
      </c>
      <c r="AP21">
        <v>-0.45127400000000006</v>
      </c>
      <c r="AQ21">
        <v>-1.2858550000000002</v>
      </c>
      <c r="AR21">
        <v>-0.4082371666666666</v>
      </c>
      <c r="AS21">
        <v>-1.6799466666666667</v>
      </c>
      <c r="AT21">
        <v>-0.35441816666666665</v>
      </c>
      <c r="AU21">
        <v>-1.9585500000000002</v>
      </c>
      <c r="AV21">
        <v>-0.35400999999999999</v>
      </c>
      <c r="AW21">
        <v>-1.8225883333333335</v>
      </c>
      <c r="AX21">
        <v>-0.34628150000000002</v>
      </c>
      <c r="AY21">
        <v>-1.5051933333333334</v>
      </c>
      <c r="AZ21">
        <v>-0.32993800000000006</v>
      </c>
    </row>
    <row r="22" spans="1:52" x14ac:dyDescent="0.2">
      <c r="A22" t="s">
        <v>1987</v>
      </c>
      <c r="B22" t="s">
        <v>1484</v>
      </c>
      <c r="C22">
        <v>5</v>
      </c>
      <c r="D22" s="5">
        <v>42111</v>
      </c>
      <c r="E22">
        <v>-1.1723599999999998</v>
      </c>
      <c r="F22">
        <v>-0.17809149999999999</v>
      </c>
      <c r="G22">
        <v>-1.0895550000000001</v>
      </c>
      <c r="H22">
        <v>-0.15788799999999997</v>
      </c>
      <c r="I22">
        <v>-1.0609799999999998</v>
      </c>
      <c r="J22">
        <v>-0.15621949999999998</v>
      </c>
      <c r="K22">
        <v>-1.0456566666666665</v>
      </c>
      <c r="L22">
        <v>-0.15821183333333333</v>
      </c>
      <c r="M22">
        <v>-1.0300450000000001</v>
      </c>
      <c r="N22">
        <v>-0.15306083333333334</v>
      </c>
      <c r="O22">
        <v>-1.0304416666666669</v>
      </c>
      <c r="P22">
        <v>-0.14521850000000003</v>
      </c>
      <c r="Q22">
        <v>-1.1169883333333332</v>
      </c>
      <c r="R22">
        <v>-0.13555166666666668</v>
      </c>
      <c r="S22">
        <v>-1.1479883333333334</v>
      </c>
      <c r="T22">
        <v>-0.17293466666666668</v>
      </c>
      <c r="U22">
        <v>-1.0657916666666665</v>
      </c>
      <c r="V22">
        <v>-0.30986400000000003</v>
      </c>
      <c r="W22">
        <v>-0.99178466666666654</v>
      </c>
      <c r="X22">
        <v>-0.28919666666666666</v>
      </c>
      <c r="Y22">
        <v>-0.94977883333333335</v>
      </c>
      <c r="Z22">
        <v>-0.23945416666666669</v>
      </c>
      <c r="AA22">
        <v>-0.94795383333333338</v>
      </c>
      <c r="AB22">
        <v>-0.23909616666666667</v>
      </c>
      <c r="AC22">
        <v>-0.9765286666666666</v>
      </c>
      <c r="AD22">
        <v>-0.24784366666666666</v>
      </c>
      <c r="AE22">
        <v>-1.0218183333333333</v>
      </c>
      <c r="AF22">
        <v>-0.26586750000000003</v>
      </c>
      <c r="AG22">
        <v>-1.0483116666666668</v>
      </c>
      <c r="AH22">
        <v>-0.2793153333333333</v>
      </c>
      <c r="AI22">
        <v>-1.0694133333333331</v>
      </c>
      <c r="AJ22">
        <v>-0.29535300000000003</v>
      </c>
      <c r="AK22">
        <v>-1.0592766666666669</v>
      </c>
      <c r="AL22">
        <v>-0.29916666666666669</v>
      </c>
      <c r="AM22">
        <v>-1.0481533333333335</v>
      </c>
      <c r="AN22">
        <v>-0.29331116666666668</v>
      </c>
      <c r="AO22">
        <v>-1.0192316666666668</v>
      </c>
      <c r="AP22">
        <v>-0.27340300000000001</v>
      </c>
      <c r="AQ22">
        <v>-1.0203495</v>
      </c>
      <c r="AR22">
        <v>-0.22644466666666668</v>
      </c>
      <c r="AS22">
        <v>-1.50946</v>
      </c>
      <c r="AT22">
        <v>-0.1773515</v>
      </c>
      <c r="AU22">
        <v>-1.7637250000000004</v>
      </c>
      <c r="AV22">
        <v>-0.18838749999999996</v>
      </c>
      <c r="AW22">
        <v>-1.6239700000000001</v>
      </c>
      <c r="AX22">
        <v>-0.16916716666666665</v>
      </c>
      <c r="AY22">
        <v>-1.3439433333333335</v>
      </c>
      <c r="AZ22">
        <v>-0.16191116666666666</v>
      </c>
    </row>
    <row r="23" spans="1:52" x14ac:dyDescent="0.2">
      <c r="A23" t="s">
        <v>1987</v>
      </c>
      <c r="B23" t="s">
        <v>1484</v>
      </c>
      <c r="C23">
        <v>5</v>
      </c>
      <c r="D23" s="5">
        <v>42118</v>
      </c>
      <c r="E23">
        <v>-1.3933433333333334</v>
      </c>
      <c r="F23">
        <v>-0.34490183333333335</v>
      </c>
      <c r="G23">
        <v>-1.298195</v>
      </c>
      <c r="H23">
        <v>-0.32576050000000001</v>
      </c>
      <c r="I23">
        <v>-1.2651116666666666</v>
      </c>
      <c r="J23">
        <v>-0.32690983333333334</v>
      </c>
      <c r="K23">
        <v>-1.2325133333333333</v>
      </c>
      <c r="L23">
        <v>-0.31756750000000006</v>
      </c>
      <c r="M23">
        <v>-1.2123466666666667</v>
      </c>
      <c r="N23">
        <v>-0.31408683333333332</v>
      </c>
      <c r="O23">
        <v>-1.20634</v>
      </c>
      <c r="P23">
        <v>-0.3011408333333333</v>
      </c>
      <c r="Q23">
        <v>-1.2970466666666669</v>
      </c>
      <c r="R23">
        <v>-0.29675399999999996</v>
      </c>
      <c r="S23">
        <v>-1.3152183333333332</v>
      </c>
      <c r="T23">
        <v>-0.35558683333333335</v>
      </c>
      <c r="U23">
        <v>-1.2372383333333334</v>
      </c>
      <c r="V23">
        <v>-0.48970433333333335</v>
      </c>
      <c r="W23">
        <v>-1.1665016666666668</v>
      </c>
      <c r="X23">
        <v>-0.46449900000000005</v>
      </c>
      <c r="Y23">
        <v>-1.1198733333333333</v>
      </c>
      <c r="Z23">
        <v>-0.42653900000000006</v>
      </c>
      <c r="AA23">
        <v>-1.1235666666666666</v>
      </c>
      <c r="AB23">
        <v>-0.41913699999999998</v>
      </c>
      <c r="AC23">
        <v>-1.1652199999999999</v>
      </c>
      <c r="AD23">
        <v>-0.43701333333333331</v>
      </c>
      <c r="AE23">
        <v>-1.2038383333333333</v>
      </c>
      <c r="AF23">
        <v>-0.44300283333333329</v>
      </c>
      <c r="AG23">
        <v>-1.2276733333333334</v>
      </c>
      <c r="AH23">
        <v>-0.45449166666666663</v>
      </c>
      <c r="AI23">
        <v>-1.2399200000000004</v>
      </c>
      <c r="AJ23">
        <v>-0.46707033333333342</v>
      </c>
      <c r="AK23">
        <v>-1.2550483333333333</v>
      </c>
      <c r="AL23">
        <v>-0.49128416666666663</v>
      </c>
      <c r="AM23">
        <v>-1.2507549999999998</v>
      </c>
      <c r="AN23">
        <v>-0.48498533333333338</v>
      </c>
      <c r="AO23">
        <v>-1.2187650000000001</v>
      </c>
      <c r="AP23">
        <v>-0.47382166666666664</v>
      </c>
      <c r="AQ23">
        <v>-1.243655</v>
      </c>
      <c r="AR23">
        <v>-0.4239814999999999</v>
      </c>
      <c r="AS23">
        <v>-1.7797833333333335</v>
      </c>
      <c r="AT23">
        <v>-0.37811866666666666</v>
      </c>
      <c r="AU23">
        <v>-2.0272900000000003</v>
      </c>
      <c r="AV23">
        <v>-0.37362733333333337</v>
      </c>
      <c r="AW23">
        <v>-1.8924033333333334</v>
      </c>
      <c r="AX23">
        <v>-0.36821900000000002</v>
      </c>
      <c r="AY23">
        <v>-1.6134300000000001</v>
      </c>
      <c r="AZ23">
        <v>-0.34528366666666666</v>
      </c>
    </row>
    <row r="24" spans="1:52" x14ac:dyDescent="0.2">
      <c r="A24" t="s">
        <v>1987</v>
      </c>
      <c r="B24" t="s">
        <v>1484</v>
      </c>
      <c r="C24">
        <v>5</v>
      </c>
      <c r="D24" s="5">
        <v>42132</v>
      </c>
      <c r="E24">
        <v>-1.4068866666666666</v>
      </c>
      <c r="F24">
        <v>-0.31271066666666669</v>
      </c>
      <c r="G24">
        <v>-1.3146983333333333</v>
      </c>
      <c r="H24">
        <v>-0.31250883333333329</v>
      </c>
      <c r="I24">
        <v>-1.2635183333333335</v>
      </c>
      <c r="J24">
        <v>-0.31589216666666664</v>
      </c>
      <c r="K24">
        <v>-1.233595</v>
      </c>
      <c r="L24">
        <v>-0.31235950000000001</v>
      </c>
      <c r="M24">
        <v>-1.2138549999999997</v>
      </c>
      <c r="N24">
        <v>-0.30585849999999998</v>
      </c>
      <c r="O24">
        <v>-1.2169266666666665</v>
      </c>
      <c r="P24">
        <v>-0.30378483333333334</v>
      </c>
      <c r="Q24">
        <v>-1.2971349999999999</v>
      </c>
      <c r="R24">
        <v>-0.29633550000000003</v>
      </c>
      <c r="S24">
        <v>-1.2872933333333334</v>
      </c>
      <c r="T24">
        <v>-0.35478750000000009</v>
      </c>
      <c r="U24">
        <v>-1.2419683333333333</v>
      </c>
      <c r="V24">
        <v>-0.47864883333333336</v>
      </c>
      <c r="W24">
        <v>-1.1931183333333331</v>
      </c>
      <c r="X24">
        <v>-0.46234633333333336</v>
      </c>
      <c r="Y24">
        <v>-1.1483749999999999</v>
      </c>
      <c r="Z24">
        <v>-0.41532750000000002</v>
      </c>
      <c r="AA24">
        <v>-1.1400533333333334</v>
      </c>
      <c r="AB24">
        <v>-0.40211633333333335</v>
      </c>
      <c r="AC24">
        <v>-1.1671866666666668</v>
      </c>
      <c r="AD24">
        <v>-0.41205533333333327</v>
      </c>
      <c r="AE24">
        <v>-1.2080683333333333</v>
      </c>
      <c r="AF24">
        <v>-0.44106749999999995</v>
      </c>
      <c r="AG24">
        <v>-1.1956216666666666</v>
      </c>
      <c r="AH24">
        <v>-0.43353516666666664</v>
      </c>
      <c r="AI24">
        <v>-1.2045599999999999</v>
      </c>
      <c r="AJ24">
        <v>-0.44273350000000006</v>
      </c>
      <c r="AK24">
        <v>-1.2651416666666668</v>
      </c>
      <c r="AL24">
        <v>-0.47875950000000006</v>
      </c>
      <c r="AM24">
        <v>-1.2583499999999999</v>
      </c>
      <c r="AN24">
        <v>-0.47065983333333339</v>
      </c>
      <c r="AO24">
        <v>-1.2166266666666667</v>
      </c>
      <c r="AP24">
        <v>-0.42167366666666672</v>
      </c>
      <c r="AQ24">
        <v>-1.2378449999999999</v>
      </c>
      <c r="AR24">
        <v>-0.39264616666666668</v>
      </c>
      <c r="AS24">
        <v>-1.7146066666666666</v>
      </c>
      <c r="AT24">
        <v>-0.35172899999999996</v>
      </c>
      <c r="AU24">
        <v>-1.9914199999999997</v>
      </c>
      <c r="AV24">
        <v>-0.34689966666666672</v>
      </c>
      <c r="AW24">
        <v>-1.8630616666666666</v>
      </c>
      <c r="AX24">
        <v>-0.34691033333333332</v>
      </c>
      <c r="AY24">
        <v>-1.5997100000000002</v>
      </c>
      <c r="AZ24">
        <v>-0.32525233333333337</v>
      </c>
    </row>
    <row r="25" spans="1:52" x14ac:dyDescent="0.2">
      <c r="A25" t="s">
        <v>1987</v>
      </c>
      <c r="B25" t="s">
        <v>1484</v>
      </c>
      <c r="C25">
        <v>5</v>
      </c>
      <c r="D25" s="5">
        <v>42139</v>
      </c>
      <c r="E25">
        <v>-1.3839900000000001</v>
      </c>
      <c r="F25">
        <v>-0.33487533333333336</v>
      </c>
      <c r="G25">
        <v>-1.3173683333333333</v>
      </c>
      <c r="H25">
        <v>-0.33963266666666669</v>
      </c>
      <c r="I25">
        <v>-1.2755750000000001</v>
      </c>
      <c r="J25">
        <v>-0.33725766666666668</v>
      </c>
      <c r="K25">
        <v>-1.2512916666666667</v>
      </c>
      <c r="L25">
        <v>-0.33350000000000007</v>
      </c>
      <c r="M25">
        <v>-1.22841</v>
      </c>
      <c r="N25">
        <v>-0.32009999999999994</v>
      </c>
      <c r="O25">
        <v>-1.2234566666666666</v>
      </c>
      <c r="P25">
        <v>-0.30899583333333336</v>
      </c>
      <c r="Q25">
        <v>-1.2622383333333334</v>
      </c>
      <c r="R25">
        <v>-0.29849966666666666</v>
      </c>
      <c r="S25">
        <v>-1.2576833333333335</v>
      </c>
      <c r="T25">
        <v>-0.34526166666666658</v>
      </c>
      <c r="U25">
        <v>-1.2757583333333335</v>
      </c>
      <c r="V25">
        <v>-0.47353400000000007</v>
      </c>
      <c r="W25">
        <v>-1.2465366666666666</v>
      </c>
      <c r="X25">
        <v>-0.47868650000000001</v>
      </c>
      <c r="Y25">
        <v>-1.2102116666666669</v>
      </c>
      <c r="Z25">
        <v>-0.45188916666666668</v>
      </c>
      <c r="AA25">
        <v>-1.1813099999999999</v>
      </c>
      <c r="AB25">
        <v>-0.42978850000000007</v>
      </c>
      <c r="AC25">
        <v>-1.1761600000000001</v>
      </c>
      <c r="AD25">
        <v>-0.42395483333333339</v>
      </c>
      <c r="AE25">
        <v>-1.2056150000000001</v>
      </c>
      <c r="AF25">
        <v>-0.44581099999999996</v>
      </c>
      <c r="AG25">
        <v>-1.2130316666666667</v>
      </c>
      <c r="AH25">
        <v>-0.4354015</v>
      </c>
      <c r="AI25">
        <v>-1.2365166666666667</v>
      </c>
      <c r="AJ25">
        <v>-0.45233466666666672</v>
      </c>
      <c r="AK25">
        <v>-1.2605066666666664</v>
      </c>
      <c r="AL25">
        <v>-0.47682449999999998</v>
      </c>
      <c r="AM25">
        <v>-1.2637349999999998</v>
      </c>
      <c r="AN25">
        <v>-0.46457333333333334</v>
      </c>
      <c r="AO25">
        <v>-1.2286516666666667</v>
      </c>
      <c r="AP25">
        <v>-0.41978500000000002</v>
      </c>
      <c r="AQ25">
        <v>-1.3194416666666666</v>
      </c>
      <c r="AR25">
        <v>-0.39199933333333337</v>
      </c>
      <c r="AS25">
        <v>-1.7290366666666666</v>
      </c>
      <c r="AT25">
        <v>-0.36416599999999999</v>
      </c>
      <c r="AU25">
        <v>-1.9113566666666666</v>
      </c>
      <c r="AV25">
        <v>-0.35007233333333337</v>
      </c>
      <c r="AW25">
        <v>-1.7746300000000002</v>
      </c>
      <c r="AX25">
        <v>-0.34799016666666671</v>
      </c>
      <c r="AY25">
        <v>-1.5386716666666669</v>
      </c>
      <c r="AZ25">
        <v>-0.34097</v>
      </c>
    </row>
    <row r="26" spans="1:52" x14ac:dyDescent="0.2">
      <c r="A26" t="s">
        <v>1987</v>
      </c>
      <c r="B26" t="s">
        <v>1484</v>
      </c>
      <c r="C26">
        <v>5</v>
      </c>
      <c r="D26" s="5">
        <v>42146</v>
      </c>
      <c r="E26">
        <v>-1.3550249999999999</v>
      </c>
      <c r="F26">
        <v>-0.33561466666666667</v>
      </c>
      <c r="G26">
        <v>-1.2698566666666669</v>
      </c>
      <c r="H26">
        <v>-0.3240656666666667</v>
      </c>
      <c r="I26">
        <v>-1.2422</v>
      </c>
      <c r="J26">
        <v>-0.32277033333333333</v>
      </c>
      <c r="K26">
        <v>-1.2233750000000003</v>
      </c>
      <c r="L26">
        <v>-0.3184346666666667</v>
      </c>
      <c r="M26">
        <v>-1.2156283333333333</v>
      </c>
      <c r="N26">
        <v>-0.31992199999999998</v>
      </c>
      <c r="O26">
        <v>-1.2212383333333334</v>
      </c>
      <c r="P26">
        <v>-0.31420733333333334</v>
      </c>
      <c r="Q26">
        <v>-1.2847516666666667</v>
      </c>
      <c r="R26">
        <v>-0.30905566666666662</v>
      </c>
      <c r="S26">
        <v>-1.326635</v>
      </c>
      <c r="T26">
        <v>-0.37205766666666668</v>
      </c>
      <c r="U26">
        <v>-1.3106566666666668</v>
      </c>
      <c r="V26">
        <v>-0.49968649999999998</v>
      </c>
      <c r="W26">
        <v>-1.2349433333333333</v>
      </c>
      <c r="X26">
        <v>-0.48971016666666667</v>
      </c>
      <c r="Y26">
        <v>-1.1666616666666667</v>
      </c>
      <c r="Z26">
        <v>-0.43339366666666662</v>
      </c>
      <c r="AA26">
        <v>-1.1273850000000001</v>
      </c>
      <c r="AB26">
        <v>-0.39047916666666671</v>
      </c>
      <c r="AC26">
        <v>-1.1326766666666666</v>
      </c>
      <c r="AD26">
        <v>-0.3870156666666667</v>
      </c>
      <c r="AE26">
        <v>-1.1415183333333332</v>
      </c>
      <c r="AF26">
        <v>-0.39433766666666675</v>
      </c>
      <c r="AG26">
        <v>-1.1430666666666665</v>
      </c>
      <c r="AH26">
        <v>-0.42140149999999993</v>
      </c>
      <c r="AI26">
        <v>-1.1653783333333334</v>
      </c>
      <c r="AJ26">
        <v>-0.43796499999999999</v>
      </c>
      <c r="AK26">
        <v>-1.1915716666666667</v>
      </c>
      <c r="AL26">
        <v>-0.44912183333333339</v>
      </c>
      <c r="AM26">
        <v>-1.1974816666666663</v>
      </c>
      <c r="AN26">
        <v>-0.4445741666666666</v>
      </c>
      <c r="AO26">
        <v>-1.1708183333333333</v>
      </c>
      <c r="AP26">
        <v>-0.42730583333333327</v>
      </c>
      <c r="AQ26">
        <v>-1.2063933333333332</v>
      </c>
      <c r="AR26">
        <v>-0.39449800000000002</v>
      </c>
      <c r="AS26">
        <v>-1.64882</v>
      </c>
      <c r="AT26">
        <v>-0.33464450000000001</v>
      </c>
      <c r="AU26">
        <v>-1.8873999999999997</v>
      </c>
      <c r="AV26">
        <v>-0.34076766666666669</v>
      </c>
      <c r="AW26">
        <v>-1.7450249999999998</v>
      </c>
      <c r="AX26">
        <v>-0.34430450000000001</v>
      </c>
      <c r="AY26">
        <v>-1.4940049999999998</v>
      </c>
      <c r="AZ26">
        <v>-0.33796083333333332</v>
      </c>
    </row>
    <row r="27" spans="1:52" x14ac:dyDescent="0.2">
      <c r="A27" s="17" t="s">
        <v>1980</v>
      </c>
      <c r="B27" s="19" t="s">
        <v>1484</v>
      </c>
      <c r="C27" s="19">
        <v>1</v>
      </c>
      <c r="D27" s="20">
        <v>42109</v>
      </c>
      <c r="E27" s="19">
        <v>-1.1765866666666667</v>
      </c>
      <c r="F27" s="19">
        <v>-0.16734233333333332</v>
      </c>
      <c r="G27" s="19">
        <v>-1.0943799999999999</v>
      </c>
      <c r="H27" s="19">
        <v>-0.15573666666666669</v>
      </c>
      <c r="I27" s="19">
        <v>-1.0575833333333333</v>
      </c>
      <c r="J27" s="19">
        <v>-0.14711866666666665</v>
      </c>
      <c r="K27" s="19">
        <v>-1.0380450000000001</v>
      </c>
      <c r="L27" s="19">
        <v>-0.14610133333333331</v>
      </c>
      <c r="M27" s="19">
        <v>-1.0270183333333331</v>
      </c>
      <c r="N27" s="19">
        <v>-0.14332366666666665</v>
      </c>
      <c r="O27" s="19">
        <v>-1.0292183333333336</v>
      </c>
      <c r="P27" s="19">
        <v>-0.135712</v>
      </c>
      <c r="Q27" s="19">
        <v>-1.1303050000000001</v>
      </c>
      <c r="R27" s="19">
        <v>-0.13331516666666668</v>
      </c>
      <c r="S27" s="19">
        <v>-1.1959550000000001</v>
      </c>
      <c r="T27" s="19">
        <v>-0.18712783333333335</v>
      </c>
      <c r="U27" s="19">
        <v>-1.0637699999999999</v>
      </c>
      <c r="V27" s="19">
        <v>-0.31220116666666664</v>
      </c>
      <c r="W27" s="19">
        <v>-0.98512399999999989</v>
      </c>
      <c r="X27" s="19">
        <v>-0.29118833333333333</v>
      </c>
      <c r="Y27" s="19">
        <v>-0.95298566666666651</v>
      </c>
      <c r="Z27" s="19">
        <v>-0.25828433333333334</v>
      </c>
      <c r="AA27" s="19">
        <v>-0.96261099999999999</v>
      </c>
      <c r="AB27" s="19">
        <v>-0.25740799999999997</v>
      </c>
      <c r="AC27" s="19">
        <v>-0.99731633333333336</v>
      </c>
      <c r="AD27" s="19">
        <v>-0.26123216666666665</v>
      </c>
      <c r="AE27" s="19">
        <v>-1.0382550000000001</v>
      </c>
      <c r="AF27" s="19">
        <v>-0.26456799999999997</v>
      </c>
      <c r="AG27" s="19">
        <v>-1.0781266666666665</v>
      </c>
      <c r="AH27" s="19">
        <v>-0.28529549999999998</v>
      </c>
      <c r="AI27" s="19">
        <v>-1.1011150000000001</v>
      </c>
      <c r="AJ27" s="19">
        <v>-0.30190999999999996</v>
      </c>
      <c r="AK27" s="19">
        <v>-1.0973566666666668</v>
      </c>
      <c r="AL27" s="19">
        <v>-0.30802633333333329</v>
      </c>
      <c r="AM27" s="19">
        <v>-1.0984883333333335</v>
      </c>
      <c r="AN27" s="19">
        <v>-0.30743250000000005</v>
      </c>
      <c r="AO27" s="19">
        <v>-1.0785166666666666</v>
      </c>
      <c r="AP27" s="19">
        <v>-0.29380883333333335</v>
      </c>
      <c r="AQ27" s="19">
        <v>-1.075825</v>
      </c>
      <c r="AR27" s="19">
        <v>-0.24445666666666671</v>
      </c>
      <c r="AS27" s="19">
        <v>-1.5813816666666669</v>
      </c>
      <c r="AT27" s="19">
        <v>-0.18922016666666663</v>
      </c>
      <c r="AU27" s="19">
        <v>-1.8219183333333333</v>
      </c>
      <c r="AV27" s="19">
        <v>-0.18750483333333332</v>
      </c>
      <c r="AW27" s="19">
        <v>-1.6899666666666668</v>
      </c>
      <c r="AX27" s="19">
        <v>-0.18996483333333333</v>
      </c>
      <c r="AY27" s="19">
        <v>-1.3824650000000001</v>
      </c>
      <c r="AZ27" s="19">
        <v>-0.19022316666666669</v>
      </c>
    </row>
    <row r="28" spans="1:52" x14ac:dyDescent="0.2">
      <c r="A28" s="17" t="s">
        <v>1980</v>
      </c>
      <c r="B28" s="17" t="s">
        <v>1484</v>
      </c>
      <c r="C28" s="17">
        <v>1</v>
      </c>
      <c r="D28" s="18">
        <v>42116</v>
      </c>
      <c r="E28" s="17">
        <v>-1.1581566666666667</v>
      </c>
      <c r="F28" s="17">
        <v>-0.25140849999999998</v>
      </c>
      <c r="G28" s="17">
        <v>-1.0740966666666665</v>
      </c>
      <c r="H28" s="17">
        <v>-0.23085716666666667</v>
      </c>
      <c r="I28" s="17">
        <v>-1.0399166666666668</v>
      </c>
      <c r="J28" s="17">
        <v>-0.22250999999999999</v>
      </c>
      <c r="K28" s="17">
        <v>-1.0247233333333334</v>
      </c>
      <c r="L28" s="17">
        <v>-0.22325216666666664</v>
      </c>
      <c r="M28" s="17">
        <v>-1.0125583333333334</v>
      </c>
      <c r="N28" s="17">
        <v>-0.21821733333333329</v>
      </c>
      <c r="O28" s="17">
        <v>-1.0197616666666667</v>
      </c>
      <c r="P28" s="17">
        <v>-0.21442966666666666</v>
      </c>
      <c r="Q28" s="17">
        <v>-1.12422</v>
      </c>
      <c r="R28" s="17">
        <v>-0.21254416666666667</v>
      </c>
      <c r="S28" s="17">
        <v>-1.1744416666666666</v>
      </c>
      <c r="T28" s="17">
        <v>-0.27420899999999998</v>
      </c>
      <c r="U28" s="17">
        <v>-1.07802</v>
      </c>
      <c r="V28" s="17">
        <v>-0.3961621666666667</v>
      </c>
      <c r="W28" s="17">
        <v>-1.0066539999999999</v>
      </c>
      <c r="X28" s="17">
        <v>-0.39227500000000004</v>
      </c>
      <c r="Y28" s="17">
        <v>-0.95598683333333334</v>
      </c>
      <c r="Z28" s="17">
        <v>-0.34617300000000006</v>
      </c>
      <c r="AA28" s="17">
        <v>-0.95550266666666661</v>
      </c>
      <c r="AB28" s="17">
        <v>-0.32497616666666668</v>
      </c>
      <c r="AC28" s="17">
        <v>-0.99266333333333334</v>
      </c>
      <c r="AD28" s="17">
        <v>-0.33531483333333328</v>
      </c>
      <c r="AE28" s="17">
        <v>-1.0381216666666666</v>
      </c>
      <c r="AF28" s="17">
        <v>-0.34322233333333335</v>
      </c>
      <c r="AG28" s="17">
        <v>-1.0701799999999999</v>
      </c>
      <c r="AH28" s="17">
        <v>-0.36953466666666668</v>
      </c>
      <c r="AI28" s="17">
        <v>-1.0911699999999998</v>
      </c>
      <c r="AJ28" s="17">
        <v>-0.38392416666666668</v>
      </c>
      <c r="AK28" s="17">
        <v>-1.09022</v>
      </c>
      <c r="AL28" s="17">
        <v>-0.39155583333333333</v>
      </c>
      <c r="AM28" s="17">
        <v>-1.077368333333333</v>
      </c>
      <c r="AN28" s="17">
        <v>-0.39285949999999997</v>
      </c>
      <c r="AO28" s="17">
        <v>-1.0496266666666667</v>
      </c>
      <c r="AP28" s="17">
        <v>-0.38227966666666663</v>
      </c>
      <c r="AQ28" s="17">
        <v>-1.0737466666666666</v>
      </c>
      <c r="AR28" s="17">
        <v>-0.34875466666666666</v>
      </c>
      <c r="AS28" s="17">
        <v>-1.5796116666666666</v>
      </c>
      <c r="AT28" s="17">
        <v>-0.28471616666666666</v>
      </c>
      <c r="AU28" s="17">
        <v>-1.8115033333333332</v>
      </c>
      <c r="AV28" s="17">
        <v>-0.27486999999999995</v>
      </c>
      <c r="AW28" s="17">
        <v>-1.6548733333333332</v>
      </c>
      <c r="AX28" s="17">
        <v>-0.26875650000000001</v>
      </c>
      <c r="AY28" s="17">
        <v>-1.3675133333333334</v>
      </c>
      <c r="AZ28" s="17">
        <v>-0.27644933333333332</v>
      </c>
    </row>
    <row r="29" spans="1:52" x14ac:dyDescent="0.2">
      <c r="A29" s="17" t="s">
        <v>1980</v>
      </c>
      <c r="B29" s="17" t="s">
        <v>1484</v>
      </c>
      <c r="C29" s="17">
        <v>1</v>
      </c>
      <c r="D29" s="18">
        <v>42130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</row>
    <row r="30" spans="1:52" x14ac:dyDescent="0.2">
      <c r="A30" s="17" t="s">
        <v>1980</v>
      </c>
      <c r="B30" s="17" t="s">
        <v>1484</v>
      </c>
      <c r="C30" s="17">
        <v>1</v>
      </c>
      <c r="D30" s="18">
        <v>42137</v>
      </c>
      <c r="E30" s="17">
        <v>-1.3508733333333331</v>
      </c>
      <c r="F30" s="17">
        <v>-0.33742766666666663</v>
      </c>
      <c r="G30" s="17">
        <v>-1.2724300000000002</v>
      </c>
      <c r="H30" s="17">
        <v>-0.31929449999999998</v>
      </c>
      <c r="I30" s="17">
        <v>-1.2403183333333334</v>
      </c>
      <c r="J30" s="17">
        <v>-0.31789833333333339</v>
      </c>
      <c r="K30" s="17">
        <v>-1.2233916666666667</v>
      </c>
      <c r="L30" s="17">
        <v>-0.31324583333333333</v>
      </c>
      <c r="M30" s="17">
        <v>-1.2092283333333333</v>
      </c>
      <c r="N30" s="17">
        <v>-0.30773666666666666</v>
      </c>
      <c r="O30" s="17">
        <v>-1.2099949999999999</v>
      </c>
      <c r="P30" s="17">
        <v>-0.29660733333333339</v>
      </c>
      <c r="Q30" s="17">
        <v>-1.2889366666666666</v>
      </c>
      <c r="R30" s="17">
        <v>-0.29324399999999995</v>
      </c>
      <c r="S30" s="17">
        <v>-1.306295</v>
      </c>
      <c r="T30" s="17">
        <v>-0.36661916666666666</v>
      </c>
      <c r="U30" s="17">
        <v>-1.2877666666666667</v>
      </c>
      <c r="V30" s="17">
        <v>-0.50741183333333328</v>
      </c>
      <c r="W30" s="17">
        <v>-1.2037500000000001</v>
      </c>
      <c r="X30" s="17">
        <v>-0.45969900000000002</v>
      </c>
      <c r="Y30" s="17">
        <v>-1.15541</v>
      </c>
      <c r="Z30" s="17">
        <v>-0.41212216666666673</v>
      </c>
      <c r="AA30" s="17">
        <v>-1.1587116666666668</v>
      </c>
      <c r="AB30" s="17">
        <v>-0.40633600000000003</v>
      </c>
      <c r="AC30" s="17">
        <v>-1.1857549999999999</v>
      </c>
      <c r="AD30" s="17">
        <v>-0.41713783333333326</v>
      </c>
      <c r="AE30" s="17">
        <v>-1.2146616666666665</v>
      </c>
      <c r="AF30" s="17">
        <v>-0.43933950000000005</v>
      </c>
      <c r="AG30" s="17">
        <v>-1.2466416666666666</v>
      </c>
      <c r="AH30" s="17">
        <v>-0.44955583333333332</v>
      </c>
      <c r="AI30" s="17">
        <v>-1.2625449999999998</v>
      </c>
      <c r="AJ30" s="17">
        <v>-0.45944416666666665</v>
      </c>
      <c r="AK30" s="17">
        <v>-1.2578966666666667</v>
      </c>
      <c r="AL30" s="17">
        <v>-0.46694483333333342</v>
      </c>
      <c r="AM30" s="17">
        <v>-1.2737316666666665</v>
      </c>
      <c r="AN30" s="17">
        <v>-0.47874616666666664</v>
      </c>
      <c r="AO30" s="17">
        <v>-1.2450766666666666</v>
      </c>
      <c r="AP30" s="17">
        <v>-0.44743766666666668</v>
      </c>
      <c r="AQ30" s="17">
        <v>-1.3107516666666668</v>
      </c>
      <c r="AR30" s="17">
        <v>-0.42410799999999993</v>
      </c>
      <c r="AS30" s="17">
        <v>-1.7811733333333335</v>
      </c>
      <c r="AT30" s="17">
        <v>-0.36453333333333332</v>
      </c>
      <c r="AU30" s="17">
        <v>-1.9958816666666663</v>
      </c>
      <c r="AV30" s="17">
        <v>-0.35008199999999995</v>
      </c>
      <c r="AW30" s="17">
        <v>-1.8752983333333335</v>
      </c>
      <c r="AX30" s="17">
        <v>-0.35130116666666666</v>
      </c>
      <c r="AY30" s="17">
        <v>-1.6361833333333331</v>
      </c>
      <c r="AZ30" s="17">
        <v>-0.36668000000000001</v>
      </c>
    </row>
    <row r="31" spans="1:52" x14ac:dyDescent="0.2">
      <c r="A31" s="17" t="s">
        <v>1980</v>
      </c>
      <c r="B31" s="17" t="s">
        <v>1484</v>
      </c>
      <c r="C31" s="17">
        <v>1</v>
      </c>
      <c r="D31" s="18">
        <v>42144</v>
      </c>
      <c r="E31" s="17">
        <v>-1.3980966666666665</v>
      </c>
      <c r="F31" s="17">
        <v>-0.36066100000000001</v>
      </c>
      <c r="G31" s="17">
        <v>-1.3242449999999999</v>
      </c>
      <c r="H31" s="17">
        <v>-0.35614566666666664</v>
      </c>
      <c r="I31" s="17">
        <v>-1.2898666666666665</v>
      </c>
      <c r="J31" s="17">
        <v>-0.35449500000000006</v>
      </c>
      <c r="K31" s="17">
        <v>-1.260205</v>
      </c>
      <c r="L31" s="17">
        <v>-0.33614866666666665</v>
      </c>
      <c r="M31" s="17">
        <v>-1.2494816666666668</v>
      </c>
      <c r="N31" s="17">
        <v>-0.3368868333333333</v>
      </c>
      <c r="O31" s="17">
        <v>-1.2501033333333333</v>
      </c>
      <c r="P31" s="17">
        <v>-0.33148083333333334</v>
      </c>
      <c r="Q31" s="17">
        <v>-1.3503666666666665</v>
      </c>
      <c r="R31" s="17">
        <v>-0.32536799999999999</v>
      </c>
      <c r="S31" s="17">
        <v>-1.3378616666666667</v>
      </c>
      <c r="T31" s="17">
        <v>-0.40831766666666663</v>
      </c>
      <c r="U31" s="17">
        <v>-1.3139066666666668</v>
      </c>
      <c r="V31" s="17">
        <v>-0.53229216666666657</v>
      </c>
      <c r="W31" s="17">
        <v>-1.2175449999999999</v>
      </c>
      <c r="X31" s="17">
        <v>-0.48064266666666661</v>
      </c>
      <c r="Y31" s="17">
        <v>-1.1647566666666667</v>
      </c>
      <c r="Z31" s="17">
        <v>-0.44039933333333331</v>
      </c>
      <c r="AA31" s="17">
        <v>-1.15924</v>
      </c>
      <c r="AB31" s="17">
        <v>-0.42386499999999999</v>
      </c>
      <c r="AC31" s="17">
        <v>-1.17876</v>
      </c>
      <c r="AD31" s="17">
        <v>-0.42616850000000001</v>
      </c>
      <c r="AE31" s="17">
        <v>-1.2124600000000001</v>
      </c>
      <c r="AF31" s="17">
        <v>-0.43247916666666669</v>
      </c>
      <c r="AG31" s="17">
        <v>-1.2327900000000001</v>
      </c>
      <c r="AH31" s="17">
        <v>-0.44155150000000004</v>
      </c>
      <c r="AI31" s="17">
        <v>-1.2280433333333334</v>
      </c>
      <c r="AJ31" s="17">
        <v>-0.45607000000000009</v>
      </c>
      <c r="AK31" s="17">
        <v>-1.2311816666666666</v>
      </c>
      <c r="AL31" s="17">
        <v>-0.44878283333333324</v>
      </c>
      <c r="AM31" s="17">
        <v>-1.2379183333333332</v>
      </c>
      <c r="AN31" s="17">
        <v>-0.43997849999999999</v>
      </c>
      <c r="AO31" s="17">
        <v>-1.209926666666667</v>
      </c>
      <c r="AP31" s="17">
        <v>-0.40778699999999996</v>
      </c>
      <c r="AQ31" s="17">
        <v>-1.2314266666666664</v>
      </c>
      <c r="AR31" s="17">
        <v>-0.38233466666666666</v>
      </c>
      <c r="AS31" s="17">
        <v>-1.592595</v>
      </c>
      <c r="AT31" s="17">
        <v>-0.32938083333333334</v>
      </c>
      <c r="AU31" s="17">
        <v>-1.918368333333333</v>
      </c>
      <c r="AV31" s="17">
        <v>-0.34068433333333331</v>
      </c>
      <c r="AW31" s="17">
        <v>-1.7789583333333332</v>
      </c>
      <c r="AX31" s="17">
        <v>-0.33662433333333336</v>
      </c>
      <c r="AY31" s="17">
        <v>-1.4870699999999999</v>
      </c>
      <c r="AZ31" s="17">
        <v>-0.323824</v>
      </c>
    </row>
    <row r="32" spans="1:52" x14ac:dyDescent="0.2">
      <c r="A32" s="17" t="s">
        <v>1980</v>
      </c>
      <c r="B32" s="17" t="s">
        <v>1484</v>
      </c>
      <c r="C32" s="17">
        <v>2</v>
      </c>
      <c r="D32" s="18">
        <v>42113</v>
      </c>
      <c r="E32" s="17">
        <v>-1.2094083333333332</v>
      </c>
      <c r="F32" s="17">
        <v>-0.16290616666666669</v>
      </c>
      <c r="G32" s="17">
        <v>-1.1065849999999999</v>
      </c>
      <c r="H32" s="17">
        <v>-0.15395883333333332</v>
      </c>
      <c r="I32" s="17">
        <v>-1.0584083333333336</v>
      </c>
      <c r="J32" s="17">
        <v>-0.14718000000000001</v>
      </c>
      <c r="K32" s="17">
        <v>-1.0247616666666668</v>
      </c>
      <c r="L32" s="17">
        <v>-0.14329916666666664</v>
      </c>
      <c r="M32" s="17">
        <v>-1.0011831666666666</v>
      </c>
      <c r="N32" s="17">
        <v>-0.14115733333333333</v>
      </c>
      <c r="O32" s="17">
        <v>-0.98823850000000002</v>
      </c>
      <c r="P32" s="17">
        <v>-0.13738466666666668</v>
      </c>
      <c r="Q32" s="17">
        <v>-1.0108003333333333</v>
      </c>
      <c r="R32" s="17">
        <v>-0.13283</v>
      </c>
      <c r="S32" s="17">
        <v>-0.9849254999999999</v>
      </c>
      <c r="T32" s="17">
        <v>-0.16056899999999999</v>
      </c>
      <c r="U32" s="17">
        <v>-0.96640233333333347</v>
      </c>
      <c r="V32" s="17">
        <v>-0.26827600000000001</v>
      </c>
      <c r="W32" s="17">
        <v>-0.97404383333333333</v>
      </c>
      <c r="X32" s="17">
        <v>-0.27891266666666664</v>
      </c>
      <c r="Y32" s="17">
        <v>-0.95319566666666666</v>
      </c>
      <c r="Z32" s="17">
        <v>-0.25246966666666665</v>
      </c>
      <c r="AA32" s="17">
        <v>-0.7009238333333333</v>
      </c>
      <c r="AB32" s="17">
        <v>-0.15834283333333332</v>
      </c>
      <c r="AC32" s="17">
        <v>-0.61601116666666667</v>
      </c>
      <c r="AD32" s="17">
        <v>-0.12742133333333333</v>
      </c>
      <c r="AE32" s="17">
        <v>-0.98509666666666673</v>
      </c>
      <c r="AF32" s="17">
        <v>-0.25784066666666672</v>
      </c>
      <c r="AG32" s="17">
        <v>-1.0402516666666668</v>
      </c>
      <c r="AH32" s="17">
        <v>-0.27576233333333333</v>
      </c>
      <c r="AI32" s="17">
        <v>-1.033595</v>
      </c>
      <c r="AJ32" s="17">
        <v>-0.27735666666666664</v>
      </c>
      <c r="AK32" s="17">
        <v>-1.0419666666666665</v>
      </c>
      <c r="AL32" s="17">
        <v>-0.29572100000000007</v>
      </c>
      <c r="AM32" s="17">
        <v>-1.0311566666666665</v>
      </c>
      <c r="AN32" s="17">
        <v>-0.29097500000000004</v>
      </c>
      <c r="AO32" s="17">
        <v>-1.0194816666666666</v>
      </c>
      <c r="AP32" s="17">
        <v>-0.26364883333333333</v>
      </c>
      <c r="AQ32" s="17">
        <v>-1.0586683333333333</v>
      </c>
      <c r="AR32" s="17">
        <v>-0.23301216666666666</v>
      </c>
      <c r="AS32" s="17">
        <v>-1.4539300000000002</v>
      </c>
      <c r="AT32" s="17">
        <v>-0.15618884999999999</v>
      </c>
      <c r="AU32" s="17">
        <v>-1.7366800000000002</v>
      </c>
      <c r="AV32" s="17">
        <v>-0.16601250000000001</v>
      </c>
      <c r="AW32" s="17">
        <v>-1.5871933333333335</v>
      </c>
      <c r="AX32" s="17">
        <v>-0.16693283333333331</v>
      </c>
      <c r="AY32" s="17">
        <v>-1.3076566666666665</v>
      </c>
      <c r="AZ32" s="17">
        <v>-0.16354733333333335</v>
      </c>
    </row>
    <row r="33" spans="1:52" x14ac:dyDescent="0.2">
      <c r="A33" s="17" t="s">
        <v>1980</v>
      </c>
      <c r="B33" s="17" t="s">
        <v>1484</v>
      </c>
      <c r="C33" s="17">
        <v>2</v>
      </c>
      <c r="D33" s="18">
        <v>42120</v>
      </c>
      <c r="E33" s="17">
        <v>-1.3852450000000001</v>
      </c>
      <c r="F33" s="17">
        <v>-0.29850516666666671</v>
      </c>
      <c r="G33" s="17">
        <v>-1.2966366666666664</v>
      </c>
      <c r="H33" s="17">
        <v>-0.28632833333333335</v>
      </c>
      <c r="I33" s="17">
        <v>-1.2488650000000001</v>
      </c>
      <c r="J33" s="17">
        <v>-0.27957150000000003</v>
      </c>
      <c r="K33" s="17">
        <v>-1.2163349999999997</v>
      </c>
      <c r="L33" s="17">
        <v>-0.2783006666666667</v>
      </c>
      <c r="M33" s="17">
        <v>-1.1942316666666666</v>
      </c>
      <c r="N33" s="17">
        <v>-0.28345333333333333</v>
      </c>
      <c r="O33" s="17">
        <v>-1.1776933333333335</v>
      </c>
      <c r="P33" s="17">
        <v>-0.28422516666666664</v>
      </c>
      <c r="Q33" s="17">
        <v>-1.2002149999999998</v>
      </c>
      <c r="R33" s="17">
        <v>-0.28234033333333336</v>
      </c>
      <c r="S33" s="17">
        <v>-1.1486699999999999</v>
      </c>
      <c r="T33" s="17">
        <v>-0.31566116666666666</v>
      </c>
      <c r="U33" s="17">
        <v>-1.1416983333333333</v>
      </c>
      <c r="V33" s="17">
        <v>-0.42939783333333326</v>
      </c>
      <c r="W33" s="17">
        <v>-1.1481733333333333</v>
      </c>
      <c r="X33" s="17">
        <v>-0.44972649999999997</v>
      </c>
      <c r="Y33" s="17">
        <v>-1.1061316666666667</v>
      </c>
      <c r="Z33" s="17">
        <v>-0.39989450000000004</v>
      </c>
      <c r="AA33" s="17">
        <v>-1.1010233333333332</v>
      </c>
      <c r="AB33" s="17">
        <v>-0.3941234999999999</v>
      </c>
      <c r="AC33" s="17">
        <v>-1.1226333333333334</v>
      </c>
      <c r="AD33" s="17">
        <v>-0.40449583333333333</v>
      </c>
      <c r="AE33" s="17">
        <v>-1.1347333333333334</v>
      </c>
      <c r="AF33" s="17">
        <v>-0.4070091666666667</v>
      </c>
      <c r="AG33" s="17">
        <v>-1.1652233333333331</v>
      </c>
      <c r="AH33" s="17">
        <v>-0.41094333333333333</v>
      </c>
      <c r="AI33" s="17">
        <v>-1.1865583333333334</v>
      </c>
      <c r="AJ33" s="17">
        <v>-0.42270749999999996</v>
      </c>
      <c r="AK33" s="17">
        <v>-1.1929516666666666</v>
      </c>
      <c r="AL33" s="17">
        <v>-0.43895333333333331</v>
      </c>
      <c r="AM33" s="17">
        <v>-1.1849799999999997</v>
      </c>
      <c r="AN33" s="17">
        <v>-0.44429566666666664</v>
      </c>
      <c r="AO33" s="17">
        <v>-1.1724866666666669</v>
      </c>
      <c r="AP33" s="17">
        <v>-0.42198733333333333</v>
      </c>
      <c r="AQ33" s="17">
        <v>-1.2047000000000001</v>
      </c>
      <c r="AR33" s="17">
        <v>-0.38597716666666676</v>
      </c>
      <c r="AS33" s="17">
        <v>-1.7393350000000001</v>
      </c>
      <c r="AT33" s="17">
        <v>-0.34832083333333336</v>
      </c>
      <c r="AU33" s="17">
        <v>-1.9999866666666664</v>
      </c>
      <c r="AV33" s="17">
        <v>-0.3475091666666667</v>
      </c>
      <c r="AW33" s="17">
        <v>-1.8638216666666667</v>
      </c>
      <c r="AX33" s="17">
        <v>-0.34915966666666665</v>
      </c>
      <c r="AY33" s="17">
        <v>-1.5789200000000001</v>
      </c>
      <c r="AZ33" s="17">
        <v>-0.3417048333333334</v>
      </c>
    </row>
    <row r="34" spans="1:52" x14ac:dyDescent="0.2">
      <c r="A34" s="17" t="s">
        <v>1980</v>
      </c>
      <c r="B34" s="17" t="s">
        <v>1484</v>
      </c>
      <c r="C34" s="17">
        <v>2</v>
      </c>
      <c r="D34" s="18">
        <v>42134</v>
      </c>
      <c r="E34" s="17">
        <v>-1.4655</v>
      </c>
      <c r="F34" s="17">
        <v>-0.32041483333333332</v>
      </c>
      <c r="G34" s="17">
        <v>-1.3263816666666666</v>
      </c>
      <c r="H34" s="17">
        <v>-0.30668716666666668</v>
      </c>
      <c r="I34" s="17">
        <v>-1.2738049999999999</v>
      </c>
      <c r="J34" s="17">
        <v>-0.30344233333333337</v>
      </c>
      <c r="K34" s="17">
        <v>-1.2335066666666668</v>
      </c>
      <c r="L34" s="17">
        <v>-0.29287316666666668</v>
      </c>
      <c r="M34" s="17">
        <v>-1.2148550000000002</v>
      </c>
      <c r="N34" s="17">
        <v>-0.29153016666666665</v>
      </c>
      <c r="O34" s="17">
        <v>-1.2151350000000001</v>
      </c>
      <c r="P34" s="17">
        <v>-0.28652050000000001</v>
      </c>
      <c r="Q34" s="17">
        <v>-1.2911116666666667</v>
      </c>
      <c r="R34" s="17">
        <v>-0.287829</v>
      </c>
      <c r="S34" s="17">
        <v>-1.2348233333333329</v>
      </c>
      <c r="T34" s="17">
        <v>-0.32722983333333333</v>
      </c>
      <c r="U34" s="17">
        <v>-1.1979283333333333</v>
      </c>
      <c r="V34" s="17">
        <v>-0.43549266666666669</v>
      </c>
      <c r="W34" s="17">
        <v>-1.1689766666666668</v>
      </c>
      <c r="X34" s="17">
        <v>-0.44202033333333324</v>
      </c>
      <c r="Y34" s="17">
        <v>-1.1208233333333333</v>
      </c>
      <c r="Z34" s="17">
        <v>-0.40808433333333327</v>
      </c>
      <c r="AA34" s="17">
        <v>-1.0790866666666667</v>
      </c>
      <c r="AB34" s="17">
        <v>-0.39074933333333339</v>
      </c>
      <c r="AC34" s="17">
        <v>-1.1077283333333332</v>
      </c>
      <c r="AD34" s="17">
        <v>-0.40671583333333339</v>
      </c>
      <c r="AE34" s="17">
        <v>-1.1346850000000002</v>
      </c>
      <c r="AF34" s="17">
        <v>-0.41506500000000002</v>
      </c>
      <c r="AG34" s="17">
        <v>-1.1340299999999999</v>
      </c>
      <c r="AH34" s="17">
        <v>-0.40988966666666665</v>
      </c>
      <c r="AI34" s="17">
        <v>-1.1671383333333334</v>
      </c>
      <c r="AJ34" s="17">
        <v>-0.42609483333333331</v>
      </c>
      <c r="AK34" s="17">
        <v>-1.2058016666666667</v>
      </c>
      <c r="AL34" s="17">
        <v>-0.44477233333333333</v>
      </c>
      <c r="AM34" s="17">
        <v>-1.1893066666666665</v>
      </c>
      <c r="AN34" s="17">
        <v>-0.43853749999999997</v>
      </c>
      <c r="AO34" s="17">
        <v>-1.1768766666666666</v>
      </c>
      <c r="AP34" s="17">
        <v>-0.41767683333333339</v>
      </c>
      <c r="AQ34" s="17">
        <v>-1.2504966666666666</v>
      </c>
      <c r="AR34" s="17">
        <v>-0.37772800000000001</v>
      </c>
      <c r="AS34" s="17">
        <v>-1.7258766666666667</v>
      </c>
      <c r="AT34" s="17">
        <v>-0.3505943333333334</v>
      </c>
      <c r="AU34" s="17">
        <v>-1.9846666666666668</v>
      </c>
      <c r="AV34" s="17">
        <v>-0.36131600000000003</v>
      </c>
      <c r="AW34" s="17">
        <v>-1.8466749999999998</v>
      </c>
      <c r="AX34" s="17">
        <v>-0.34396066666666669</v>
      </c>
      <c r="AY34" s="17">
        <v>-1.6136933333333334</v>
      </c>
      <c r="AZ34" s="17">
        <v>-0.3347383333333333</v>
      </c>
    </row>
    <row r="35" spans="1:52" x14ac:dyDescent="0.2">
      <c r="A35" s="17" t="s">
        <v>1980</v>
      </c>
      <c r="B35" s="17" t="s">
        <v>1484</v>
      </c>
      <c r="C35" s="17">
        <v>2</v>
      </c>
      <c r="D35" s="18">
        <v>42141</v>
      </c>
      <c r="E35" s="17">
        <v>-1.2163023333333334</v>
      </c>
      <c r="F35" s="17">
        <v>-0.27846683333333333</v>
      </c>
      <c r="G35" s="17">
        <v>-1.0229664999999999</v>
      </c>
      <c r="H35" s="17">
        <v>-0.23773799999999998</v>
      </c>
      <c r="I35" s="17">
        <v>-0.97894199999999998</v>
      </c>
      <c r="J35" s="17">
        <v>-0.21941433333333329</v>
      </c>
      <c r="K35" s="17">
        <v>-0.94922083333333329</v>
      </c>
      <c r="L35" s="17">
        <v>-0.21389316666666663</v>
      </c>
      <c r="M35" s="17">
        <v>-0.93322366666666678</v>
      </c>
      <c r="N35" s="17">
        <v>-0.21397450000000001</v>
      </c>
      <c r="O35" s="17">
        <v>-0.92808083333333347</v>
      </c>
      <c r="P35" s="17">
        <v>-0.21020566666666665</v>
      </c>
      <c r="Q35" s="17">
        <v>-0.95451683333333326</v>
      </c>
      <c r="R35" s="17">
        <v>-0.21308233333333332</v>
      </c>
      <c r="S35" s="17">
        <v>-0.92717700000000014</v>
      </c>
      <c r="T35" s="17">
        <v>-0.25954549999999998</v>
      </c>
      <c r="U35" s="17">
        <v>-1.0104263333333334</v>
      </c>
      <c r="V35" s="17">
        <v>-0.3908686666666667</v>
      </c>
      <c r="W35" s="17">
        <v>-1.0961566666666667</v>
      </c>
      <c r="X35" s="17">
        <v>-0.41506816666666668</v>
      </c>
      <c r="Y35" s="17">
        <v>-1.11253</v>
      </c>
      <c r="Z35" s="17">
        <v>-0.40512049999999999</v>
      </c>
      <c r="AA35" s="17">
        <v>-1.1147033333333332</v>
      </c>
      <c r="AB35" s="17">
        <v>-0.41361383333333335</v>
      </c>
      <c r="AC35" s="17">
        <v>-1.1147516666666668</v>
      </c>
      <c r="AD35" s="17">
        <v>-0.40888300000000005</v>
      </c>
      <c r="AE35" s="17">
        <v>-1.1349533333333333</v>
      </c>
      <c r="AF35" s="17">
        <v>-0.41339783333333335</v>
      </c>
      <c r="AG35" s="17">
        <v>-1.1690766666666665</v>
      </c>
      <c r="AH35" s="17">
        <v>-0.44226366666666667</v>
      </c>
      <c r="AI35" s="17">
        <v>-1.1814916666666668</v>
      </c>
      <c r="AJ35" s="17">
        <v>-0.44702333333333338</v>
      </c>
      <c r="AK35" s="17">
        <v>-1.2007216666666667</v>
      </c>
      <c r="AL35" s="17">
        <v>-0.46671383333333322</v>
      </c>
      <c r="AM35" s="17">
        <v>-1.188533333333333</v>
      </c>
      <c r="AN35" s="17">
        <v>-0.4602471666666666</v>
      </c>
      <c r="AO35" s="17">
        <v>-1.1885766666666666</v>
      </c>
      <c r="AP35" s="17">
        <v>-0.43089100000000002</v>
      </c>
      <c r="AQ35" s="17">
        <v>-1.2326783333333333</v>
      </c>
      <c r="AR35" s="17">
        <v>-0.40391966666666668</v>
      </c>
      <c r="AS35" s="17">
        <v>-1.6635016666666669</v>
      </c>
      <c r="AT35" s="17">
        <v>-0.35045900000000002</v>
      </c>
      <c r="AU35" s="17">
        <v>-1.9249400000000003</v>
      </c>
      <c r="AV35" s="17">
        <v>-0.34243599999999996</v>
      </c>
      <c r="AW35" s="17">
        <v>-1.7989516666666665</v>
      </c>
      <c r="AX35" s="17">
        <v>-0.34781150000000005</v>
      </c>
      <c r="AY35" s="17">
        <v>-1.5609083333333336</v>
      </c>
      <c r="AZ35" s="17">
        <v>-0.35204283333333336</v>
      </c>
    </row>
    <row r="36" spans="1:52" x14ac:dyDescent="0.2">
      <c r="A36" s="17" t="s">
        <v>1980</v>
      </c>
      <c r="B36" s="17" t="s">
        <v>1484</v>
      </c>
      <c r="C36" s="17">
        <v>2</v>
      </c>
      <c r="D36" s="18">
        <v>42148</v>
      </c>
      <c r="E36" s="17">
        <v>-1.3471683333333333</v>
      </c>
      <c r="F36" s="17">
        <v>-0.32308683333333327</v>
      </c>
      <c r="G36" s="17">
        <v>-1.2579899999999999</v>
      </c>
      <c r="H36" s="17">
        <v>-0.31848650000000006</v>
      </c>
      <c r="I36" s="17">
        <v>-1.2181616666666666</v>
      </c>
      <c r="J36" s="17">
        <v>-0.31796649999999999</v>
      </c>
      <c r="K36" s="17">
        <v>-1.1932816666666668</v>
      </c>
      <c r="L36" s="17">
        <v>-0.31623566666666664</v>
      </c>
      <c r="M36" s="17">
        <v>-1.1733766666666667</v>
      </c>
      <c r="N36" s="17">
        <v>-0.30962916666666668</v>
      </c>
      <c r="O36" s="17">
        <v>-1.1678183333333334</v>
      </c>
      <c r="P36" s="17">
        <v>-0.30591383333333327</v>
      </c>
      <c r="Q36" s="17">
        <v>-1.1875983333333333</v>
      </c>
      <c r="R36" s="17">
        <v>-0.29513266666666665</v>
      </c>
      <c r="S36" s="17">
        <v>-1.1295200000000003</v>
      </c>
      <c r="T36" s="17">
        <v>-0.345439</v>
      </c>
      <c r="U36" s="17">
        <v>-1.1465266666666667</v>
      </c>
      <c r="V36" s="17">
        <v>-0.45991133333333339</v>
      </c>
      <c r="W36" s="17">
        <v>-1.1366049999999999</v>
      </c>
      <c r="X36" s="17">
        <v>-0.44956300000000005</v>
      </c>
      <c r="Y36" s="17">
        <v>-1.105305</v>
      </c>
      <c r="Z36" s="17">
        <v>-0.41574849999999997</v>
      </c>
      <c r="AA36" s="17">
        <v>-1.103515</v>
      </c>
      <c r="AB36" s="17">
        <v>-0.4108956666666666</v>
      </c>
      <c r="AC36" s="17">
        <v>-1.0859166666666666</v>
      </c>
      <c r="AD36" s="17">
        <v>-0.40784183333333335</v>
      </c>
      <c r="AE36" s="17">
        <v>-1.0952066666666667</v>
      </c>
      <c r="AF36" s="17">
        <v>-0.4058688333333334</v>
      </c>
      <c r="AG36" s="17">
        <v>-1.1361416666666666</v>
      </c>
      <c r="AH36" s="17">
        <v>-0.42055166666666671</v>
      </c>
      <c r="AI36" s="17">
        <v>-1.1529083333333334</v>
      </c>
      <c r="AJ36" s="17">
        <v>-0.43020666666666663</v>
      </c>
      <c r="AK36" s="17">
        <v>-1.1646816666666666</v>
      </c>
      <c r="AL36" s="17">
        <v>-0.4422146666666667</v>
      </c>
      <c r="AM36" s="17">
        <v>-1.1548149999999999</v>
      </c>
      <c r="AN36" s="17">
        <v>-0.43418583333333338</v>
      </c>
      <c r="AO36" s="17">
        <v>-1.1489783333333332</v>
      </c>
      <c r="AP36" s="17">
        <v>-0.42627399999999993</v>
      </c>
      <c r="AQ36" s="17">
        <v>-1.1777766666666669</v>
      </c>
      <c r="AR36" s="17">
        <v>-0.39130733333333334</v>
      </c>
      <c r="AS36" s="17">
        <v>-1.5705516666666663</v>
      </c>
      <c r="AT36" s="17">
        <v>-0.31780783333333329</v>
      </c>
      <c r="AU36" s="17">
        <v>-1.8663183333333333</v>
      </c>
      <c r="AV36" s="17">
        <v>-0.31761949999999994</v>
      </c>
      <c r="AW36" s="17">
        <v>-1.7564066666666667</v>
      </c>
      <c r="AX36" s="17">
        <v>-0.32633066666666666</v>
      </c>
      <c r="AY36" s="17">
        <v>-1.5135399999999999</v>
      </c>
      <c r="AZ36" s="17">
        <v>-0.32798300000000002</v>
      </c>
    </row>
    <row r="37" spans="1:52" x14ac:dyDescent="0.2">
      <c r="A37" s="17" t="s">
        <v>1980</v>
      </c>
      <c r="B37" s="17" t="s">
        <v>1484</v>
      </c>
      <c r="C37" s="17">
        <v>3</v>
      </c>
      <c r="D37" s="18">
        <v>42112</v>
      </c>
      <c r="E37" s="17">
        <v>-1.1672550000000002</v>
      </c>
      <c r="F37" s="17">
        <v>-0.16409883333333333</v>
      </c>
      <c r="G37" s="17">
        <v>-1.0883300000000002</v>
      </c>
      <c r="H37" s="17">
        <v>-0.16354166666666664</v>
      </c>
      <c r="I37" s="17">
        <v>-1.0471000000000001</v>
      </c>
      <c r="J37" s="17">
        <v>-0.15568899999999999</v>
      </c>
      <c r="K37" s="17">
        <v>-1.0197216666666666</v>
      </c>
      <c r="L37" s="17">
        <v>-0.14689333333333335</v>
      </c>
      <c r="M37" s="17">
        <v>-1.0027093333333335</v>
      </c>
      <c r="N37" s="17">
        <v>-0.14473</v>
      </c>
      <c r="O37" s="17">
        <v>-1.0047470000000001</v>
      </c>
      <c r="P37" s="17">
        <v>-0.14419233333333334</v>
      </c>
      <c r="Q37" s="17">
        <v>-1.0492250000000001</v>
      </c>
      <c r="R37" s="17">
        <v>-0.14020916666666666</v>
      </c>
      <c r="S37" s="17">
        <v>-1.0380499999999999</v>
      </c>
      <c r="T37" s="17">
        <v>-0.16279266666666667</v>
      </c>
      <c r="U37" s="17">
        <v>-0.99499249999999995</v>
      </c>
      <c r="V37" s="17">
        <v>-0.26970149999999998</v>
      </c>
      <c r="W37" s="17">
        <v>-0.98584783333333326</v>
      </c>
      <c r="X37" s="17">
        <v>-0.2902198333333334</v>
      </c>
      <c r="Y37" s="17">
        <v>-0.95445883333333348</v>
      </c>
      <c r="Z37" s="17">
        <v>-0.25105066666666664</v>
      </c>
      <c r="AA37" s="17">
        <v>-0.94684533333333332</v>
      </c>
      <c r="AB37" s="17">
        <v>-0.23899383333333332</v>
      </c>
      <c r="AC37" s="17">
        <v>-0.96176233333333327</v>
      </c>
      <c r="AD37" s="17">
        <v>-0.24255983333333334</v>
      </c>
      <c r="AE37" s="17">
        <v>-0.98088900000000001</v>
      </c>
      <c r="AF37" s="17">
        <v>-0.25934600000000008</v>
      </c>
      <c r="AG37" s="17">
        <v>-0.93045250000000002</v>
      </c>
      <c r="AH37" s="17">
        <v>-0.2371355</v>
      </c>
      <c r="AI37" s="17">
        <v>-1.03586</v>
      </c>
      <c r="AJ37" s="17">
        <v>-0.28936616666666665</v>
      </c>
      <c r="AK37" s="17">
        <v>-0.90479649999999989</v>
      </c>
      <c r="AL37" s="17">
        <v>-0.2564555</v>
      </c>
      <c r="AM37" s="17">
        <v>-0.67260883333333321</v>
      </c>
      <c r="AN37" s="17">
        <v>-0.17259799999999997</v>
      </c>
      <c r="AO37" s="17">
        <v>-0.6572865</v>
      </c>
      <c r="AP37" s="17">
        <v>-0.14844566666666664</v>
      </c>
      <c r="AQ37" s="17">
        <v>-0.66992883333333331</v>
      </c>
      <c r="AR37" s="17">
        <v>-0.12795866666666664</v>
      </c>
      <c r="AS37" s="17">
        <v>-1.4694565000000002</v>
      </c>
      <c r="AT37" s="17">
        <v>-0.18633208333333334</v>
      </c>
      <c r="AU37" s="17">
        <v>-1.7809916666666665</v>
      </c>
      <c r="AV37" s="17">
        <v>-0.20768633333333333</v>
      </c>
      <c r="AW37" s="17">
        <v>-1.61591</v>
      </c>
      <c r="AX37" s="17">
        <v>-0.17748783333333332</v>
      </c>
      <c r="AY37" s="17">
        <v>-1.3834549999999999</v>
      </c>
      <c r="AZ37" s="17">
        <v>-0.16481166666666669</v>
      </c>
    </row>
    <row r="38" spans="1:52" x14ac:dyDescent="0.2">
      <c r="A38" s="17" t="s">
        <v>1980</v>
      </c>
      <c r="B38" s="17" t="s">
        <v>1484</v>
      </c>
      <c r="C38" s="17">
        <v>3</v>
      </c>
      <c r="D38" s="18">
        <v>42119</v>
      </c>
      <c r="E38" s="17">
        <v>-1.4236383333333333</v>
      </c>
      <c r="F38" s="17">
        <v>-0.34412599999999999</v>
      </c>
      <c r="G38" s="17">
        <v>-1.3325933333333333</v>
      </c>
      <c r="H38" s="17">
        <v>-0.33757216666666673</v>
      </c>
      <c r="I38" s="17">
        <v>-1.2736666666666667</v>
      </c>
      <c r="J38" s="17">
        <v>-0.3205351666666667</v>
      </c>
      <c r="K38" s="17">
        <v>-1.2327483333333331</v>
      </c>
      <c r="L38" s="17">
        <v>-0.31321199999999999</v>
      </c>
      <c r="M38" s="17">
        <v>-1.2134750000000001</v>
      </c>
      <c r="N38" s="17">
        <v>-0.31442983333333335</v>
      </c>
      <c r="O38" s="17">
        <v>-1.2040299999999997</v>
      </c>
      <c r="P38" s="17">
        <v>-0.30822416666666669</v>
      </c>
      <c r="Q38" s="17">
        <v>-1.2385633333333332</v>
      </c>
      <c r="R38" s="17">
        <v>-0.30697449999999998</v>
      </c>
      <c r="S38" s="17">
        <v>-1.0936796666666666</v>
      </c>
      <c r="T38" s="17">
        <v>-0.32482516666666666</v>
      </c>
      <c r="U38" s="17">
        <v>-1.2051733333333332</v>
      </c>
      <c r="V38" s="17">
        <v>-0.49661500000000003</v>
      </c>
      <c r="W38" s="17">
        <v>-1.1799950000000001</v>
      </c>
      <c r="X38" s="17">
        <v>-0.47609416666666671</v>
      </c>
      <c r="Y38" s="17">
        <v>-1.1574966666666666</v>
      </c>
      <c r="Z38" s="17">
        <v>-0.4459596666666667</v>
      </c>
      <c r="AA38" s="17">
        <v>-1.1488983333333334</v>
      </c>
      <c r="AB38" s="17">
        <v>-0.43284333333333325</v>
      </c>
      <c r="AC38" s="17">
        <v>-1.1737466666666667</v>
      </c>
      <c r="AD38" s="17">
        <v>-0.43982750000000004</v>
      </c>
      <c r="AE38" s="17">
        <v>-1.2026783333333333</v>
      </c>
      <c r="AF38" s="17">
        <v>-0.445575</v>
      </c>
      <c r="AG38" s="17">
        <v>-1.2060599999999999</v>
      </c>
      <c r="AH38" s="17">
        <v>-0.44282416666666657</v>
      </c>
      <c r="AI38" s="17">
        <v>-1.22105</v>
      </c>
      <c r="AJ38" s="17">
        <v>-0.45490216666666666</v>
      </c>
      <c r="AK38" s="17">
        <v>-1.1363066666666666</v>
      </c>
      <c r="AL38" s="17">
        <v>-0.42785150000000005</v>
      </c>
      <c r="AM38" s="17">
        <v>-1.2273000000000001</v>
      </c>
      <c r="AN38" s="17">
        <v>-0.47855083333333331</v>
      </c>
      <c r="AO38" s="17">
        <v>-1.1964300000000001</v>
      </c>
      <c r="AP38" s="17">
        <v>-0.4457308333333333</v>
      </c>
      <c r="AQ38" s="17">
        <v>-1.2135816666666668</v>
      </c>
      <c r="AR38" s="17">
        <v>-0.40184466666666668</v>
      </c>
      <c r="AS38" s="17">
        <v>-1.7191983333333334</v>
      </c>
      <c r="AT38" s="17">
        <v>-0.35269383333333332</v>
      </c>
      <c r="AU38" s="17">
        <v>-1.9681116666666667</v>
      </c>
      <c r="AV38" s="17">
        <v>-0.35110066666666667</v>
      </c>
      <c r="AW38" s="17">
        <v>-1.821175</v>
      </c>
      <c r="AX38" s="17">
        <v>-0.34120416666666664</v>
      </c>
      <c r="AY38" s="17">
        <v>-1.5661616666666667</v>
      </c>
      <c r="AZ38" s="17">
        <v>-0.31627450000000001</v>
      </c>
    </row>
    <row r="39" spans="1:52" x14ac:dyDescent="0.2">
      <c r="A39" s="17" t="s">
        <v>1980</v>
      </c>
      <c r="B39" s="17" t="s">
        <v>1484</v>
      </c>
      <c r="C39" s="17">
        <v>3</v>
      </c>
      <c r="D39" s="18">
        <v>42133</v>
      </c>
      <c r="E39" s="17">
        <v>-1.4162783333333335</v>
      </c>
      <c r="F39" s="17">
        <v>-0.32102233333333335</v>
      </c>
      <c r="G39" s="17">
        <v>-1.3276966666666667</v>
      </c>
      <c r="H39" s="17">
        <v>-0.31760466666666659</v>
      </c>
      <c r="I39" s="17">
        <v>-1.2800633333333333</v>
      </c>
      <c r="J39" s="17">
        <v>-0.31365333333333334</v>
      </c>
      <c r="K39" s="17">
        <v>-1.2417516666666666</v>
      </c>
      <c r="L39" s="17">
        <v>-0.29852383333333338</v>
      </c>
      <c r="M39" s="17">
        <v>-1.2148766666666668</v>
      </c>
      <c r="N39" s="17">
        <v>-0.29261583333333335</v>
      </c>
      <c r="O39" s="17">
        <v>-1.2084566666666667</v>
      </c>
      <c r="P39" s="17">
        <v>-0.28798666666666661</v>
      </c>
      <c r="Q39" s="17">
        <v>-1.2531516666666667</v>
      </c>
      <c r="R39" s="17">
        <v>-0.2883343333333333</v>
      </c>
      <c r="S39" s="17">
        <v>-1.2077733333333334</v>
      </c>
      <c r="T39" s="17">
        <v>-0.345945</v>
      </c>
      <c r="U39" s="17">
        <v>-1.2052116666666668</v>
      </c>
      <c r="V39" s="17">
        <v>-0.47080883333333334</v>
      </c>
      <c r="W39" s="17">
        <v>-1.1887716666666668</v>
      </c>
      <c r="X39" s="17">
        <v>-0.46107466666666669</v>
      </c>
      <c r="Y39" s="17">
        <v>-1.1621966666666668</v>
      </c>
      <c r="Z39" s="17">
        <v>-0.43031633333333336</v>
      </c>
      <c r="AA39" s="17">
        <v>-1.1499183333333334</v>
      </c>
      <c r="AB39" s="17">
        <v>-0.41537699999999994</v>
      </c>
      <c r="AC39" s="17">
        <v>-1.13758</v>
      </c>
      <c r="AD39" s="17">
        <v>-0.40256400000000003</v>
      </c>
      <c r="AE39" s="17">
        <v>-1.1689566666666666</v>
      </c>
      <c r="AF39" s="17">
        <v>-0.41754366666666665</v>
      </c>
      <c r="AG39" s="17">
        <v>-1.1724600000000001</v>
      </c>
      <c r="AH39" s="17">
        <v>-0.42222799999999999</v>
      </c>
      <c r="AI39" s="17">
        <v>-1.2255966666666667</v>
      </c>
      <c r="AJ39" s="17">
        <v>-0.46536933333333325</v>
      </c>
      <c r="AK39" s="17">
        <v>-1.2390299999999999</v>
      </c>
      <c r="AL39" s="17">
        <v>-0.47997133333333336</v>
      </c>
      <c r="AM39" s="17">
        <v>-1.2230033333333332</v>
      </c>
      <c r="AN39" s="17">
        <v>-0.47849133333333332</v>
      </c>
      <c r="AO39" s="17">
        <v>-1.2026999999999999</v>
      </c>
      <c r="AP39" s="17">
        <v>-0.45330750000000009</v>
      </c>
      <c r="AQ39" s="17">
        <v>-1.2684199999999999</v>
      </c>
      <c r="AR39" s="17">
        <v>-0.41050083333333331</v>
      </c>
      <c r="AS39" s="17">
        <v>-1.7224166666666667</v>
      </c>
      <c r="AT39" s="17">
        <v>-0.35604066666666662</v>
      </c>
      <c r="AU39" s="17">
        <v>-1.9911949999999998</v>
      </c>
      <c r="AV39" s="17">
        <v>-0.3510813333333333</v>
      </c>
      <c r="AW39" s="17">
        <v>-1.8689566666666666</v>
      </c>
      <c r="AX39" s="17">
        <v>-0.32928499999999999</v>
      </c>
      <c r="AY39" s="17">
        <v>-1.6663266666666667</v>
      </c>
      <c r="AZ39" s="17">
        <v>-0.33098916666666667</v>
      </c>
    </row>
    <row r="40" spans="1:52" x14ac:dyDescent="0.2">
      <c r="A40" s="17" t="s">
        <v>1980</v>
      </c>
      <c r="B40" s="17" t="s">
        <v>1484</v>
      </c>
      <c r="C40" s="17">
        <v>3</v>
      </c>
      <c r="D40" s="18">
        <v>42140</v>
      </c>
      <c r="E40" s="17">
        <v>-1.3937416666666667</v>
      </c>
      <c r="F40" s="17">
        <v>-0.34848716666666674</v>
      </c>
      <c r="G40" s="17">
        <v>-1.3130716666666666</v>
      </c>
      <c r="H40" s="17">
        <v>-0.3349881666666667</v>
      </c>
      <c r="I40" s="17">
        <v>-1.2754183333333333</v>
      </c>
      <c r="J40" s="17">
        <v>-0.33317166666666664</v>
      </c>
      <c r="K40" s="17">
        <v>-1.2463649999999999</v>
      </c>
      <c r="L40" s="17">
        <v>-0.32464800000000005</v>
      </c>
      <c r="M40" s="17">
        <v>-1.2330633333333332</v>
      </c>
      <c r="N40" s="17">
        <v>-0.3246115</v>
      </c>
      <c r="O40" s="17">
        <v>-1.2289649999999999</v>
      </c>
      <c r="P40" s="17">
        <v>-0.31588366666666667</v>
      </c>
      <c r="Q40" s="17">
        <v>-1.2566499999999998</v>
      </c>
      <c r="R40" s="17">
        <v>-0.3081848333333333</v>
      </c>
      <c r="S40" s="17">
        <v>-1.235115</v>
      </c>
      <c r="T40" s="17">
        <v>-0.37271833333333343</v>
      </c>
      <c r="U40" s="17">
        <v>-1.2202833333333336</v>
      </c>
      <c r="V40" s="17">
        <v>-0.49486716666666664</v>
      </c>
      <c r="W40" s="17">
        <v>-1.2008500000000002</v>
      </c>
      <c r="X40" s="17">
        <v>-0.48150066666666674</v>
      </c>
      <c r="Y40" s="17">
        <v>-1.1649449999999999</v>
      </c>
      <c r="Z40" s="17">
        <v>-0.44200516666666662</v>
      </c>
      <c r="AA40" s="17">
        <v>-1.1445516666666666</v>
      </c>
      <c r="AB40" s="17">
        <v>-0.42414883333333336</v>
      </c>
      <c r="AC40" s="17">
        <v>-1.1512200000000001</v>
      </c>
      <c r="AD40" s="17">
        <v>-0.42384600000000006</v>
      </c>
      <c r="AE40" s="17">
        <v>-1.1594599999999999</v>
      </c>
      <c r="AF40" s="17">
        <v>-0.42903716666666675</v>
      </c>
      <c r="AG40" s="17">
        <v>-1.1785833333333333</v>
      </c>
      <c r="AH40" s="17">
        <v>-0.4390478333333333</v>
      </c>
      <c r="AI40" s="17">
        <v>-1.1875100000000001</v>
      </c>
      <c r="AJ40" s="17">
        <v>-0.45106149999999995</v>
      </c>
      <c r="AK40" s="17">
        <v>-1.1978716666666667</v>
      </c>
      <c r="AL40" s="17">
        <v>-0.43263483333333336</v>
      </c>
      <c r="AM40" s="17">
        <v>-1.2341216666666666</v>
      </c>
      <c r="AN40" s="17">
        <v>-0.40498849999999997</v>
      </c>
      <c r="AO40" s="17">
        <v>-1.2718583333333333</v>
      </c>
      <c r="AP40" s="17">
        <v>-0.3809501666666667</v>
      </c>
      <c r="AQ40" s="17">
        <v>-1.4096666666666668</v>
      </c>
      <c r="AR40" s="17">
        <v>-0.35535633333333333</v>
      </c>
      <c r="AS40" s="17">
        <v>-1.7470699999999997</v>
      </c>
      <c r="AT40" s="17">
        <v>-0.3222328333333333</v>
      </c>
      <c r="AU40" s="17">
        <v>-1.8382583333333331</v>
      </c>
      <c r="AV40" s="17">
        <v>-0.32370216666666662</v>
      </c>
      <c r="AW40" s="17">
        <v>-1.675915</v>
      </c>
      <c r="AX40" s="17">
        <v>-0.31779933333333332</v>
      </c>
      <c r="AY40" s="17">
        <v>-1.4823383333333331</v>
      </c>
      <c r="AZ40" s="17">
        <v>-0.31374949999999996</v>
      </c>
    </row>
    <row r="41" spans="1:52" x14ac:dyDescent="0.2">
      <c r="A41" s="17" t="s">
        <v>1980</v>
      </c>
      <c r="B41" s="17" t="s">
        <v>1484</v>
      </c>
      <c r="C41" s="17">
        <v>3</v>
      </c>
      <c r="D41" s="18">
        <v>42147</v>
      </c>
      <c r="E41" s="17">
        <v>-1.3302533333333333</v>
      </c>
      <c r="F41" s="17">
        <v>-0.33950266666666662</v>
      </c>
      <c r="G41" s="17">
        <v>-1.2451116666666666</v>
      </c>
      <c r="H41" s="17">
        <v>-0.31745933333333337</v>
      </c>
      <c r="I41" s="17">
        <v>-1.2122733333333333</v>
      </c>
      <c r="J41" s="17">
        <v>-0.32293566666666668</v>
      </c>
      <c r="K41" s="17">
        <v>-1.192555</v>
      </c>
      <c r="L41" s="17">
        <v>-0.32775399999999999</v>
      </c>
      <c r="M41" s="17">
        <v>-1.1786700000000001</v>
      </c>
      <c r="N41" s="17">
        <v>-0.32914066666666669</v>
      </c>
      <c r="O41" s="17">
        <v>-1.1613266666666666</v>
      </c>
      <c r="P41" s="17">
        <v>-0.32180333333333333</v>
      </c>
      <c r="Q41" s="17">
        <v>-1.1887316666666665</v>
      </c>
      <c r="R41" s="17">
        <v>-0.31069466666666673</v>
      </c>
      <c r="S41" s="17">
        <v>-1.2118816666666667</v>
      </c>
      <c r="T41" s="17">
        <v>-0.3595976666666667</v>
      </c>
      <c r="U41" s="17">
        <v>-1.2307733333333333</v>
      </c>
      <c r="V41" s="17">
        <v>-0.4610751666666667</v>
      </c>
      <c r="W41" s="17">
        <v>-1.215935</v>
      </c>
      <c r="X41" s="17">
        <v>-0.47103950000000006</v>
      </c>
      <c r="Y41" s="17">
        <v>-1.1134900000000001</v>
      </c>
      <c r="Z41" s="17">
        <v>-0.42123433333333332</v>
      </c>
      <c r="AA41" s="17">
        <v>-1.0576166666666666</v>
      </c>
      <c r="AB41" s="17">
        <v>-0.38401533333333332</v>
      </c>
      <c r="AC41" s="17">
        <v>-1.0597816666666666</v>
      </c>
      <c r="AD41" s="17">
        <v>-0.38540799999999997</v>
      </c>
      <c r="AE41" s="17">
        <v>-1.0775083333333333</v>
      </c>
      <c r="AF41" s="17">
        <v>-0.39897783333333336</v>
      </c>
      <c r="AG41" s="17">
        <v>-1.0859449999999999</v>
      </c>
      <c r="AH41" s="17">
        <v>-0.40489450000000005</v>
      </c>
      <c r="AI41" s="17">
        <v>-1.0977133333333333</v>
      </c>
      <c r="AJ41" s="17">
        <v>-0.40862500000000002</v>
      </c>
      <c r="AK41" s="17">
        <v>-1.1045566666666664</v>
      </c>
      <c r="AL41" s="17">
        <v>-0.41799966666666677</v>
      </c>
      <c r="AM41" s="17">
        <v>-1.1751583333333333</v>
      </c>
      <c r="AN41" s="17">
        <v>-0.44586716666666659</v>
      </c>
      <c r="AO41" s="17">
        <v>-1.18224</v>
      </c>
      <c r="AP41" s="17">
        <v>-0.41681950000000001</v>
      </c>
      <c r="AQ41" s="17">
        <v>-1.2291783333333333</v>
      </c>
      <c r="AR41" s="17">
        <v>-0.38807916666666664</v>
      </c>
      <c r="AS41" s="17">
        <v>-1.6007916666666668</v>
      </c>
      <c r="AT41" s="17">
        <v>-0.32778783333333339</v>
      </c>
      <c r="AU41" s="17">
        <v>-1.8262100000000001</v>
      </c>
      <c r="AV41" s="17">
        <v>-0.31313283333333336</v>
      </c>
      <c r="AW41" s="17">
        <v>-1.6964699999999999</v>
      </c>
      <c r="AX41" s="17">
        <v>-0.31128333333333336</v>
      </c>
      <c r="AY41" s="17">
        <v>-1.4973999999999998</v>
      </c>
      <c r="AZ41" s="17">
        <v>-0.32220066666666669</v>
      </c>
    </row>
    <row r="42" spans="1:52" x14ac:dyDescent="0.2">
      <c r="A42" s="17" t="s">
        <v>1980</v>
      </c>
      <c r="B42" s="17" t="s">
        <v>1484</v>
      </c>
      <c r="C42" s="17">
        <v>4</v>
      </c>
      <c r="D42" s="18">
        <v>42107</v>
      </c>
      <c r="E42" s="17">
        <v>-1.1647283333333334</v>
      </c>
      <c r="F42" s="17">
        <v>-0.167792</v>
      </c>
      <c r="G42" s="17">
        <v>-1.0878700000000001</v>
      </c>
      <c r="H42" s="17">
        <v>-0.15863066666666664</v>
      </c>
      <c r="I42" s="17">
        <v>-1.0485899999999999</v>
      </c>
      <c r="J42" s="17">
        <v>-0.15661433333333333</v>
      </c>
      <c r="K42" s="17">
        <v>-1.0188700000000002</v>
      </c>
      <c r="L42" s="17">
        <v>-0.14458000000000001</v>
      </c>
      <c r="M42" s="17">
        <v>-1.0029985000000001</v>
      </c>
      <c r="N42" s="17">
        <v>-0.13896633333333333</v>
      </c>
      <c r="O42" s="17">
        <v>-1.0092395000000001</v>
      </c>
      <c r="P42" s="17">
        <v>-0.13383200000000003</v>
      </c>
      <c r="Q42" s="17">
        <v>-1.0964666666666665</v>
      </c>
      <c r="R42" s="17">
        <v>-0.11903016666666667</v>
      </c>
      <c r="S42" s="17">
        <v>-1.1696699999999998</v>
      </c>
      <c r="T42" s="17">
        <v>-0.16567050000000003</v>
      </c>
      <c r="U42" s="17">
        <v>-1.0554349999999999</v>
      </c>
      <c r="V42" s="17">
        <v>-0.29609800000000003</v>
      </c>
      <c r="W42" s="17">
        <v>-0.99434366666666663</v>
      </c>
      <c r="X42" s="17">
        <v>-0.28779699999999997</v>
      </c>
      <c r="Y42" s="17">
        <v>-0.95024533333333328</v>
      </c>
      <c r="Z42" s="17">
        <v>-0.24219450000000003</v>
      </c>
      <c r="AA42" s="17">
        <v>-0.94619683333333326</v>
      </c>
      <c r="AB42" s="17">
        <v>-0.23132100000000003</v>
      </c>
      <c r="AC42" s="17">
        <v>-0.97765516666666674</v>
      </c>
      <c r="AD42" s="17">
        <v>-0.24299566666666667</v>
      </c>
      <c r="AE42" s="17">
        <v>-1.0202899999999999</v>
      </c>
      <c r="AF42" s="17">
        <v>-0.26777333333333331</v>
      </c>
      <c r="AG42" s="17">
        <v>-1.0438750000000003</v>
      </c>
      <c r="AH42" s="17">
        <v>-0.27799533333333332</v>
      </c>
      <c r="AI42" s="17">
        <v>-1.0554516666666669</v>
      </c>
      <c r="AJ42" s="17">
        <v>-0.28311883333333332</v>
      </c>
      <c r="AK42" s="17">
        <v>-1.0605649999999998</v>
      </c>
      <c r="AL42" s="17">
        <v>-0.28975099999999998</v>
      </c>
      <c r="AM42" s="17">
        <v>-1.0522033333333334</v>
      </c>
      <c r="AN42" s="17">
        <v>-0.29247033333333339</v>
      </c>
      <c r="AO42" s="17">
        <v>-1.0196633333333334</v>
      </c>
      <c r="AP42" s="17">
        <v>-0.27695150000000002</v>
      </c>
      <c r="AQ42" s="17">
        <v>-1.0385591666666667</v>
      </c>
      <c r="AR42" s="17">
        <v>-0.24763016666666668</v>
      </c>
      <c r="AS42" s="17">
        <v>-1.5591816666666667</v>
      </c>
      <c r="AT42" s="17">
        <v>-0.19410716666666666</v>
      </c>
      <c r="AU42" s="17">
        <v>-1.7552383333333335</v>
      </c>
      <c r="AV42" s="17">
        <v>-0.17885883333333333</v>
      </c>
      <c r="AW42" s="17">
        <v>-1.6339983333333332</v>
      </c>
      <c r="AX42" s="17">
        <v>-0.17407399999999998</v>
      </c>
      <c r="AY42" s="17">
        <v>-1.3434350000000002</v>
      </c>
      <c r="AZ42" s="17">
        <v>-0.17163999999999999</v>
      </c>
    </row>
    <row r="43" spans="1:52" x14ac:dyDescent="0.2">
      <c r="A43" s="17" t="s">
        <v>1980</v>
      </c>
      <c r="B43" s="17" t="s">
        <v>1484</v>
      </c>
      <c r="C43" s="17">
        <v>4</v>
      </c>
      <c r="D43" s="18">
        <v>42114</v>
      </c>
      <c r="E43" s="17">
        <v>-1.1412533333333332</v>
      </c>
      <c r="F43" s="17">
        <v>-0.16349950000000002</v>
      </c>
      <c r="G43" s="17">
        <v>-1.0704633333333333</v>
      </c>
      <c r="H43" s="17">
        <v>-0.156916</v>
      </c>
      <c r="I43" s="17">
        <v>-1.0372250000000001</v>
      </c>
      <c r="J43" s="17">
        <v>-0.15261983333333334</v>
      </c>
      <c r="K43" s="17">
        <v>-1.0124416666666667</v>
      </c>
      <c r="L43" s="17">
        <v>-0.15049899999999999</v>
      </c>
      <c r="M43" s="17">
        <v>-0.99607933333333343</v>
      </c>
      <c r="N43" s="17">
        <v>-0.145928</v>
      </c>
      <c r="O43" s="17">
        <v>-1.0065565000000001</v>
      </c>
      <c r="P43" s="17">
        <v>-0.14302883333333336</v>
      </c>
      <c r="Q43" s="17">
        <v>-1.100875</v>
      </c>
      <c r="R43" s="17">
        <v>-0.13117233333333334</v>
      </c>
      <c r="S43" s="17">
        <v>-1.1377683333333333</v>
      </c>
      <c r="T43" s="17">
        <v>-0.16769000000000001</v>
      </c>
      <c r="U43" s="17">
        <v>-1.0271016666666666</v>
      </c>
      <c r="V43" s="17">
        <v>-0.28179916666666666</v>
      </c>
      <c r="W43" s="17">
        <v>-0.96744133333333326</v>
      </c>
      <c r="X43" s="17">
        <v>-0.28148116666666662</v>
      </c>
      <c r="Y43" s="17">
        <v>-0.935284</v>
      </c>
      <c r="Z43" s="17">
        <v>-0.24589133333333332</v>
      </c>
      <c r="AA43" s="17">
        <v>-0.94257933333333321</v>
      </c>
      <c r="AB43" s="17">
        <v>-0.24805066666666664</v>
      </c>
      <c r="AC43" s="17">
        <v>-0.97378083333333321</v>
      </c>
      <c r="AD43" s="17">
        <v>-0.25328699999999998</v>
      </c>
      <c r="AE43" s="17">
        <v>-1.0322049999999998</v>
      </c>
      <c r="AF43" s="17">
        <v>-0.28342600000000001</v>
      </c>
      <c r="AG43" s="17">
        <v>-1.0548550000000001</v>
      </c>
      <c r="AH43" s="17">
        <v>-0.2900766666666667</v>
      </c>
      <c r="AI43" s="17">
        <v>-1.0682666666666667</v>
      </c>
      <c r="AJ43" s="17">
        <v>-0.29839116666666665</v>
      </c>
      <c r="AK43" s="17">
        <v>-1.070306666666667</v>
      </c>
      <c r="AL43" s="17">
        <v>-0.30202699999999999</v>
      </c>
      <c r="AM43" s="17">
        <v>-1.0682749999999999</v>
      </c>
      <c r="AN43" s="17">
        <v>-0.3039405</v>
      </c>
      <c r="AO43" s="17">
        <v>-1.0429849999999998</v>
      </c>
      <c r="AP43" s="17">
        <v>-0.27905383333333339</v>
      </c>
      <c r="AQ43" s="17">
        <v>-1.0512650000000001</v>
      </c>
      <c r="AR43" s="17">
        <v>-0.24428499999999997</v>
      </c>
      <c r="AS43" s="17">
        <v>-1.4575916666666664</v>
      </c>
      <c r="AT43" s="17">
        <v>-0.18956750000000003</v>
      </c>
      <c r="AU43" s="17">
        <v>-1.7607366666666666</v>
      </c>
      <c r="AV43" s="17">
        <v>-0.17399116666666667</v>
      </c>
      <c r="AW43" s="17">
        <v>-1.6332716666666665</v>
      </c>
      <c r="AX43" s="17">
        <v>-0.18325083333333331</v>
      </c>
      <c r="AY43" s="17">
        <v>-1.3305783333333332</v>
      </c>
      <c r="AZ43" s="17">
        <v>-0.17526983333333332</v>
      </c>
    </row>
    <row r="44" spans="1:52" x14ac:dyDescent="0.2">
      <c r="A44" s="17" t="s">
        <v>1980</v>
      </c>
      <c r="B44" s="17" t="s">
        <v>1484</v>
      </c>
      <c r="C44" s="17">
        <v>4</v>
      </c>
      <c r="D44" s="41">
        <v>42128</v>
      </c>
      <c r="E44" s="17">
        <v>-1.3923550000000002</v>
      </c>
      <c r="F44" s="17">
        <v>-0.30989883333333335</v>
      </c>
      <c r="G44" s="17">
        <v>-1.3051116666666667</v>
      </c>
      <c r="H44" s="17">
        <v>-0.30753849999999999</v>
      </c>
      <c r="I44" s="17">
        <v>-1.2506766666666664</v>
      </c>
      <c r="J44" s="17">
        <v>-0.29747866666666672</v>
      </c>
      <c r="K44" s="17">
        <v>-1.2206316666666666</v>
      </c>
      <c r="L44" s="17">
        <v>-0.29119966666666663</v>
      </c>
      <c r="M44" s="17">
        <v>-1.2009449999999999</v>
      </c>
      <c r="N44" s="17">
        <v>-0.28866266666666668</v>
      </c>
      <c r="O44" s="17">
        <v>-1.1979616666666668</v>
      </c>
      <c r="P44" s="17">
        <v>-0.28537416666666665</v>
      </c>
      <c r="Q44" s="17">
        <v>-1.2400949999999999</v>
      </c>
      <c r="R44" s="17">
        <v>-0.27962666666666663</v>
      </c>
      <c r="S44" s="17">
        <v>-1.2213783333333332</v>
      </c>
      <c r="T44" s="17">
        <v>-0.34025333333333341</v>
      </c>
      <c r="U44" s="17">
        <v>-1.2188283333333334</v>
      </c>
      <c r="V44" s="17">
        <v>-0.46198016666666664</v>
      </c>
      <c r="W44" s="17">
        <v>-1.1840999999999999</v>
      </c>
      <c r="X44" s="17">
        <v>-0.45114416666666662</v>
      </c>
      <c r="Y44" s="17">
        <v>-1.1358916666666667</v>
      </c>
      <c r="Z44" s="17">
        <v>-0.41148683333333336</v>
      </c>
      <c r="AA44" s="17">
        <v>-1.1171533333333334</v>
      </c>
      <c r="AB44" s="17">
        <v>-0.39675099999999996</v>
      </c>
      <c r="AC44" s="17">
        <v>-1.1370916666666664</v>
      </c>
      <c r="AD44" s="17">
        <v>-0.40755983333333329</v>
      </c>
      <c r="AE44" s="17">
        <v>-1.1873199999999999</v>
      </c>
      <c r="AF44" s="17">
        <v>-0.42806116666666666</v>
      </c>
      <c r="AG44" s="17">
        <v>-1.1969316666666665</v>
      </c>
      <c r="AH44" s="17">
        <v>-0.4206423333333334</v>
      </c>
      <c r="AI44" s="17">
        <v>-1.2173399999999999</v>
      </c>
      <c r="AJ44" s="17">
        <v>-0.42860533333333323</v>
      </c>
      <c r="AK44" s="17">
        <v>-1.2298466666666665</v>
      </c>
      <c r="AL44" s="17">
        <v>-0.43883049999999996</v>
      </c>
      <c r="AM44" s="17">
        <v>-1.2296800000000001</v>
      </c>
      <c r="AN44" s="17">
        <v>-0.44076000000000004</v>
      </c>
      <c r="AO44" s="17">
        <v>-1.2085200000000003</v>
      </c>
      <c r="AP44" s="17">
        <v>-0.41917483333333344</v>
      </c>
      <c r="AQ44" s="17">
        <v>-1.2441433333333334</v>
      </c>
      <c r="AR44" s="17">
        <v>-0.38320949999999998</v>
      </c>
      <c r="AS44" s="17">
        <v>-1.7547416666666666</v>
      </c>
      <c r="AT44" s="17">
        <v>-0.35712983333333337</v>
      </c>
      <c r="AU44" s="17">
        <v>-2.0081283333333335</v>
      </c>
      <c r="AV44" s="17">
        <v>-0.35571366666666659</v>
      </c>
      <c r="AW44" s="17">
        <v>-1.8584916666666667</v>
      </c>
      <c r="AX44" s="17">
        <v>-0.35813783333333327</v>
      </c>
      <c r="AY44" s="17">
        <v>-1.5466033333333333</v>
      </c>
      <c r="AZ44" s="17">
        <v>-0.31936116666666664</v>
      </c>
    </row>
    <row r="45" spans="1:52" x14ac:dyDescent="0.2">
      <c r="A45" s="17" t="s">
        <v>1980</v>
      </c>
      <c r="B45" s="17" t="s">
        <v>1484</v>
      </c>
      <c r="C45" s="17">
        <v>4</v>
      </c>
      <c r="D45" s="18">
        <v>42135</v>
      </c>
      <c r="E45" s="17">
        <v>-1.4360383333333331</v>
      </c>
      <c r="F45" s="17">
        <v>-0.33311583333333333</v>
      </c>
      <c r="G45" s="17">
        <v>-1.3504616666666669</v>
      </c>
      <c r="H45" s="17">
        <v>-0.33171366666666668</v>
      </c>
      <c r="I45" s="17">
        <v>-1.2792150000000002</v>
      </c>
      <c r="J45" s="17">
        <v>-0.30439083333333333</v>
      </c>
      <c r="K45" s="17">
        <v>-1.2474133333333333</v>
      </c>
      <c r="L45" s="17">
        <v>-0.2972143333333333</v>
      </c>
      <c r="M45" s="17">
        <v>-1.2211566666666667</v>
      </c>
      <c r="N45" s="17">
        <v>-0.2881205</v>
      </c>
      <c r="O45" s="17">
        <v>-1.2191183333333331</v>
      </c>
      <c r="P45" s="17">
        <v>-0.28705599999999998</v>
      </c>
      <c r="Q45" s="17">
        <v>-1.2848333333333335</v>
      </c>
      <c r="R45" s="17">
        <v>-0.28331433333333339</v>
      </c>
      <c r="S45" s="17">
        <v>-1.2816266666666667</v>
      </c>
      <c r="T45" s="17">
        <v>-0.34020666666666666</v>
      </c>
      <c r="U45" s="17">
        <v>-1.2471816666666666</v>
      </c>
      <c r="V45" s="17">
        <v>-0.45791150000000008</v>
      </c>
      <c r="W45" s="17">
        <v>-1.2067749999999999</v>
      </c>
      <c r="X45" s="17">
        <v>-0.46796633333333332</v>
      </c>
      <c r="Y45" s="17">
        <v>-1.1739766666666667</v>
      </c>
      <c r="Z45" s="17">
        <v>-0.43884549999999994</v>
      </c>
      <c r="AA45" s="17">
        <v>-1.1709983333333331</v>
      </c>
      <c r="AB45" s="17">
        <v>-0.42516850000000006</v>
      </c>
      <c r="AC45" s="17">
        <v>-1.1848599999999998</v>
      </c>
      <c r="AD45" s="17">
        <v>-0.41828350000000003</v>
      </c>
      <c r="AE45" s="17">
        <v>-1.2226983333333334</v>
      </c>
      <c r="AF45" s="17">
        <v>-0.43469033333333329</v>
      </c>
      <c r="AG45" s="17">
        <v>-1.1918193333333331</v>
      </c>
      <c r="AH45" s="17">
        <v>-0.42985183333333332</v>
      </c>
      <c r="AI45" s="17">
        <v>-1.250105</v>
      </c>
      <c r="AJ45" s="17">
        <v>-0.44854683333333334</v>
      </c>
      <c r="AK45" s="17">
        <v>-1.2682500000000001</v>
      </c>
      <c r="AL45" s="17">
        <v>-0.46064933333333336</v>
      </c>
      <c r="AM45" s="17">
        <v>-1.2670333333333335</v>
      </c>
      <c r="AN45" s="17">
        <v>-0.46458616666666663</v>
      </c>
      <c r="AO45" s="17">
        <v>-1.24813</v>
      </c>
      <c r="AP45" s="17">
        <v>-0.45528716666666669</v>
      </c>
      <c r="AQ45" s="17">
        <v>-1.2962</v>
      </c>
      <c r="AR45" s="17">
        <v>-0.40732449999999992</v>
      </c>
      <c r="AS45" s="17">
        <v>-1.7568550000000003</v>
      </c>
      <c r="AT45" s="17">
        <v>-0.35022016666666667</v>
      </c>
      <c r="AU45" s="17">
        <v>-1.9981283333333333</v>
      </c>
      <c r="AV45" s="17">
        <v>-0.34389816666666667</v>
      </c>
      <c r="AW45" s="17">
        <v>-1.8832283333333333</v>
      </c>
      <c r="AX45" s="17">
        <v>-0.34746549999999998</v>
      </c>
      <c r="AY45" s="17">
        <v>-1.6187716666666667</v>
      </c>
      <c r="AZ45" s="17">
        <v>-0.3380063333333333</v>
      </c>
    </row>
    <row r="46" spans="1:52" x14ac:dyDescent="0.2">
      <c r="A46" s="17" t="s">
        <v>1980</v>
      </c>
      <c r="B46" s="17" t="s">
        <v>1484</v>
      </c>
      <c r="C46" s="17">
        <v>4</v>
      </c>
      <c r="D46" s="18">
        <v>42142</v>
      </c>
      <c r="E46" s="17">
        <v>-1.3793950000000001</v>
      </c>
      <c r="F46" s="17">
        <v>-0.34149399999999996</v>
      </c>
      <c r="G46" s="17">
        <v>-1.2996383333333332</v>
      </c>
      <c r="H46" s="17">
        <v>-0.33663083333333332</v>
      </c>
      <c r="I46" s="17">
        <v>-1.2685616666666668</v>
      </c>
      <c r="J46" s="17">
        <v>-0.34039500000000006</v>
      </c>
      <c r="K46" s="17">
        <v>-1.2441716666666669</v>
      </c>
      <c r="L46" s="17">
        <v>-0.33757366666666661</v>
      </c>
      <c r="M46" s="17">
        <v>-1.2337266666666666</v>
      </c>
      <c r="N46" s="17">
        <v>-0.33773500000000006</v>
      </c>
      <c r="O46" s="17">
        <v>-1.2405350000000002</v>
      </c>
      <c r="P46" s="17">
        <v>-0.33421200000000001</v>
      </c>
      <c r="Q46" s="17">
        <v>-1.2581800000000001</v>
      </c>
      <c r="R46" s="17">
        <v>-0.32785399999999998</v>
      </c>
      <c r="S46" s="17"/>
      <c r="T46" s="17"/>
      <c r="U46" s="17">
        <v>-1.2608433333333335</v>
      </c>
      <c r="V46" s="17">
        <v>-0.50378766666666663</v>
      </c>
      <c r="W46" s="17">
        <v>-1.1947483333333333</v>
      </c>
      <c r="X46" s="17">
        <v>-0.4640758333333333</v>
      </c>
      <c r="Y46" s="17">
        <v>-1.166825</v>
      </c>
      <c r="Z46" s="17">
        <v>-0.43607266666666661</v>
      </c>
      <c r="AA46" s="17">
        <v>-1.16065</v>
      </c>
      <c r="AB46" s="17">
        <v>-0.42828516666666672</v>
      </c>
      <c r="AC46" s="17">
        <v>-1.1852083333333332</v>
      </c>
      <c r="AD46" s="17">
        <v>-0.4237703333333333</v>
      </c>
      <c r="AE46" s="17">
        <v>-1.192315</v>
      </c>
      <c r="AF46" s="17">
        <v>-0.41449800000000003</v>
      </c>
      <c r="AG46" s="17">
        <v>-1.2511633333333332</v>
      </c>
      <c r="AH46" s="17">
        <v>-0.45871533333333331</v>
      </c>
      <c r="AI46" s="17">
        <v>-1.2575533333333333</v>
      </c>
      <c r="AJ46" s="17">
        <v>-0.46597216666666669</v>
      </c>
      <c r="AK46" s="17">
        <v>-1.2819950000000002</v>
      </c>
      <c r="AL46" s="17">
        <v>-0.48198550000000001</v>
      </c>
      <c r="AM46" s="17">
        <v>-1.2669250000000001</v>
      </c>
      <c r="AN46" s="17">
        <v>-0.47313916666666667</v>
      </c>
      <c r="AO46" s="17">
        <v>-1.2399833333333334</v>
      </c>
      <c r="AP46" s="17">
        <v>-0.45127400000000006</v>
      </c>
      <c r="AQ46" s="17">
        <v>-1.2858550000000002</v>
      </c>
      <c r="AR46" s="17">
        <v>-0.4082371666666666</v>
      </c>
      <c r="AS46" s="17">
        <v>-1.6799466666666667</v>
      </c>
      <c r="AT46" s="17">
        <v>-0.35441816666666665</v>
      </c>
      <c r="AU46" s="17">
        <v>-1.9585500000000002</v>
      </c>
      <c r="AV46" s="17">
        <v>-0.35400999999999999</v>
      </c>
      <c r="AW46" s="17">
        <v>-1.8225883333333335</v>
      </c>
      <c r="AX46" s="17">
        <v>-0.34628150000000002</v>
      </c>
      <c r="AY46" s="17">
        <v>-1.5051933333333334</v>
      </c>
      <c r="AZ46" s="17">
        <v>-0.32993800000000006</v>
      </c>
    </row>
    <row r="47" spans="1:52" x14ac:dyDescent="0.2">
      <c r="A47" s="17" t="s">
        <v>1980</v>
      </c>
      <c r="B47" s="17" t="s">
        <v>1484</v>
      </c>
      <c r="C47" s="17">
        <v>5</v>
      </c>
      <c r="D47" s="18">
        <v>42111</v>
      </c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</row>
    <row r="48" spans="1:52" x14ac:dyDescent="0.2">
      <c r="A48" s="17" t="s">
        <v>1980</v>
      </c>
      <c r="B48" s="17" t="s">
        <v>1484</v>
      </c>
      <c r="C48" s="17">
        <v>5</v>
      </c>
      <c r="D48" s="18">
        <v>42118</v>
      </c>
      <c r="E48" s="17">
        <v>-1.3933433333333334</v>
      </c>
      <c r="F48" s="17">
        <v>-0.34490183333333335</v>
      </c>
      <c r="G48" s="17">
        <v>-1.298195</v>
      </c>
      <c r="H48" s="17">
        <v>-0.32576050000000001</v>
      </c>
      <c r="I48" s="17">
        <v>-1.2651116666666666</v>
      </c>
      <c r="J48" s="17">
        <v>-0.32690983333333334</v>
      </c>
      <c r="K48" s="17">
        <v>-1.2325133333333333</v>
      </c>
      <c r="L48" s="17">
        <v>-0.31756750000000006</v>
      </c>
      <c r="M48" s="17">
        <v>-1.2123466666666667</v>
      </c>
      <c r="N48" s="17">
        <v>-0.31408683333333332</v>
      </c>
      <c r="O48" s="17">
        <v>-1.20634</v>
      </c>
      <c r="P48" s="17">
        <v>-0.3011408333333333</v>
      </c>
      <c r="Q48" s="17">
        <v>-1.2970466666666669</v>
      </c>
      <c r="R48" s="17">
        <v>-0.29675399999999996</v>
      </c>
      <c r="S48" s="17">
        <v>-1.3152183333333332</v>
      </c>
      <c r="T48" s="17">
        <v>-0.35558683333333335</v>
      </c>
      <c r="U48" s="17">
        <v>-1.2372383333333334</v>
      </c>
      <c r="V48" s="17">
        <v>-0.48970433333333335</v>
      </c>
      <c r="W48" s="17">
        <v>-1.1665016666666668</v>
      </c>
      <c r="X48" s="17">
        <v>-0.46449900000000005</v>
      </c>
      <c r="Y48" s="17">
        <v>-1.1198733333333333</v>
      </c>
      <c r="Z48" s="17">
        <v>-0.42653900000000006</v>
      </c>
      <c r="AA48" s="17">
        <v>-1.1235666666666666</v>
      </c>
      <c r="AB48" s="17">
        <v>-0.41913699999999998</v>
      </c>
      <c r="AC48" s="17">
        <v>-1.1652199999999999</v>
      </c>
      <c r="AD48" s="17">
        <v>-0.43701333333333331</v>
      </c>
      <c r="AE48" s="17">
        <v>-1.2038383333333333</v>
      </c>
      <c r="AF48" s="17">
        <v>-0.44300283333333329</v>
      </c>
      <c r="AG48" s="17">
        <v>-1.2276733333333334</v>
      </c>
      <c r="AH48" s="17">
        <v>-0.45449166666666663</v>
      </c>
      <c r="AI48" s="17">
        <v>-1.2399200000000004</v>
      </c>
      <c r="AJ48" s="17">
        <v>-0.46707033333333342</v>
      </c>
      <c r="AK48" s="17">
        <v>-1.2550483333333333</v>
      </c>
      <c r="AL48" s="17">
        <v>-0.49128416666666663</v>
      </c>
      <c r="AM48" s="17">
        <v>-1.2507549999999998</v>
      </c>
      <c r="AN48" s="17">
        <v>-0.48498533333333338</v>
      </c>
      <c r="AO48" s="17">
        <v>-1.2187650000000001</v>
      </c>
      <c r="AP48" s="17">
        <v>-0.47382166666666664</v>
      </c>
      <c r="AQ48" s="17">
        <v>-1.243655</v>
      </c>
      <c r="AR48" s="17">
        <v>-0.4239814999999999</v>
      </c>
      <c r="AS48" s="17">
        <v>-1.7797833333333335</v>
      </c>
      <c r="AT48" s="17">
        <v>-0.37811866666666666</v>
      </c>
      <c r="AU48" s="17">
        <v>-2.0272900000000003</v>
      </c>
      <c r="AV48" s="17">
        <v>-0.37362733333333337</v>
      </c>
      <c r="AW48" s="17">
        <v>-1.8924033333333334</v>
      </c>
      <c r="AX48" s="17">
        <v>-0.36821900000000002</v>
      </c>
      <c r="AY48" s="17">
        <v>-1.6134300000000001</v>
      </c>
      <c r="AZ48" s="17">
        <v>-0.34528366666666666</v>
      </c>
    </row>
    <row r="49" spans="1:52" x14ac:dyDescent="0.2">
      <c r="A49" s="17" t="s">
        <v>1980</v>
      </c>
      <c r="B49" s="17" t="s">
        <v>1484</v>
      </c>
      <c r="C49" s="17">
        <v>5</v>
      </c>
      <c r="D49" s="18">
        <v>42132</v>
      </c>
      <c r="E49" s="17">
        <v>-1.4068866666666666</v>
      </c>
      <c r="F49" s="17">
        <v>-0.31271066666666669</v>
      </c>
      <c r="G49" s="17">
        <v>-1.3146983333333333</v>
      </c>
      <c r="H49" s="17">
        <v>-0.31250883333333329</v>
      </c>
      <c r="I49" s="17">
        <v>-1.2635183333333335</v>
      </c>
      <c r="J49" s="17">
        <v>-0.31589216666666664</v>
      </c>
      <c r="K49" s="17">
        <v>-1.233595</v>
      </c>
      <c r="L49" s="17">
        <v>-0.31235950000000001</v>
      </c>
      <c r="M49" s="17">
        <v>-1.2138549999999997</v>
      </c>
      <c r="N49" s="17">
        <v>-0.30585849999999998</v>
      </c>
      <c r="O49" s="17">
        <v>-1.2169266666666665</v>
      </c>
      <c r="P49" s="17">
        <v>-0.30378483333333334</v>
      </c>
      <c r="Q49" s="17">
        <v>-1.2971349999999999</v>
      </c>
      <c r="R49" s="17">
        <v>-0.29633550000000003</v>
      </c>
      <c r="S49" s="17">
        <v>-1.2872933333333334</v>
      </c>
      <c r="T49" s="17">
        <v>-0.35478750000000009</v>
      </c>
      <c r="U49" s="17">
        <v>-1.2419683333333333</v>
      </c>
      <c r="V49" s="17">
        <v>-0.47864883333333336</v>
      </c>
      <c r="W49" s="17">
        <v>-1.1931183333333331</v>
      </c>
      <c r="X49" s="17">
        <v>-0.46234633333333336</v>
      </c>
      <c r="Y49" s="17">
        <v>-1.1483749999999999</v>
      </c>
      <c r="Z49" s="17">
        <v>-0.41532750000000002</v>
      </c>
      <c r="AA49" s="17">
        <v>-1.1400533333333334</v>
      </c>
      <c r="AB49" s="17">
        <v>-0.40211633333333335</v>
      </c>
      <c r="AC49" s="17">
        <v>-1.1671866666666668</v>
      </c>
      <c r="AD49" s="17">
        <v>-0.41205533333333327</v>
      </c>
      <c r="AE49" s="17">
        <v>-1.2080683333333333</v>
      </c>
      <c r="AF49" s="17">
        <v>-0.44106749999999995</v>
      </c>
      <c r="AG49" s="17">
        <v>-1.1956216666666666</v>
      </c>
      <c r="AH49" s="17">
        <v>-0.43353516666666664</v>
      </c>
      <c r="AI49" s="17">
        <v>-1.2045599999999999</v>
      </c>
      <c r="AJ49" s="17">
        <v>-0.44273350000000006</v>
      </c>
      <c r="AK49" s="17">
        <v>-1.2651416666666668</v>
      </c>
      <c r="AL49" s="17">
        <v>-0.47875950000000006</v>
      </c>
      <c r="AM49" s="17">
        <v>-1.2583499999999999</v>
      </c>
      <c r="AN49" s="17">
        <v>-0.47065983333333339</v>
      </c>
      <c r="AO49" s="17">
        <v>-1.2166266666666667</v>
      </c>
      <c r="AP49" s="17">
        <v>-0.42167366666666672</v>
      </c>
      <c r="AQ49" s="17">
        <v>-1.2378449999999999</v>
      </c>
      <c r="AR49" s="17">
        <v>-0.39264616666666668</v>
      </c>
      <c r="AS49" s="17">
        <v>-1.7146066666666666</v>
      </c>
      <c r="AT49" s="17">
        <v>-0.35172899999999996</v>
      </c>
      <c r="AU49" s="17">
        <v>-1.9914199999999997</v>
      </c>
      <c r="AV49" s="17">
        <v>-0.34689966666666672</v>
      </c>
      <c r="AW49" s="17">
        <v>-1.8630616666666666</v>
      </c>
      <c r="AX49" s="17">
        <v>-0.34691033333333332</v>
      </c>
      <c r="AY49" s="17">
        <v>-1.5997100000000002</v>
      </c>
      <c r="AZ49" s="17">
        <v>-0.32525233333333337</v>
      </c>
    </row>
    <row r="50" spans="1:52" x14ac:dyDescent="0.2">
      <c r="A50" s="17" t="s">
        <v>1980</v>
      </c>
      <c r="B50" s="17" t="s">
        <v>1484</v>
      </c>
      <c r="C50" s="17">
        <v>5</v>
      </c>
      <c r="D50" s="18">
        <v>42139</v>
      </c>
      <c r="E50" s="17">
        <v>-1.3839900000000001</v>
      </c>
      <c r="F50" s="17">
        <v>-0.33487533333333336</v>
      </c>
      <c r="G50" s="17">
        <v>-1.3173683333333333</v>
      </c>
      <c r="H50" s="17">
        <v>-0.33963266666666669</v>
      </c>
      <c r="I50" s="17">
        <v>-1.2755750000000001</v>
      </c>
      <c r="J50" s="17">
        <v>-0.33725766666666668</v>
      </c>
      <c r="K50" s="17">
        <v>-1.2512916666666667</v>
      </c>
      <c r="L50" s="17">
        <v>-0.33350000000000007</v>
      </c>
      <c r="M50" s="17">
        <v>-1.22841</v>
      </c>
      <c r="N50" s="17">
        <v>-0.32009999999999994</v>
      </c>
      <c r="O50" s="17">
        <v>-1.2234566666666666</v>
      </c>
      <c r="P50" s="17">
        <v>-0.30899583333333336</v>
      </c>
      <c r="Q50" s="17">
        <v>-1.2622383333333334</v>
      </c>
      <c r="R50" s="17">
        <v>-0.29849966666666666</v>
      </c>
      <c r="S50" s="17">
        <v>-1.2576833333333335</v>
      </c>
      <c r="T50" s="17">
        <v>-0.34526166666666658</v>
      </c>
      <c r="U50" s="17">
        <v>-1.2757583333333335</v>
      </c>
      <c r="V50" s="17">
        <v>-0.47353400000000007</v>
      </c>
      <c r="W50" s="17">
        <v>-1.2465366666666666</v>
      </c>
      <c r="X50" s="17">
        <v>-0.47868650000000001</v>
      </c>
      <c r="Y50" s="17">
        <v>-1.2102116666666669</v>
      </c>
      <c r="Z50" s="17">
        <v>-0.45188916666666668</v>
      </c>
      <c r="AA50" s="17">
        <v>-1.1813099999999999</v>
      </c>
      <c r="AB50" s="17">
        <v>-0.42978850000000007</v>
      </c>
      <c r="AC50" s="17">
        <v>-1.1761600000000001</v>
      </c>
      <c r="AD50" s="17">
        <v>-0.42395483333333339</v>
      </c>
      <c r="AE50" s="17">
        <v>-1.2056150000000001</v>
      </c>
      <c r="AF50" s="17">
        <v>-0.44581099999999996</v>
      </c>
      <c r="AG50" s="17">
        <v>-1.2130316666666667</v>
      </c>
      <c r="AH50" s="17">
        <v>-0.4354015</v>
      </c>
      <c r="AI50" s="17">
        <v>-1.2365166666666667</v>
      </c>
      <c r="AJ50" s="17">
        <v>-0.45233466666666672</v>
      </c>
      <c r="AK50" s="17">
        <v>-1.2605066666666664</v>
      </c>
      <c r="AL50" s="17">
        <v>-0.47682449999999998</v>
      </c>
      <c r="AM50" s="17">
        <v>-1.2637349999999998</v>
      </c>
      <c r="AN50" s="17">
        <v>-0.46457333333333334</v>
      </c>
      <c r="AO50" s="17">
        <v>-1.2286516666666667</v>
      </c>
      <c r="AP50" s="17">
        <v>-0.41978500000000002</v>
      </c>
      <c r="AQ50" s="17">
        <v>-1.3194416666666666</v>
      </c>
      <c r="AR50" s="17">
        <v>-0.39199933333333337</v>
      </c>
      <c r="AS50" s="17">
        <v>-1.7290366666666666</v>
      </c>
      <c r="AT50" s="17">
        <v>-0.36416599999999999</v>
      </c>
      <c r="AU50" s="17">
        <v>-1.9113566666666666</v>
      </c>
      <c r="AV50" s="17">
        <v>-0.35007233333333337</v>
      </c>
      <c r="AW50" s="17">
        <v>-1.7746300000000002</v>
      </c>
      <c r="AX50" s="17">
        <v>-0.34799016666666671</v>
      </c>
      <c r="AY50" s="17">
        <v>-1.5386716666666669</v>
      </c>
      <c r="AZ50" s="17">
        <v>-0.34097</v>
      </c>
    </row>
    <row r="51" spans="1:52" x14ac:dyDescent="0.2">
      <c r="A51" s="17" t="s">
        <v>1980</v>
      </c>
      <c r="B51" s="17" t="s">
        <v>1484</v>
      </c>
      <c r="C51" s="17">
        <v>5</v>
      </c>
      <c r="D51" s="18">
        <v>42146</v>
      </c>
      <c r="E51" s="17">
        <v>-1.3550249999999999</v>
      </c>
      <c r="F51" s="17">
        <v>-0.33561466666666667</v>
      </c>
      <c r="G51" s="17">
        <v>-1.2698566666666669</v>
      </c>
      <c r="H51" s="17">
        <v>-0.3240656666666667</v>
      </c>
      <c r="I51" s="17">
        <v>-1.2422</v>
      </c>
      <c r="J51" s="17">
        <v>-0.32277033333333333</v>
      </c>
      <c r="K51" s="17">
        <v>-1.2233750000000003</v>
      </c>
      <c r="L51" s="17">
        <v>-0.3184346666666667</v>
      </c>
      <c r="M51" s="17">
        <v>-1.2156283333333333</v>
      </c>
      <c r="N51" s="17">
        <v>-0.31992199999999998</v>
      </c>
      <c r="O51" s="17">
        <v>-1.2212383333333334</v>
      </c>
      <c r="P51" s="17">
        <v>-0.31420733333333334</v>
      </c>
      <c r="Q51" s="17">
        <v>-1.2847516666666667</v>
      </c>
      <c r="R51" s="17">
        <v>-0.30905566666666662</v>
      </c>
      <c r="S51" s="17">
        <v>-1.326635</v>
      </c>
      <c r="T51" s="17">
        <v>-0.37205766666666668</v>
      </c>
      <c r="U51" s="17">
        <v>-1.3106566666666668</v>
      </c>
      <c r="V51" s="17">
        <v>-0.49968649999999998</v>
      </c>
      <c r="W51" s="17">
        <v>-1.2349433333333333</v>
      </c>
      <c r="X51" s="17">
        <v>-0.48971016666666667</v>
      </c>
      <c r="Y51" s="17">
        <v>-1.1666616666666667</v>
      </c>
      <c r="Z51" s="17">
        <v>-0.43339366666666662</v>
      </c>
      <c r="AA51" s="17">
        <v>-1.1273850000000001</v>
      </c>
      <c r="AB51" s="17">
        <v>-0.39047916666666671</v>
      </c>
      <c r="AC51" s="17">
        <v>-1.1326766666666666</v>
      </c>
      <c r="AD51" s="17">
        <v>-0.3870156666666667</v>
      </c>
      <c r="AE51" s="17">
        <v>-1.1415183333333332</v>
      </c>
      <c r="AF51" s="17">
        <v>-0.39433766666666675</v>
      </c>
      <c r="AG51" s="17">
        <v>-1.1430666666666665</v>
      </c>
      <c r="AH51" s="17">
        <v>-0.42140149999999993</v>
      </c>
      <c r="AI51" s="17">
        <v>-1.1653783333333334</v>
      </c>
      <c r="AJ51" s="17">
        <v>-0.43796499999999999</v>
      </c>
      <c r="AK51" s="17">
        <v>-1.1915716666666667</v>
      </c>
      <c r="AL51" s="17">
        <v>-0.44912183333333339</v>
      </c>
      <c r="AM51" s="17">
        <v>-1.1974816666666663</v>
      </c>
      <c r="AN51" s="17">
        <v>-0.4445741666666666</v>
      </c>
      <c r="AO51" s="17">
        <v>-1.1708183333333333</v>
      </c>
      <c r="AP51" s="17">
        <v>-0.42730583333333327</v>
      </c>
      <c r="AQ51" s="17">
        <v>-1.2063933333333332</v>
      </c>
      <c r="AR51" s="17">
        <v>-0.39449800000000002</v>
      </c>
      <c r="AS51" s="17">
        <v>-1.64882</v>
      </c>
      <c r="AT51" s="17">
        <v>-0.33464450000000001</v>
      </c>
      <c r="AU51" s="17">
        <v>-1.8873999999999997</v>
      </c>
      <c r="AV51" s="17">
        <v>-0.34076766666666669</v>
      </c>
      <c r="AW51" s="17">
        <v>-1.7450249999999998</v>
      </c>
      <c r="AX51" s="17">
        <v>-0.34430450000000001</v>
      </c>
      <c r="AY51" s="17">
        <v>-1.4940049999999998</v>
      </c>
      <c r="AZ51" s="17">
        <v>-0.33796083333333332</v>
      </c>
    </row>
  </sheetData>
  <phoneticPr fontId="9" type="noConversion"/>
  <conditionalFormatting sqref="AY52:AY1048576 AW52:AW1048576 AU52:AU1048576 AS52:AS1048576 AQ52:AQ1048576 AO52:AO1048576 AM52:AM1048576 AK52:AK1048576 AI52:AI1048576 AG52:AG1048576 AE52:AE1048576 AC52:AC1048576 AA52:AA1048576 Y52:Y1048576 W52:W1048576 U52:U1048576 S52:S1048576 Q52:Q1048576 O52:O1048576 M52:M1048576 K52:K1048576 I52:I1048576 G52:G1048576 E52:E1048576 E1 G1 I1 K1 M1 O1 Q1 S1 U1 W1 Y1 AA1 AC1 AE1 AG1 AI1 AK1 AM1 AO1 AQ1 AS1 AU1 AW1 AY1 AY7:AY26 AW7:AW26 AU7:AU26 AS7:AS26 AQ7:AQ26 AO7:AO26 AM7:AM26 AK7:AK26 AI7:AI26 AG7:AG26 AE7:AE26 AC7:AC26 AA7:AA26 Y7:Y26 W7:W26 U7:U26 S7:S26 Q7:Q26 O7:O26 M7:M26 K7:K26 I7:I26 G7:G26 E7:E26">
    <cfRule type="cellIs" dxfId="28" priority="11" operator="between">
      <formula>0</formula>
      <formula>0</formula>
    </cfRule>
    <cfRule type="cellIs" dxfId="27" priority="12" operator="lessThan">
      <formula>0</formula>
    </cfRule>
  </conditionalFormatting>
  <conditionalFormatting sqref="AV52:AZ1048576 AT52:AT1048576 AR52:AR1048576 AP52:AP1048576 AN52:AN1048576 AL52:AL1048576 AJ52:AJ1048576 AH52:AH1048576 AF52:AF1048576 AD52:AD1048576 AB52:AB1048576 Z52:Z1048576 X52:X1048576 V52:V1048576 T52:T1048576 R52:R1048576 P52:P1048576 N52:N1048576 L52:L1048576 J52:J1048576 H52:H1048576 F52:F1048576 F1 H1 J1 L1 N1 P1 R1 T1 V1 X1 Z1 AB1 AD1 AF1 AH1 AJ1 AL1 AN1 AP1 AR1 AT1 AV1:AZ1 AV7:AZ26 AT7:AT26 AR7:AR26 AP7:AP26 AN7:AN26 AL7:AL26 AJ7:AJ26 AH7:AH26 AF7:AF26 AD7:AD26 AB7:AB26 Z7:Z26 X7:X26 V7:V26 T7:T26 R7:R26 P7:P26 N7:N26 L7:L26 J7:J26 H7:H26 F7:F26">
    <cfRule type="cellIs" dxfId="26" priority="10" operator="between">
      <formula>-0.0001</formula>
      <formula>0</formula>
    </cfRule>
  </conditionalFormatting>
  <conditionalFormatting sqref="AY52:AY1048576 AW52:AW1048576 AW1 AY1 AY7:AY26 AW7:AW26">
    <cfRule type="cellIs" dxfId="25" priority="9" operator="between">
      <formula>0</formula>
      <formula>0</formula>
    </cfRule>
  </conditionalFormatting>
  <conditionalFormatting sqref="E27:E51 G27:G51 I27:I51 K27:K51 M27:M51 O27:O51 Q27:Q51 S27:S51 U27:U51 W27:W51 Y27:Y51 AA27:AA51 AC27:AC51 AE27:AE51 AG27:AG51 AI27:AI51 AK27:AK51 AM27:AM51 AO27:AO51 AQ27:AQ51 AS27:AS51 AU27:AU51 AW27:AW51 AY27:AY51">
    <cfRule type="cellIs" dxfId="24" priority="7" operator="between">
      <formula>0</formula>
      <formula>0</formula>
    </cfRule>
    <cfRule type="cellIs" dxfId="23" priority="8" operator="lessThan">
      <formula>0</formula>
    </cfRule>
  </conditionalFormatting>
  <conditionalFormatting sqref="F27:F51 H27:H51 J27:J51 L27:L51 N27:N51 P27:P51 R27:R51 T27:T51 V27:V51 X27:X51 Z27:Z51 AB27:AB51 AD27:AD51 AF27:AF51 AH27:AH51 AJ27:AJ51 AL27:AL51 AN27:AN51 AP27:AP51 AR27:AR51 AT27:AT51 AV27:AZ51">
    <cfRule type="cellIs" dxfId="22" priority="6" operator="between">
      <formula>-0.0001</formula>
      <formula>0</formula>
    </cfRule>
  </conditionalFormatting>
  <conditionalFormatting sqref="AW27:AW51 AY27:AY51">
    <cfRule type="cellIs" dxfId="21" priority="5" operator="between">
      <formula>0</formula>
      <formula>0</formula>
    </cfRule>
  </conditionalFormatting>
  <conditionalFormatting sqref="AY2:AY6 AW2:AW6 AU2:AU6 AS2:AS6 AQ2:AQ6 AO2:AO6 AM2:AM6 AK2:AK6 AI2:AI6 AG2:AG6 AE2:AE6 AC2:AC6 AA2:AA6 Y2:Y6 W2:W6 U2:U6 S2:S6 Q2:Q6 O2:O6 M2:M6 K2:K6 I2:I6 G2:G6 E2:E6">
    <cfRule type="cellIs" dxfId="20" priority="3" operator="between">
      <formula>0</formula>
      <formula>0</formula>
    </cfRule>
    <cfRule type="cellIs" dxfId="19" priority="4" operator="lessThan">
      <formula>0</formula>
    </cfRule>
  </conditionalFormatting>
  <conditionalFormatting sqref="AV2:AZ6 AT2:AT6 AR2:AR6 AP2:AP6 AN2:AN6 AL2:AL6 AJ2:AJ6 AH2:AH6 AF2:AF6 AD2:AD6 AB2:AB6 Z2:Z6 X2:X6 V2:V6 T2:T6 R2:R6 P2:P6 N2:N6 L2:L6 J2:J6 H2:H6 F2:F6">
    <cfRule type="cellIs" dxfId="18" priority="2" operator="between">
      <formula>-0.0001</formula>
      <formula>0</formula>
    </cfRule>
  </conditionalFormatting>
  <conditionalFormatting sqref="AY2:AY6 AW2:AW6">
    <cfRule type="cellIs" dxfId="17" priority="1" operator="between">
      <formula>0</formula>
      <formula>0</formula>
    </cfRule>
  </conditionalFormatting>
  <dataValidations disablePrompts="1" count="1">
    <dataValidation allowBlank="1" showInputMessage="1" showErrorMessage="1" errorTitle="VALORES NO PERMITIDOS" error="VUELVE A INTENTAR" promptTitle="ESTACION" sqref="D19 D44"/>
  </dataValidations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>
    <tabColor theme="8" tint="0.39997558519241921"/>
  </sheetPr>
  <dimension ref="A1:IH26"/>
  <sheetViews>
    <sheetView topLeftCell="HQ1" zoomScale="77" workbookViewId="0">
      <selection activeCell="B8" sqref="B8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-1.2510553333333334</v>
      </c>
      <c r="C2">
        <v>-0.30765349999999997</v>
      </c>
      <c r="D2">
        <v>-1.2228746666666666</v>
      </c>
      <c r="E2">
        <v>-0.28291743333333336</v>
      </c>
      <c r="F2">
        <v>-1.2767036666666667</v>
      </c>
      <c r="G2">
        <v>-0.30184643333333333</v>
      </c>
      <c r="H2">
        <v>-1.2520606666666665</v>
      </c>
      <c r="I2">
        <v>-0.28711343333333339</v>
      </c>
      <c r="J2">
        <v>-1.2572643333333333</v>
      </c>
      <c r="K2">
        <v>-0.30232826666666668</v>
      </c>
      <c r="L2">
        <v>-1.1824016666666666</v>
      </c>
      <c r="M2">
        <v>-0.30035080000000003</v>
      </c>
      <c r="N2">
        <v>-1.1499890000000001</v>
      </c>
      <c r="O2">
        <v>-0.27521919999999994</v>
      </c>
      <c r="P2">
        <v>-1.2055310000000001</v>
      </c>
      <c r="Q2">
        <v>-0.2941611666666667</v>
      </c>
      <c r="R2">
        <v>-1.1830950000000002</v>
      </c>
      <c r="S2">
        <v>-0.28342256666666665</v>
      </c>
      <c r="T2">
        <v>-1.1811023333333333</v>
      </c>
      <c r="U2">
        <v>-0.28170953333333332</v>
      </c>
      <c r="V2">
        <v>-1.1479286666666666</v>
      </c>
      <c r="W2">
        <v>-0.29362703333333334</v>
      </c>
      <c r="X2">
        <v>-1.1191505000000002</v>
      </c>
      <c r="Y2">
        <v>-0.27400450000000004</v>
      </c>
      <c r="Z2">
        <v>-1.175786</v>
      </c>
      <c r="AA2">
        <v>-0.29393386666666671</v>
      </c>
      <c r="AB2">
        <v>-1.1470123333333333</v>
      </c>
      <c r="AC2">
        <v>-0.27543563333333332</v>
      </c>
      <c r="AD2">
        <v>-1.1492349999999998</v>
      </c>
      <c r="AE2">
        <v>-0.27876970000000001</v>
      </c>
      <c r="AF2">
        <v>-1.1241379999999999</v>
      </c>
      <c r="AG2">
        <v>-0.28656653333333332</v>
      </c>
      <c r="AH2">
        <v>-1.0992409000000003</v>
      </c>
      <c r="AI2">
        <v>-0.27465086666666666</v>
      </c>
      <c r="AJ2">
        <v>-1.1548060000000002</v>
      </c>
      <c r="AK2">
        <v>-0.29137810000000003</v>
      </c>
      <c r="AL2">
        <v>-1.1252526666666667</v>
      </c>
      <c r="AM2">
        <v>-0.27106419999999998</v>
      </c>
      <c r="AN2">
        <v>-1.128695</v>
      </c>
      <c r="AO2">
        <v>-0.27327133333333337</v>
      </c>
      <c r="AP2">
        <v>-1.1175159999999997</v>
      </c>
      <c r="AQ2">
        <v>-0.2877667333333333</v>
      </c>
      <c r="AR2">
        <v>-1.0870652333333333</v>
      </c>
      <c r="AS2">
        <v>-0.27209876666666666</v>
      </c>
      <c r="AT2">
        <v>-1.1422273333333333</v>
      </c>
      <c r="AU2">
        <v>-0.28723203333333336</v>
      </c>
      <c r="AV2">
        <v>-1.1135663333333334</v>
      </c>
      <c r="AW2">
        <v>-0.26900116666666662</v>
      </c>
      <c r="AX2">
        <v>-1.1181686666666666</v>
      </c>
      <c r="AY2">
        <v>-0.26929996666666661</v>
      </c>
      <c r="AZ2">
        <v>-1.1158046666666666</v>
      </c>
      <c r="BA2">
        <v>-1.1158046666666666</v>
      </c>
      <c r="BB2">
        <v>-1.0753122666666666</v>
      </c>
      <c r="BC2">
        <v>-1.0753122666666666</v>
      </c>
      <c r="BD2">
        <v>-1.1375246666666665</v>
      </c>
      <c r="BE2">
        <v>-1.1375246666666665</v>
      </c>
      <c r="BF2">
        <v>-1.1135293333333336</v>
      </c>
      <c r="BG2">
        <v>-1.1135293333333336</v>
      </c>
      <c r="BH2">
        <v>-1.1165676666666668</v>
      </c>
      <c r="BI2">
        <v>-1.1165676666666668</v>
      </c>
      <c r="BJ2">
        <v>-1.1456806666666666</v>
      </c>
      <c r="BK2">
        <v>-0.27699983333333333</v>
      </c>
      <c r="BL2">
        <v>-1.0888126333333334</v>
      </c>
      <c r="BM2">
        <v>-0.25650279999999998</v>
      </c>
      <c r="BN2">
        <v>-1.1703299999999999</v>
      </c>
      <c r="BO2">
        <v>-0.27397126666666666</v>
      </c>
      <c r="BP2">
        <v>-1.1442143333333332</v>
      </c>
      <c r="BQ2">
        <v>-0.26075743333333334</v>
      </c>
      <c r="BR2">
        <v>-1.1450746666666667</v>
      </c>
      <c r="BS2">
        <v>-0.26098689999999997</v>
      </c>
      <c r="BT2">
        <v>-1.1509240000000003</v>
      </c>
      <c r="BU2">
        <v>-0.31350366666666662</v>
      </c>
      <c r="BV2">
        <v>-1.0765728999999999</v>
      </c>
      <c r="BW2">
        <v>-0.27790996666666673</v>
      </c>
      <c r="BX2">
        <v>-1.1719176666666666</v>
      </c>
      <c r="BY2">
        <v>-0.31570120000000002</v>
      </c>
      <c r="BZ2">
        <v>-1.155589</v>
      </c>
      <c r="CA2">
        <v>-0.30202010000000001</v>
      </c>
      <c r="CB2">
        <v>-1.1630386666666666</v>
      </c>
      <c r="CC2">
        <v>-0.29671166666666665</v>
      </c>
      <c r="CD2">
        <v>-1.1622903333333334</v>
      </c>
      <c r="CE2">
        <v>-0.44265826666666674</v>
      </c>
      <c r="CF2">
        <v>-1.1019051</v>
      </c>
      <c r="CG2">
        <v>-0.40416290000000005</v>
      </c>
      <c r="CH2">
        <v>-1.191392</v>
      </c>
      <c r="CI2">
        <v>-0.45445570000000002</v>
      </c>
      <c r="CJ2">
        <v>-1.1751483333333332</v>
      </c>
      <c r="CK2">
        <v>-0.44881373333333335</v>
      </c>
      <c r="CL2">
        <v>-1.1928226666666668</v>
      </c>
      <c r="CM2">
        <v>-0.43386376666666659</v>
      </c>
      <c r="CN2">
        <v>-1.1417383333333333</v>
      </c>
      <c r="CO2">
        <v>-0.43346943333333332</v>
      </c>
      <c r="CP2">
        <v>-1.1035513333333333</v>
      </c>
      <c r="CQ2">
        <v>-0.42031116666666657</v>
      </c>
      <c r="CR2">
        <v>-1.1564720000000002</v>
      </c>
      <c r="CS2">
        <v>-0.44016536666666661</v>
      </c>
      <c r="CT2">
        <v>-1.1527523333333332</v>
      </c>
      <c r="CU2">
        <v>-0.44647580000000009</v>
      </c>
      <c r="CV2">
        <v>-1.1704493333333332</v>
      </c>
      <c r="CW2">
        <v>-0.43640929999999994</v>
      </c>
      <c r="CX2">
        <v>-1.1067416666666667</v>
      </c>
      <c r="CY2">
        <v>-0.39774443333333337</v>
      </c>
      <c r="CZ2">
        <v>-1.0644803333333335</v>
      </c>
      <c r="DA2">
        <v>-0.36986369999999996</v>
      </c>
      <c r="DB2">
        <v>-1.1058643333333333</v>
      </c>
      <c r="DC2">
        <v>-0.38970559999999999</v>
      </c>
      <c r="DD2">
        <v>-1.1148496666666667</v>
      </c>
      <c r="DE2">
        <v>-0.4019668666666667</v>
      </c>
      <c r="DF2">
        <v>-1.1141089999999998</v>
      </c>
      <c r="DG2">
        <v>-0.38847476666666664</v>
      </c>
      <c r="DH2">
        <v>-1.1048579999999999</v>
      </c>
      <c r="DI2">
        <v>-0.39007329999999996</v>
      </c>
      <c r="DJ2">
        <v>-1.0570720000000002</v>
      </c>
      <c r="DK2">
        <v>-0.36277443333333331</v>
      </c>
      <c r="DL2">
        <v>-1.0911009</v>
      </c>
      <c r="DM2">
        <v>-0.37249076666666664</v>
      </c>
      <c r="DN2">
        <v>-1.1044036666666666</v>
      </c>
      <c r="DO2">
        <v>-0.38786389999999998</v>
      </c>
      <c r="DP2">
        <v>-1.0835938333333335</v>
      </c>
      <c r="DQ2">
        <v>-0.36643886666666664</v>
      </c>
      <c r="DR2">
        <v>-1.1352826666666664</v>
      </c>
      <c r="DS2">
        <v>-0.40027290000000004</v>
      </c>
      <c r="DT2">
        <v>-1.0690276666666669</v>
      </c>
      <c r="DU2">
        <v>-0.36898303333333332</v>
      </c>
      <c r="DV2">
        <v>-1.102889</v>
      </c>
      <c r="DW2">
        <v>-0.37456543333333331</v>
      </c>
      <c r="DX2">
        <v>-1.1245239999999999</v>
      </c>
      <c r="DY2">
        <v>-0.3916877666666666</v>
      </c>
      <c r="DZ2">
        <v>-1.0968299333333331</v>
      </c>
      <c r="EA2">
        <v>-0.36604840000000005</v>
      </c>
      <c r="EB2">
        <v>-1.1533773333333335</v>
      </c>
      <c r="EC2">
        <v>-0.4133558</v>
      </c>
      <c r="ED2">
        <v>-1.0929086666666668</v>
      </c>
      <c r="EE2">
        <v>-0.37444263333333333</v>
      </c>
      <c r="EF2">
        <v>-1.1200696666666667</v>
      </c>
      <c r="EG2">
        <v>-0.38349646666666665</v>
      </c>
      <c r="EH2">
        <v>-1.1509076666666664</v>
      </c>
      <c r="EI2">
        <v>-0.4058664666666667</v>
      </c>
      <c r="EJ2">
        <v>-1.1175476666666666</v>
      </c>
      <c r="EK2">
        <v>-0.37375206666666666</v>
      </c>
      <c r="EL2">
        <v>-1.1444120333333332</v>
      </c>
      <c r="EM2">
        <v>-1.1444120333333332</v>
      </c>
      <c r="EN2">
        <v>-1.1191796666666665</v>
      </c>
      <c r="EO2">
        <v>-1.1191796666666665</v>
      </c>
      <c r="EP2">
        <v>-1.1400970000000001</v>
      </c>
      <c r="EQ2">
        <v>-1.1400970000000001</v>
      </c>
      <c r="ER2">
        <v>-1.1618133666666668</v>
      </c>
      <c r="ES2">
        <v>-1.1618133666666668</v>
      </c>
      <c r="ET2">
        <v>-1.1414136666666668</v>
      </c>
      <c r="EU2">
        <v>-1.1414136666666668</v>
      </c>
      <c r="EV2">
        <v>-1.1797906666666667</v>
      </c>
      <c r="EW2">
        <v>-0.44831943333333335</v>
      </c>
      <c r="EX2">
        <v>-1.1381380000000001</v>
      </c>
      <c r="EY2">
        <v>-0.39892383333333337</v>
      </c>
      <c r="EZ2">
        <v>-1.1614843333333333</v>
      </c>
      <c r="FA2">
        <v>-0.42010576666666666</v>
      </c>
      <c r="FB2">
        <v>-1.1760316666666666</v>
      </c>
      <c r="FC2">
        <v>-0.43139349999999987</v>
      </c>
      <c r="FD2">
        <v>-1.1714870000000002</v>
      </c>
      <c r="FE2">
        <v>-0.4137576</v>
      </c>
      <c r="FF2">
        <v>-1.1890619333333334</v>
      </c>
      <c r="FG2">
        <v>-0.43115196666666666</v>
      </c>
      <c r="FH2">
        <v>-1.1558440000000001</v>
      </c>
      <c r="FI2">
        <v>-0.41546523333333341</v>
      </c>
      <c r="FJ2">
        <v>-1.1733666666666669</v>
      </c>
      <c r="FK2">
        <v>-0.43204256666666668</v>
      </c>
      <c r="FL2">
        <v>-1.1871310000000002</v>
      </c>
      <c r="FM2">
        <v>-0.43235116666666668</v>
      </c>
      <c r="FN2">
        <v>-1.1987876666666666</v>
      </c>
      <c r="FO2">
        <v>-0.43833473333333328</v>
      </c>
      <c r="FP2">
        <v>-1.1671111333333333</v>
      </c>
      <c r="FQ2">
        <v>-0.40538456666666667</v>
      </c>
      <c r="FR2">
        <v>-1.14985</v>
      </c>
      <c r="FS2">
        <v>-0.41625556666666663</v>
      </c>
      <c r="FT2">
        <v>-1.165098</v>
      </c>
      <c r="FU2">
        <v>-0.42087236666666661</v>
      </c>
      <c r="FV2">
        <v>-1.1876653333333334</v>
      </c>
      <c r="FW2">
        <v>-0.42196613333333327</v>
      </c>
      <c r="FX2">
        <v>-1.1913320000000001</v>
      </c>
      <c r="FY2">
        <v>-0.43779749999999995</v>
      </c>
      <c r="FZ2">
        <v>-1.1677646666666666</v>
      </c>
      <c r="GA2">
        <v>-0.36646983333333338</v>
      </c>
      <c r="GB2">
        <v>-1.1275816666666667</v>
      </c>
      <c r="GC2">
        <v>-0.38500043333333334</v>
      </c>
      <c r="GD2">
        <v>-1.1411020000000001</v>
      </c>
      <c r="GE2">
        <v>-0.3906974666666666</v>
      </c>
      <c r="GF2">
        <v>-1.17001</v>
      </c>
      <c r="GG2">
        <v>-0.3923454666666667</v>
      </c>
      <c r="GH2">
        <v>-1.1422627333333333</v>
      </c>
      <c r="GI2">
        <v>-0.39483926666666669</v>
      </c>
      <c r="GJ2">
        <v>-1.1780456666666665</v>
      </c>
      <c r="GK2">
        <v>-0.33315523333333336</v>
      </c>
      <c r="GL2">
        <v>-1.1438176666666666</v>
      </c>
      <c r="GM2">
        <v>-0.34920906666666662</v>
      </c>
      <c r="GN2">
        <v>-1.1592976666666668</v>
      </c>
      <c r="GO2">
        <v>-0.34744446666666667</v>
      </c>
      <c r="GP2">
        <v>-1.1680923333333333</v>
      </c>
      <c r="GQ2">
        <v>-0.35545946666666667</v>
      </c>
      <c r="GR2">
        <v>-1.1865644666666666</v>
      </c>
      <c r="GS2">
        <v>-0.33521299999999998</v>
      </c>
      <c r="GT2">
        <v>-1.4689330000000003</v>
      </c>
      <c r="GU2">
        <v>-0.29083209999999998</v>
      </c>
      <c r="GV2">
        <v>-1.4788656666666664</v>
      </c>
      <c r="GW2">
        <v>-0.30154473333333331</v>
      </c>
      <c r="GX2">
        <v>-1.4826239999999999</v>
      </c>
      <c r="GY2">
        <v>-0.29159963333333339</v>
      </c>
      <c r="GZ2">
        <v>-1.4720230000000001</v>
      </c>
      <c r="HA2">
        <v>-0.31009609999999999</v>
      </c>
      <c r="HB2">
        <v>-1.5139486666666666</v>
      </c>
      <c r="HC2">
        <v>-0.28891553333333331</v>
      </c>
      <c r="HD2">
        <v>-1.7386953333333335</v>
      </c>
      <c r="HE2">
        <v>-0.28754960000000002</v>
      </c>
      <c r="HF2">
        <v>-1.7403913333333332</v>
      </c>
      <c r="HG2">
        <v>-0.29157173333333331</v>
      </c>
      <c r="HH2">
        <v>-1.7360020000000003</v>
      </c>
      <c r="HI2">
        <v>-0.29565176666666665</v>
      </c>
      <c r="HJ2">
        <v>-1.7385639999999998</v>
      </c>
      <c r="HK2">
        <v>-0.31620940000000008</v>
      </c>
      <c r="HL2">
        <v>-1.6973676666666662</v>
      </c>
      <c r="HM2">
        <v>-0.28799293333333331</v>
      </c>
      <c r="HN2">
        <v>-1.610411333333333</v>
      </c>
      <c r="HO2">
        <v>-0.2850960666666667</v>
      </c>
      <c r="HP2">
        <v>-1.6417873333333333</v>
      </c>
      <c r="HQ2">
        <v>-0.29332740000000002</v>
      </c>
      <c r="HR2">
        <v>-1.6214676666666665</v>
      </c>
      <c r="HS2">
        <v>-0.29734113333333334</v>
      </c>
      <c r="HT2">
        <v>-1.6238060000000001</v>
      </c>
      <c r="HU2">
        <v>-0.31240119999999999</v>
      </c>
      <c r="HV2">
        <v>-1.5748286666666667</v>
      </c>
      <c r="HW2">
        <v>-0.28996546666666667</v>
      </c>
      <c r="HX2">
        <v>-1.3597996666666667</v>
      </c>
      <c r="HY2">
        <v>-0.28712719999999997</v>
      </c>
      <c r="HZ2">
        <v>-1.4253979999999999</v>
      </c>
      <c r="IA2">
        <v>-0.29687609999999998</v>
      </c>
      <c r="IB2">
        <v>-1.420909</v>
      </c>
      <c r="IC2">
        <v>-0.29832413333333335</v>
      </c>
      <c r="ID2">
        <v>-1.3853529999999998</v>
      </c>
      <c r="IE2">
        <v>-0.30477723333333329</v>
      </c>
      <c r="IF2">
        <v>-1.3532540000000002</v>
      </c>
      <c r="IG2">
        <v>-0.29012589999999999</v>
      </c>
    </row>
    <row r="3" spans="1:242" x14ac:dyDescent="0.2">
      <c r="A3" t="s">
        <v>1988</v>
      </c>
    </row>
    <row r="24" spans="1:1" x14ac:dyDescent="0.2">
      <c r="A24" s="5"/>
    </row>
    <row r="25" spans="1:1" x14ac:dyDescent="0.2">
      <c r="A25" s="5"/>
    </row>
    <row r="26" spans="1:1" x14ac:dyDescent="0.2">
      <c r="A26" s="5"/>
    </row>
  </sheetData>
  <conditionalFormatting sqref="A2:IH1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>
    <tabColor theme="8" tint="0.39997558519241921"/>
  </sheetPr>
  <dimension ref="A1:AZ6"/>
  <sheetViews>
    <sheetView workbookViewId="0">
      <selection activeCell="A11" sqref="A11:XFD11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-1.2510553333333334</v>
      </c>
      <c r="F2">
        <v>-0.30765349999999997</v>
      </c>
      <c r="G2">
        <v>-1.1824016666666666</v>
      </c>
      <c r="H2">
        <v>-0.30035080000000003</v>
      </c>
      <c r="I2">
        <v>-1.1479286666666666</v>
      </c>
      <c r="J2">
        <v>-0.29362703333333334</v>
      </c>
      <c r="K2">
        <v>-1.1241379999999999</v>
      </c>
      <c r="L2">
        <v>-0.28656653333333332</v>
      </c>
      <c r="M2">
        <v>-1.1175159999999997</v>
      </c>
      <c r="N2">
        <v>-0.2877667333333333</v>
      </c>
      <c r="O2">
        <v>-1.1158046666666666</v>
      </c>
      <c r="P2">
        <v>-0.28379193333333336</v>
      </c>
      <c r="Q2">
        <v>-1.1456806666666666</v>
      </c>
      <c r="R2">
        <v>-0.27699983333333333</v>
      </c>
      <c r="S2">
        <v>-1.1509240000000003</v>
      </c>
      <c r="T2">
        <v>-0.31350366666666662</v>
      </c>
      <c r="U2">
        <v>-1.1622903333333334</v>
      </c>
      <c r="V2">
        <v>-0.44265826666666674</v>
      </c>
      <c r="W2">
        <v>-1.1417383333333333</v>
      </c>
      <c r="X2">
        <v>-0.43346943333333332</v>
      </c>
      <c r="Y2">
        <v>-1.1067416666666667</v>
      </c>
      <c r="Z2">
        <v>-0.39774443333333337</v>
      </c>
      <c r="AA2">
        <v>-1.1048579999999999</v>
      </c>
      <c r="AB2">
        <v>-0.39007329999999996</v>
      </c>
      <c r="AC2">
        <v>-1.1352826666666664</v>
      </c>
      <c r="AD2">
        <v>-0.40027290000000004</v>
      </c>
      <c r="AE2">
        <v>-1.1533773333333335</v>
      </c>
      <c r="AF2">
        <v>-0.4133558</v>
      </c>
      <c r="AG2">
        <v>-1.1444120333333332</v>
      </c>
      <c r="AH2">
        <v>-0.41941646666666665</v>
      </c>
      <c r="AI2">
        <v>-1.1797906666666667</v>
      </c>
      <c r="AJ2">
        <v>-0.44831943333333335</v>
      </c>
      <c r="AK2">
        <v>-1.1890619333333334</v>
      </c>
      <c r="AL2">
        <v>-0.43115196666666666</v>
      </c>
      <c r="AM2">
        <v>-1.1671111333333333</v>
      </c>
      <c r="AN2">
        <v>-0.40538456666666667</v>
      </c>
      <c r="AO2">
        <v>-1.1677646666666666</v>
      </c>
      <c r="AP2">
        <v>-0.36646983333333338</v>
      </c>
      <c r="AQ2">
        <v>-1.1780456666666665</v>
      </c>
      <c r="AR2">
        <v>-0.33315523333333336</v>
      </c>
      <c r="AS2">
        <v>-1.4689330000000003</v>
      </c>
      <c r="AT2">
        <v>-0.29083209999999998</v>
      </c>
      <c r="AU2">
        <v>-1.7386953333333335</v>
      </c>
      <c r="AV2">
        <v>-0.28754960000000002</v>
      </c>
      <c r="AW2">
        <v>-1.610411333333333</v>
      </c>
      <c r="AX2">
        <v>-0.2850960666666667</v>
      </c>
      <c r="AY2">
        <v>-1.3597996666666667</v>
      </c>
      <c r="AZ2">
        <v>-0.28712719999999997</v>
      </c>
    </row>
    <row r="3" spans="1:52" x14ac:dyDescent="0.2">
      <c r="A3" t="s">
        <v>1987</v>
      </c>
      <c r="B3" t="s">
        <v>1484</v>
      </c>
      <c r="C3">
        <v>2</v>
      </c>
      <c r="E3">
        <v>-1.2228746666666666</v>
      </c>
      <c r="F3">
        <v>-0.28291743333333336</v>
      </c>
      <c r="G3">
        <v>-1.1499890000000001</v>
      </c>
      <c r="H3">
        <v>-0.27521919999999994</v>
      </c>
      <c r="I3">
        <v>-1.1191505000000002</v>
      </c>
      <c r="J3">
        <v>-0.27400450000000004</v>
      </c>
      <c r="K3">
        <v>-1.0992409000000003</v>
      </c>
      <c r="L3">
        <v>-0.27465086666666666</v>
      </c>
      <c r="M3">
        <v>-1.0870652333333333</v>
      </c>
      <c r="N3">
        <v>-0.27209876666666666</v>
      </c>
      <c r="O3">
        <v>-1.0753122666666666</v>
      </c>
      <c r="P3">
        <v>-0.25863240000000004</v>
      </c>
      <c r="Q3">
        <v>-1.0888126333333334</v>
      </c>
      <c r="R3">
        <v>-0.25650279999999998</v>
      </c>
      <c r="S3">
        <v>-1.0765728999999999</v>
      </c>
      <c r="T3">
        <v>-0.27790996666666673</v>
      </c>
      <c r="U3">
        <v>-1.1019051</v>
      </c>
      <c r="V3">
        <v>-0.40416290000000005</v>
      </c>
      <c r="W3">
        <v>-1.1035513333333333</v>
      </c>
      <c r="X3">
        <v>-0.42031116666666657</v>
      </c>
      <c r="Y3">
        <v>-1.0644803333333335</v>
      </c>
      <c r="Z3">
        <v>-0.36986369999999996</v>
      </c>
      <c r="AA3">
        <v>-1.0570720000000002</v>
      </c>
      <c r="AB3">
        <v>-0.36277443333333331</v>
      </c>
      <c r="AC3">
        <v>-1.0690276666666669</v>
      </c>
      <c r="AD3">
        <v>-0.36898303333333332</v>
      </c>
      <c r="AE3">
        <v>-1.0929086666666668</v>
      </c>
      <c r="AF3">
        <v>-0.37444263333333333</v>
      </c>
      <c r="AG3">
        <v>-1.1191796666666665</v>
      </c>
      <c r="AH3">
        <v>-0.38864216666666668</v>
      </c>
      <c r="AI3">
        <v>-1.1381380000000001</v>
      </c>
      <c r="AJ3">
        <v>-0.39892383333333337</v>
      </c>
      <c r="AK3">
        <v>-1.1558440000000001</v>
      </c>
      <c r="AL3">
        <v>-0.41546523333333341</v>
      </c>
      <c r="AM3">
        <v>-1.14985</v>
      </c>
      <c r="AN3">
        <v>-0.41625556666666663</v>
      </c>
      <c r="AO3">
        <v>-1.1275816666666667</v>
      </c>
      <c r="AP3">
        <v>-0.38500043333333334</v>
      </c>
      <c r="AQ3">
        <v>-1.1438176666666666</v>
      </c>
      <c r="AR3">
        <v>-0.34920906666666662</v>
      </c>
      <c r="AS3">
        <v>-1.4788656666666664</v>
      </c>
      <c r="AT3">
        <v>-0.30154473333333331</v>
      </c>
      <c r="AU3">
        <v>-1.7403913333333332</v>
      </c>
      <c r="AV3">
        <v>-0.29157173333333331</v>
      </c>
      <c r="AW3">
        <v>-1.6417873333333333</v>
      </c>
      <c r="AX3">
        <v>-0.29332740000000002</v>
      </c>
      <c r="AY3">
        <v>-1.4253979999999999</v>
      </c>
      <c r="AZ3">
        <v>-0.29687609999999998</v>
      </c>
    </row>
    <row r="4" spans="1:52" x14ac:dyDescent="0.2">
      <c r="A4" t="s">
        <v>1987</v>
      </c>
      <c r="B4" t="s">
        <v>1484</v>
      </c>
      <c r="C4">
        <v>3</v>
      </c>
      <c r="E4">
        <v>-1.2767036666666667</v>
      </c>
      <c r="F4">
        <v>-0.30184643333333333</v>
      </c>
      <c r="G4">
        <v>-1.2055310000000001</v>
      </c>
      <c r="H4">
        <v>-0.2941611666666667</v>
      </c>
      <c r="I4">
        <v>-1.175786</v>
      </c>
      <c r="J4">
        <v>-0.29393386666666671</v>
      </c>
      <c r="K4">
        <v>-1.1548060000000002</v>
      </c>
      <c r="L4">
        <v>-0.29137810000000003</v>
      </c>
      <c r="M4">
        <v>-1.1422273333333333</v>
      </c>
      <c r="N4">
        <v>-0.28723203333333336</v>
      </c>
      <c r="O4">
        <v>-1.1375246666666665</v>
      </c>
      <c r="P4">
        <v>-0.27802613333333331</v>
      </c>
      <c r="Q4">
        <v>-1.1703299999999999</v>
      </c>
      <c r="R4">
        <v>-0.27397126666666666</v>
      </c>
      <c r="S4">
        <v>-1.1719176666666666</v>
      </c>
      <c r="T4">
        <v>-0.31570120000000002</v>
      </c>
      <c r="U4">
        <v>-1.191392</v>
      </c>
      <c r="V4">
        <v>-0.45445570000000002</v>
      </c>
      <c r="W4">
        <v>-1.1564720000000002</v>
      </c>
      <c r="X4">
        <v>-0.44016536666666661</v>
      </c>
      <c r="Y4">
        <v>-1.1058643333333333</v>
      </c>
      <c r="Z4">
        <v>-0.38970559999999999</v>
      </c>
      <c r="AA4">
        <v>-1.0911009</v>
      </c>
      <c r="AB4">
        <v>-0.37249076666666664</v>
      </c>
      <c r="AC4">
        <v>-1.102889</v>
      </c>
      <c r="AD4">
        <v>-0.37456543333333331</v>
      </c>
      <c r="AE4">
        <v>-1.1200696666666667</v>
      </c>
      <c r="AF4">
        <v>-0.38349646666666665</v>
      </c>
      <c r="AG4">
        <v>-1.1400970000000001</v>
      </c>
      <c r="AH4">
        <v>-0.39952863333333333</v>
      </c>
      <c r="AI4">
        <v>-1.1614843333333333</v>
      </c>
      <c r="AJ4">
        <v>-0.42010576666666666</v>
      </c>
      <c r="AK4">
        <v>-1.1733666666666669</v>
      </c>
      <c r="AL4">
        <v>-0.43204256666666668</v>
      </c>
      <c r="AM4">
        <v>-1.165098</v>
      </c>
      <c r="AN4">
        <v>-0.42087236666666661</v>
      </c>
      <c r="AO4">
        <v>-1.1411020000000001</v>
      </c>
      <c r="AP4">
        <v>-0.3906974666666666</v>
      </c>
      <c r="AQ4">
        <v>-1.1592976666666668</v>
      </c>
      <c r="AR4">
        <v>-0.34744446666666667</v>
      </c>
      <c r="AS4">
        <v>-1.4826239999999999</v>
      </c>
      <c r="AT4">
        <v>-0.29159963333333339</v>
      </c>
      <c r="AU4">
        <v>-1.7360020000000003</v>
      </c>
      <c r="AV4">
        <v>-0.29565176666666665</v>
      </c>
      <c r="AW4">
        <v>-1.6214676666666665</v>
      </c>
      <c r="AX4">
        <v>-0.29734113333333334</v>
      </c>
      <c r="AY4">
        <v>-1.420909</v>
      </c>
      <c r="AZ4">
        <v>-0.29832413333333335</v>
      </c>
    </row>
    <row r="5" spans="1:52" x14ac:dyDescent="0.2">
      <c r="A5" t="s">
        <v>1987</v>
      </c>
      <c r="B5" t="s">
        <v>1484</v>
      </c>
      <c r="C5">
        <v>4</v>
      </c>
      <c r="E5">
        <v>-1.2520606666666665</v>
      </c>
      <c r="F5">
        <v>-0.28711343333333339</v>
      </c>
      <c r="G5">
        <v>-1.1830950000000002</v>
      </c>
      <c r="H5">
        <v>-0.28342256666666665</v>
      </c>
      <c r="I5">
        <v>-1.1470123333333333</v>
      </c>
      <c r="J5">
        <v>-0.27543563333333332</v>
      </c>
      <c r="K5">
        <v>-1.1252526666666667</v>
      </c>
      <c r="L5">
        <v>-0.27106419999999998</v>
      </c>
      <c r="M5">
        <v>-1.1135663333333334</v>
      </c>
      <c r="N5">
        <v>-0.26900116666666662</v>
      </c>
      <c r="O5">
        <v>-1.1135293333333336</v>
      </c>
      <c r="P5">
        <v>-0.26615426666666664</v>
      </c>
      <c r="Q5">
        <v>-1.1442143333333332</v>
      </c>
      <c r="R5">
        <v>-0.26075743333333334</v>
      </c>
      <c r="S5">
        <v>-1.155589</v>
      </c>
      <c r="T5">
        <v>-0.30202010000000001</v>
      </c>
      <c r="U5">
        <v>-1.1751483333333332</v>
      </c>
      <c r="V5">
        <v>-0.44881373333333335</v>
      </c>
      <c r="W5">
        <v>-1.1527523333333332</v>
      </c>
      <c r="X5">
        <v>-0.44647580000000009</v>
      </c>
      <c r="Y5">
        <v>-1.1148496666666667</v>
      </c>
      <c r="Z5">
        <v>-0.4019668666666667</v>
      </c>
      <c r="AA5">
        <v>-1.1044036666666666</v>
      </c>
      <c r="AB5">
        <v>-0.38786389999999998</v>
      </c>
      <c r="AC5">
        <v>-1.1245239999999999</v>
      </c>
      <c r="AD5">
        <v>-0.3916877666666666</v>
      </c>
      <c r="AE5">
        <v>-1.1509076666666664</v>
      </c>
      <c r="AF5">
        <v>-0.4058664666666667</v>
      </c>
      <c r="AG5">
        <v>-1.1618133666666668</v>
      </c>
      <c r="AH5">
        <v>-0.41705789999999998</v>
      </c>
      <c r="AI5">
        <v>-1.1760316666666666</v>
      </c>
      <c r="AJ5">
        <v>-0.43139349999999987</v>
      </c>
      <c r="AK5">
        <v>-1.1871310000000002</v>
      </c>
      <c r="AL5">
        <v>-0.43235116666666668</v>
      </c>
      <c r="AM5">
        <v>-1.1876653333333334</v>
      </c>
      <c r="AN5">
        <v>-0.42196613333333327</v>
      </c>
      <c r="AO5">
        <v>-1.17001</v>
      </c>
      <c r="AP5">
        <v>-0.3923454666666667</v>
      </c>
      <c r="AQ5">
        <v>-1.1680923333333333</v>
      </c>
      <c r="AR5">
        <v>-0.35545946666666667</v>
      </c>
      <c r="AS5">
        <v>-1.4720230000000001</v>
      </c>
      <c r="AT5">
        <v>-0.31009609999999999</v>
      </c>
      <c r="AU5">
        <v>-1.7385639999999998</v>
      </c>
      <c r="AV5">
        <v>-0.31620940000000008</v>
      </c>
      <c r="AW5">
        <v>-1.6238060000000001</v>
      </c>
      <c r="AX5">
        <v>-0.31240119999999999</v>
      </c>
      <c r="AY5">
        <v>-1.3853529999999998</v>
      </c>
      <c r="AZ5">
        <v>-0.30477723333333329</v>
      </c>
    </row>
    <row r="6" spans="1:52" x14ac:dyDescent="0.2">
      <c r="A6" t="s">
        <v>1987</v>
      </c>
      <c r="B6" t="s">
        <v>1484</v>
      </c>
      <c r="C6">
        <v>5</v>
      </c>
      <c r="E6">
        <v>-1.2572643333333333</v>
      </c>
      <c r="F6">
        <v>-0.30232826666666668</v>
      </c>
      <c r="G6">
        <v>-1.1811023333333333</v>
      </c>
      <c r="H6">
        <v>-0.28170953333333332</v>
      </c>
      <c r="I6">
        <v>-1.1492349999999998</v>
      </c>
      <c r="J6">
        <v>-0.27876970000000001</v>
      </c>
      <c r="K6">
        <v>-1.128695</v>
      </c>
      <c r="L6">
        <v>-0.27327133333333337</v>
      </c>
      <c r="M6">
        <v>-1.1181686666666666</v>
      </c>
      <c r="N6">
        <v>-0.26929996666666661</v>
      </c>
      <c r="O6">
        <v>-1.1165676666666668</v>
      </c>
      <c r="P6">
        <v>-0.26643863333333334</v>
      </c>
      <c r="Q6">
        <v>-1.1450746666666667</v>
      </c>
      <c r="R6">
        <v>-0.26098689999999997</v>
      </c>
      <c r="S6">
        <v>-1.1630386666666666</v>
      </c>
      <c r="T6">
        <v>-0.29671166666666665</v>
      </c>
      <c r="U6">
        <v>-1.1928226666666668</v>
      </c>
      <c r="V6">
        <v>-0.43386376666666659</v>
      </c>
      <c r="W6">
        <v>-1.1704493333333332</v>
      </c>
      <c r="X6">
        <v>-0.43640929999999994</v>
      </c>
      <c r="Y6">
        <v>-1.1141089999999998</v>
      </c>
      <c r="Z6">
        <v>-0.38847476666666664</v>
      </c>
      <c r="AA6">
        <v>-1.0835938333333335</v>
      </c>
      <c r="AB6">
        <v>-0.36643886666666664</v>
      </c>
      <c r="AC6">
        <v>-1.0968299333333331</v>
      </c>
      <c r="AD6">
        <v>-0.36604840000000005</v>
      </c>
      <c r="AE6">
        <v>-1.1175476666666666</v>
      </c>
      <c r="AF6">
        <v>-0.37375206666666666</v>
      </c>
      <c r="AG6">
        <v>-1.1414136666666668</v>
      </c>
      <c r="AH6">
        <v>-0.38558313333333338</v>
      </c>
      <c r="AI6">
        <v>-1.1714870000000002</v>
      </c>
      <c r="AJ6">
        <v>-0.4137576</v>
      </c>
      <c r="AK6">
        <v>-1.1987876666666666</v>
      </c>
      <c r="AL6">
        <v>-0.43833473333333328</v>
      </c>
      <c r="AM6">
        <v>-1.1913320000000001</v>
      </c>
      <c r="AN6">
        <v>-0.43779749999999995</v>
      </c>
      <c r="AO6">
        <v>-1.1422627333333333</v>
      </c>
      <c r="AP6">
        <v>-0.39483926666666669</v>
      </c>
      <c r="AQ6">
        <v>-1.1865644666666666</v>
      </c>
      <c r="AR6">
        <v>-0.33521299999999998</v>
      </c>
      <c r="AS6">
        <v>-1.5139486666666666</v>
      </c>
      <c r="AT6">
        <v>-0.28891553333333331</v>
      </c>
      <c r="AU6">
        <v>-1.6973676666666662</v>
      </c>
      <c r="AV6">
        <v>-0.28799293333333331</v>
      </c>
      <c r="AW6">
        <v>-1.5748286666666667</v>
      </c>
      <c r="AX6">
        <v>-0.28996546666666667</v>
      </c>
      <c r="AY6">
        <v>-1.3532540000000002</v>
      </c>
      <c r="AZ6">
        <v>-0.29012589999999999</v>
      </c>
    </row>
  </sheetData>
  <conditionalFormatting sqref="E2:AZ6 E7:E9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3" enableFormatConditionsCalculation="0">
    <tabColor theme="8" tint="0.39997558519241921"/>
  </sheetPr>
  <dimension ref="A1"/>
  <sheetViews>
    <sheetView workbookViewId="0">
      <selection activeCell="F9" sqref="F9"/>
    </sheetView>
  </sheetViews>
  <sheetFormatPr baseColWidth="10" defaultRowHeight="15" x14ac:dyDescent="0.2"/>
  <sheetData>
    <row r="1" spans="1:1" s="60" customFormat="1" x14ac:dyDescent="0.2">
      <c r="A1" s="60" t="s">
        <v>1981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8" tint="0.39997558519241921"/>
  </sheetPr>
  <dimension ref="A1:BE49"/>
  <sheetViews>
    <sheetView zoomScale="63" workbookViewId="0">
      <selection activeCell="C29" sqref="C29"/>
    </sheetView>
  </sheetViews>
  <sheetFormatPr baseColWidth="10" defaultColWidth="11.5" defaultRowHeight="15" x14ac:dyDescent="0.2"/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x14ac:dyDescent="0.2">
      <c r="A2" t="s">
        <v>1987</v>
      </c>
      <c r="B2" t="s">
        <v>1484</v>
      </c>
      <c r="C2">
        <v>1</v>
      </c>
      <c r="D2" s="5">
        <v>42207</v>
      </c>
      <c r="E2">
        <v>-1.1604583333333331</v>
      </c>
      <c r="F2">
        <v>-0.25976866666666665</v>
      </c>
      <c r="G2">
        <v>-1.0934616666666666</v>
      </c>
      <c r="H2">
        <v>-0.25731633333333337</v>
      </c>
      <c r="I2">
        <v>-1.0698566666666667</v>
      </c>
      <c r="J2">
        <v>-0.26233383333333338</v>
      </c>
      <c r="K2">
        <v>-1.0486933333333335</v>
      </c>
      <c r="L2">
        <v>-0.25987666666666664</v>
      </c>
      <c r="M2">
        <v>-1.0420233333333333</v>
      </c>
      <c r="N2">
        <v>-0.25988283333333329</v>
      </c>
      <c r="O2">
        <v>-1.0386516666666668</v>
      </c>
      <c r="P2">
        <v>-0.25023533333333331</v>
      </c>
      <c r="Q2">
        <v>-1.0798349999999999</v>
      </c>
      <c r="R2">
        <v>-0.23882200000000001</v>
      </c>
      <c r="S2">
        <v>-1.0967799999999999</v>
      </c>
      <c r="T2">
        <v>-0.29947116666666662</v>
      </c>
      <c r="U2">
        <v>-1.1082750000000001</v>
      </c>
      <c r="V2">
        <v>-0.40970049999999997</v>
      </c>
      <c r="W2">
        <v>-1.0766183333333332</v>
      </c>
      <c r="X2">
        <v>-0.38405366666666668</v>
      </c>
      <c r="Y2">
        <v>-1.0474766666666666</v>
      </c>
      <c r="Z2">
        <v>-0.35916749999999997</v>
      </c>
      <c r="AA2">
        <v>-1.0430183333333332</v>
      </c>
      <c r="AB2">
        <v>-0.35123316666666665</v>
      </c>
      <c r="AC2">
        <v>-1.0603733333333332</v>
      </c>
      <c r="AD2">
        <v>-0.36188049999999999</v>
      </c>
      <c r="AE2">
        <v>-1.0772833333333334</v>
      </c>
      <c r="AF2">
        <v>-0.36617783333333337</v>
      </c>
      <c r="AG2">
        <v>-0.94241516666666669</v>
      </c>
      <c r="AH2">
        <v>-0.32242616666666662</v>
      </c>
      <c r="AI2">
        <v>-1.06898</v>
      </c>
      <c r="AJ2">
        <v>-0.38450283333333329</v>
      </c>
      <c r="AK2">
        <v>-1.1005596666666668</v>
      </c>
      <c r="AL2">
        <v>-0.39268950000000002</v>
      </c>
      <c r="AM2">
        <v>-1.1603616666666667</v>
      </c>
      <c r="AN2">
        <v>-0.41153899999999999</v>
      </c>
      <c r="AO2">
        <v>-1.1419033333333333</v>
      </c>
      <c r="AP2">
        <v>-0.39270966666666668</v>
      </c>
      <c r="AQ2">
        <v>-1.1238816666666664</v>
      </c>
      <c r="AR2">
        <v>-0.35962366666666667</v>
      </c>
      <c r="AS2">
        <v>-1.4044916666666667</v>
      </c>
      <c r="AT2">
        <v>-0.30313783333333333</v>
      </c>
      <c r="AU2">
        <v>-1.7526766666666669</v>
      </c>
      <c r="AV2">
        <v>-0.28602366666666673</v>
      </c>
      <c r="AW2">
        <v>-1.6484283333333334</v>
      </c>
      <c r="AX2">
        <v>-0.27974433333333332</v>
      </c>
      <c r="AY2">
        <v>-1.4084166666666669</v>
      </c>
      <c r="AZ2">
        <v>-0.2939026666666667</v>
      </c>
    </row>
    <row r="3" spans="1:57" x14ac:dyDescent="0.2">
      <c r="A3" t="s">
        <v>1987</v>
      </c>
      <c r="B3" t="s">
        <v>1484</v>
      </c>
      <c r="C3">
        <v>1</v>
      </c>
      <c r="D3" s="5">
        <v>42214</v>
      </c>
      <c r="E3">
        <v>-1.3082583333333333</v>
      </c>
      <c r="F3">
        <v>-0.32400400000000001</v>
      </c>
      <c r="G3">
        <v>-1.2422250000000001</v>
      </c>
      <c r="H3">
        <v>-0.32535499999999995</v>
      </c>
      <c r="I3">
        <v>-1.2076833333333334</v>
      </c>
      <c r="J3">
        <v>-0.31671199999999999</v>
      </c>
      <c r="K3">
        <v>-1.1867999999999999</v>
      </c>
      <c r="L3">
        <v>-0.31448399999999999</v>
      </c>
      <c r="M3">
        <v>-1.1765066666666664</v>
      </c>
      <c r="N3">
        <v>-0.31401366666666669</v>
      </c>
      <c r="O3">
        <v>-1.1705916666666667</v>
      </c>
      <c r="P3">
        <v>-0.30966149999999998</v>
      </c>
      <c r="Q3">
        <v>-1.1918216666666666</v>
      </c>
      <c r="R3">
        <v>-0.30592883333333332</v>
      </c>
      <c r="S3">
        <v>-1.1616750000000002</v>
      </c>
      <c r="T3">
        <v>-0.32141683333333332</v>
      </c>
      <c r="U3">
        <v>-1.1707316666666667</v>
      </c>
      <c r="V3">
        <v>-0.44248133333333334</v>
      </c>
      <c r="W3">
        <v>-1.1467566666666666</v>
      </c>
      <c r="X3">
        <v>-0.43344099999999997</v>
      </c>
      <c r="Y3">
        <v>-1.1381516666666665</v>
      </c>
      <c r="Z3">
        <v>-0.41661583333333335</v>
      </c>
      <c r="AA3">
        <v>-1.1505800000000002</v>
      </c>
      <c r="AB3">
        <v>-0.41453199999999996</v>
      </c>
      <c r="AC3">
        <v>-1.1937933333333333</v>
      </c>
      <c r="AD3">
        <v>-0.43220533333333333</v>
      </c>
      <c r="AE3">
        <v>-1.2099316666666668</v>
      </c>
      <c r="AF3">
        <v>-0.43170199999999997</v>
      </c>
      <c r="AG3">
        <v>-1.2212516666666666</v>
      </c>
      <c r="AH3">
        <v>-0.43390866666666666</v>
      </c>
      <c r="AI3">
        <v>-1.2423316666666666</v>
      </c>
      <c r="AJ3">
        <v>-0.45438966666666664</v>
      </c>
      <c r="AK3">
        <v>-1.2566600000000001</v>
      </c>
      <c r="AL3">
        <v>-0.46454666666666661</v>
      </c>
      <c r="AM3">
        <v>-1.2570483333333333</v>
      </c>
      <c r="AN3">
        <v>-0.46559449999999997</v>
      </c>
      <c r="AO3">
        <v>-1.2120933333333335</v>
      </c>
      <c r="AP3">
        <v>-0.42526333333333338</v>
      </c>
      <c r="AQ3">
        <v>-1.1702750000000002</v>
      </c>
      <c r="AR3">
        <v>-0.3982816666666667</v>
      </c>
      <c r="AS3">
        <v>-1.4525950000000001</v>
      </c>
      <c r="AT3">
        <v>-0.33386516666666666</v>
      </c>
      <c r="AU3">
        <v>-1.8074316666666665</v>
      </c>
      <c r="AV3">
        <v>-0.33869633333333332</v>
      </c>
      <c r="AW3">
        <v>-1.7066016666666664</v>
      </c>
      <c r="AX3">
        <v>-0.33496533333333334</v>
      </c>
      <c r="AY3">
        <v>-1.4892133333333333</v>
      </c>
      <c r="AZ3">
        <v>-0.34376433333333328</v>
      </c>
    </row>
    <row r="4" spans="1:57" x14ac:dyDescent="0.2">
      <c r="A4" t="s">
        <v>1987</v>
      </c>
      <c r="B4" t="s">
        <v>1484</v>
      </c>
      <c r="C4">
        <v>1</v>
      </c>
      <c r="D4" s="5">
        <v>42221</v>
      </c>
      <c r="E4">
        <v>-1.3123900000000002</v>
      </c>
      <c r="F4">
        <v>-0.333594</v>
      </c>
      <c r="G4">
        <v>-1.2352749999999999</v>
      </c>
      <c r="H4">
        <v>-0.31431850000000006</v>
      </c>
      <c r="I4">
        <v>-1.196555</v>
      </c>
      <c r="J4">
        <v>-0.30361033333333332</v>
      </c>
      <c r="K4">
        <v>-1.1657666666666666</v>
      </c>
      <c r="L4">
        <v>-0.28807250000000001</v>
      </c>
      <c r="M4">
        <v>-1.1644799999999997</v>
      </c>
      <c r="N4">
        <v>-0.29697700000000005</v>
      </c>
      <c r="O4">
        <v>-1.1629183333333333</v>
      </c>
      <c r="P4">
        <v>-0.29426200000000002</v>
      </c>
      <c r="Q4">
        <v>-1.1918166666666667</v>
      </c>
      <c r="R4">
        <v>-0.29006766666666672</v>
      </c>
      <c r="S4">
        <v>-1.1889149999999999</v>
      </c>
      <c r="T4">
        <v>-0.33245549999999996</v>
      </c>
      <c r="U4">
        <v>-1.2137416666666665</v>
      </c>
      <c r="V4">
        <v>-0.48126983333333334</v>
      </c>
      <c r="W4">
        <v>-1.1949466666666668</v>
      </c>
      <c r="X4">
        <v>-0.47002316666666666</v>
      </c>
      <c r="Y4">
        <v>-1.14486</v>
      </c>
      <c r="Z4">
        <v>-0.42022366666666672</v>
      </c>
      <c r="AA4">
        <v>-1.1414883333333332</v>
      </c>
      <c r="AB4">
        <v>-0.41324166666666673</v>
      </c>
      <c r="AC4">
        <v>-1.174115</v>
      </c>
      <c r="AD4">
        <v>-0.41635099999999992</v>
      </c>
      <c r="AE4">
        <v>-1.1971433333333334</v>
      </c>
      <c r="AF4">
        <v>-0.41922583333333335</v>
      </c>
      <c r="AG4">
        <v>-1.2217383333333334</v>
      </c>
      <c r="AH4">
        <v>-0.43758816666666667</v>
      </c>
      <c r="AI4">
        <v>-1.2075433333333332</v>
      </c>
      <c r="AJ4">
        <v>-0.46717283333333331</v>
      </c>
      <c r="AK4">
        <v>-1.1524783333333333</v>
      </c>
      <c r="AL4">
        <v>-0.46125816666666669</v>
      </c>
      <c r="AM4">
        <v>-1.1764816666666666</v>
      </c>
      <c r="AN4">
        <v>-0.41323816666666668</v>
      </c>
      <c r="AO4">
        <v>-1.1897166666666668</v>
      </c>
      <c r="AP4">
        <v>-0.37524483333333336</v>
      </c>
      <c r="AQ4">
        <v>-1.1987949999999998</v>
      </c>
      <c r="AR4">
        <v>-0.33321966666666669</v>
      </c>
      <c r="AS4">
        <v>-1.4664083333333335</v>
      </c>
      <c r="AT4">
        <v>-0.30968849999999998</v>
      </c>
      <c r="AU4">
        <v>-1.7536666666666667</v>
      </c>
      <c r="AV4">
        <v>-0.30851450000000002</v>
      </c>
      <c r="AW4">
        <v>-1.5763283333333331</v>
      </c>
      <c r="AX4">
        <v>-0.29479583333333331</v>
      </c>
      <c r="AY4">
        <v>-1.2266783333333333</v>
      </c>
      <c r="AZ4">
        <v>-0.26421583333333337</v>
      </c>
    </row>
    <row r="5" spans="1:57" x14ac:dyDescent="0.2">
      <c r="A5" t="s">
        <v>1987</v>
      </c>
      <c r="B5" t="s">
        <v>1484</v>
      </c>
      <c r="C5">
        <v>1</v>
      </c>
      <c r="D5" s="5">
        <v>42228</v>
      </c>
      <c r="E5">
        <v>-1.2046283333333332</v>
      </c>
      <c r="F5">
        <v>-0.30463799999999996</v>
      </c>
      <c r="G5">
        <v>-1.1492899999999999</v>
      </c>
      <c r="H5">
        <v>-0.30559783333333329</v>
      </c>
      <c r="I5">
        <v>-1.1137283333333334</v>
      </c>
      <c r="J5">
        <v>-0.29732233333333336</v>
      </c>
      <c r="K5">
        <v>-1.092595</v>
      </c>
      <c r="L5">
        <v>-0.29087049999999998</v>
      </c>
      <c r="M5">
        <v>-1.0858650000000001</v>
      </c>
      <c r="N5">
        <v>-0.28900733333333328</v>
      </c>
      <c r="O5">
        <v>-1.0933949999999999</v>
      </c>
      <c r="P5">
        <v>-0.28770049999999997</v>
      </c>
      <c r="Q5">
        <v>-1.1250900000000001</v>
      </c>
      <c r="R5">
        <v>-0.28140850000000001</v>
      </c>
      <c r="S5">
        <v>-1.1372550000000001</v>
      </c>
      <c r="T5">
        <v>-0.3099015</v>
      </c>
      <c r="U5">
        <v>-1.1311000000000002</v>
      </c>
      <c r="V5">
        <v>-0.436006</v>
      </c>
      <c r="W5">
        <v>-1.122506666666667</v>
      </c>
      <c r="X5">
        <v>-0.43561466666666665</v>
      </c>
      <c r="Y5">
        <v>-1.0840549999999998</v>
      </c>
      <c r="Z5">
        <v>-0.38934066666666667</v>
      </c>
      <c r="AA5">
        <v>-1.0858816666666669</v>
      </c>
      <c r="AB5">
        <v>-0.3914205</v>
      </c>
      <c r="AC5">
        <v>-1.1200466666666666</v>
      </c>
      <c r="AD5">
        <v>-0.42002916666666668</v>
      </c>
      <c r="AE5">
        <v>-1.1336883333333334</v>
      </c>
      <c r="AF5">
        <v>-0.48049249999999999</v>
      </c>
      <c r="AG5">
        <v>-1.1545516666666666</v>
      </c>
      <c r="AH5">
        <v>-0.48814666666666673</v>
      </c>
      <c r="AI5">
        <v>-1.1664116666666666</v>
      </c>
      <c r="AJ5">
        <v>-0.50013750000000001</v>
      </c>
      <c r="AK5">
        <v>-1.1978033333333336</v>
      </c>
      <c r="AL5">
        <v>-0.38092216666666656</v>
      </c>
      <c r="AM5">
        <v>-0.99835233333333329</v>
      </c>
      <c r="AN5">
        <v>-0.27606400000000003</v>
      </c>
      <c r="AO5">
        <v>-1.0731850000000001</v>
      </c>
      <c r="AP5">
        <v>-0.19230233333333333</v>
      </c>
      <c r="AQ5">
        <v>-1.2128800000000002</v>
      </c>
      <c r="AR5">
        <v>-0.17686866666666665</v>
      </c>
      <c r="AS5">
        <v>-1.47435</v>
      </c>
      <c r="AT5">
        <v>-0.17492283333333333</v>
      </c>
      <c r="AU5">
        <v>-1.5767366666666667</v>
      </c>
      <c r="AV5">
        <v>-0.18720499999999995</v>
      </c>
      <c r="AW5">
        <v>-1.4188149999999999</v>
      </c>
      <c r="AX5">
        <v>-0.19248699999999999</v>
      </c>
      <c r="AY5">
        <v>-1.2096333333333333</v>
      </c>
      <c r="AZ5">
        <v>-0.20388216666666664</v>
      </c>
    </row>
    <row r="6" spans="1:57" x14ac:dyDescent="0.2">
      <c r="A6" t="s">
        <v>1987</v>
      </c>
      <c r="B6" t="s">
        <v>1484</v>
      </c>
      <c r="C6">
        <v>1</v>
      </c>
      <c r="D6" s="5">
        <v>42235</v>
      </c>
      <c r="E6">
        <v>-1.2695416666666668</v>
      </c>
      <c r="F6">
        <v>-0.31626283333333333</v>
      </c>
      <c r="G6">
        <v>-1.1917566666666666</v>
      </c>
      <c r="H6">
        <v>-0.29916633333333337</v>
      </c>
      <c r="I6">
        <v>-1.1518199999999998</v>
      </c>
      <c r="J6">
        <v>-0.28815666666666667</v>
      </c>
      <c r="K6">
        <v>-1.126835</v>
      </c>
      <c r="L6">
        <v>-0.27952900000000003</v>
      </c>
      <c r="M6">
        <v>-1.1187049999999998</v>
      </c>
      <c r="N6">
        <v>-0.27895283333333332</v>
      </c>
      <c r="O6">
        <v>-1.1134666666666666</v>
      </c>
      <c r="P6">
        <v>-0.27710033333333339</v>
      </c>
      <c r="Q6">
        <v>-1.13984</v>
      </c>
      <c r="R6">
        <v>-0.2687721666666667</v>
      </c>
      <c r="S6">
        <v>-1.1699950000000001</v>
      </c>
      <c r="T6">
        <v>-0.30427333333333328</v>
      </c>
      <c r="U6">
        <v>-1.1876033333333336</v>
      </c>
      <c r="V6">
        <v>-0.44383366666666674</v>
      </c>
      <c r="W6">
        <v>-1.1678633333333335</v>
      </c>
      <c r="X6">
        <v>-0.44421466666666676</v>
      </c>
      <c r="Y6">
        <v>-1.1191650000000002</v>
      </c>
      <c r="Z6">
        <v>-0.40337449999999997</v>
      </c>
      <c r="AA6">
        <v>-1.1033216666666668</v>
      </c>
      <c r="AB6">
        <v>-0.37993916666666672</v>
      </c>
      <c r="AC6">
        <v>-1.128085</v>
      </c>
      <c r="AD6">
        <v>-0.37089850000000002</v>
      </c>
      <c r="AE6">
        <v>-1.1488400000000001</v>
      </c>
      <c r="AF6">
        <v>-0.36918083333333335</v>
      </c>
      <c r="AG6">
        <v>-1.1821033333333333</v>
      </c>
      <c r="AH6">
        <v>-0.4150126666666667</v>
      </c>
      <c r="AI6">
        <v>-1.2136866666666668</v>
      </c>
      <c r="AJ6">
        <v>-0.43539433333333333</v>
      </c>
      <c r="AK6">
        <v>-1.2378083333333332</v>
      </c>
      <c r="AL6">
        <v>-0.45634333333333332</v>
      </c>
      <c r="AM6">
        <v>-1.2433116666666666</v>
      </c>
      <c r="AN6">
        <v>-0.46048716666666673</v>
      </c>
      <c r="AO6">
        <v>-1.2219249999999999</v>
      </c>
      <c r="AP6">
        <v>-0.44682900000000003</v>
      </c>
      <c r="AQ6">
        <v>-1.1843966666666668</v>
      </c>
      <c r="AR6">
        <v>-0.39778250000000004</v>
      </c>
      <c r="AS6">
        <v>-1.5468199999999999</v>
      </c>
      <c r="AT6">
        <v>-0.3325461666666667</v>
      </c>
      <c r="AU6">
        <v>-1.8029650000000002</v>
      </c>
      <c r="AV6">
        <v>-0.31730850000000005</v>
      </c>
      <c r="AW6">
        <v>-1.7018833333333332</v>
      </c>
      <c r="AX6">
        <v>-0.32348783333333336</v>
      </c>
      <c r="AY6">
        <v>-1.4650566666666667</v>
      </c>
      <c r="AZ6">
        <v>-0.32987100000000003</v>
      </c>
    </row>
    <row r="7" spans="1:57" x14ac:dyDescent="0.2">
      <c r="A7" t="s">
        <v>1987</v>
      </c>
      <c r="B7" t="s">
        <v>1484</v>
      </c>
      <c r="C7">
        <v>2</v>
      </c>
      <c r="D7" s="5">
        <v>42211</v>
      </c>
      <c r="E7">
        <v>-1.201805</v>
      </c>
      <c r="F7">
        <v>-0.30225866666666668</v>
      </c>
      <c r="G7">
        <v>-1.12975</v>
      </c>
      <c r="H7">
        <v>-0.29013499999999998</v>
      </c>
      <c r="I7">
        <v>-1.0959833333333333</v>
      </c>
      <c r="J7">
        <v>-0.28254050000000003</v>
      </c>
      <c r="K7">
        <v>-1.0765233333333335</v>
      </c>
      <c r="L7">
        <v>-0.28214466666666665</v>
      </c>
      <c r="M7">
        <v>-1.0667983333333333</v>
      </c>
      <c r="N7">
        <v>-0.28203783333333332</v>
      </c>
      <c r="O7">
        <v>-1.0634383333333333</v>
      </c>
      <c r="P7">
        <v>-0.27840966666666661</v>
      </c>
      <c r="Q7">
        <v>-1.0753550000000001</v>
      </c>
      <c r="R7">
        <v>-0.27428516666666664</v>
      </c>
      <c r="S7">
        <v>-1.0401449999999997</v>
      </c>
      <c r="T7">
        <v>-0.29193216666666666</v>
      </c>
      <c r="U7">
        <v>-1.0740066666666666</v>
      </c>
      <c r="V7">
        <v>-0.42459050000000004</v>
      </c>
      <c r="W7">
        <v>-1.0775333333333335</v>
      </c>
      <c r="X7">
        <v>-0.43301450000000002</v>
      </c>
      <c r="Y7">
        <v>-1.0382916666666668</v>
      </c>
      <c r="Z7">
        <v>-0.37817033333333333</v>
      </c>
      <c r="AA7">
        <v>-1.035925</v>
      </c>
      <c r="AB7">
        <v>-0.36453549999999996</v>
      </c>
      <c r="AC7">
        <v>-1.0559783333333332</v>
      </c>
      <c r="AD7">
        <v>-0.37120649999999999</v>
      </c>
      <c r="AE7">
        <v>-1.0843383333333334</v>
      </c>
      <c r="AF7">
        <v>-0.37662383333333332</v>
      </c>
      <c r="AG7">
        <v>-1.1214033333333331</v>
      </c>
      <c r="AH7">
        <v>-0.39119766666666667</v>
      </c>
      <c r="AI7">
        <v>-1.1357316666666666</v>
      </c>
      <c r="AJ7">
        <v>-0.40020749999999999</v>
      </c>
      <c r="AK7">
        <v>-1.1571499999999999</v>
      </c>
      <c r="AL7">
        <v>-0.4200104999999999</v>
      </c>
      <c r="AM7">
        <v>-1.1746283333333334</v>
      </c>
      <c r="AN7">
        <v>-0.43325483333333326</v>
      </c>
      <c r="AO7">
        <v>-1.1492716666666667</v>
      </c>
      <c r="AP7">
        <v>-0.40230433333333332</v>
      </c>
      <c r="AQ7">
        <v>-1.1462949999999998</v>
      </c>
      <c r="AR7">
        <v>-0.36988283333333338</v>
      </c>
      <c r="AS7">
        <v>-1.4450916666666664</v>
      </c>
      <c r="AT7">
        <v>-0.32079016666666665</v>
      </c>
      <c r="AU7">
        <v>-1.7325149999999996</v>
      </c>
      <c r="AV7">
        <v>-0.33205899999999999</v>
      </c>
      <c r="AW7">
        <v>-1.6688600000000005</v>
      </c>
      <c r="AX7">
        <v>-0.32561900000000005</v>
      </c>
      <c r="AY7">
        <v>-1.4647983333333334</v>
      </c>
      <c r="AZ7">
        <v>-0.3127341666666667</v>
      </c>
    </row>
    <row r="8" spans="1:57" x14ac:dyDescent="0.2">
      <c r="A8" t="s">
        <v>1987</v>
      </c>
      <c r="B8" t="s">
        <v>1484</v>
      </c>
      <c r="C8">
        <v>2</v>
      </c>
      <c r="D8" s="5">
        <v>42218</v>
      </c>
      <c r="E8">
        <v>-1.2575316666666667</v>
      </c>
      <c r="F8">
        <v>-0.29519566666666669</v>
      </c>
      <c r="G8">
        <v>-1.1855633333333333</v>
      </c>
      <c r="H8">
        <v>-0.29840266666666665</v>
      </c>
      <c r="I8">
        <v>-1.1588116666666668</v>
      </c>
      <c r="J8">
        <v>-0.30249999999999999</v>
      </c>
      <c r="K8">
        <v>-1.1377050000000002</v>
      </c>
      <c r="L8">
        <v>-0.30429716666666667</v>
      </c>
      <c r="M8">
        <v>-1.1298600000000001</v>
      </c>
      <c r="N8">
        <v>-0.30436750000000001</v>
      </c>
      <c r="O8">
        <v>-1.123785</v>
      </c>
      <c r="P8">
        <v>-0.29959433333333335</v>
      </c>
      <c r="Q8">
        <v>-1.1363616666666667</v>
      </c>
      <c r="R8">
        <v>-0.29338583333333335</v>
      </c>
      <c r="S8">
        <v>-1.1103749999999999</v>
      </c>
      <c r="T8">
        <v>-0.31552133333333338</v>
      </c>
      <c r="U8">
        <v>-1.1085849999999997</v>
      </c>
      <c r="V8">
        <v>-0.43536966666666665</v>
      </c>
      <c r="W8">
        <v>-1.0997416666666666</v>
      </c>
      <c r="X8">
        <v>-0.45579783333333329</v>
      </c>
      <c r="Y8">
        <v>-1.0794000000000001</v>
      </c>
      <c r="Z8">
        <v>-0.40341883333333334</v>
      </c>
      <c r="AA8">
        <v>-1.0576283333333334</v>
      </c>
      <c r="AB8">
        <v>-0.37749599999999994</v>
      </c>
      <c r="AC8">
        <v>-1.0736616666666667</v>
      </c>
      <c r="AD8">
        <v>-0.38859433333333326</v>
      </c>
      <c r="AE8">
        <v>-1.1078383333333333</v>
      </c>
      <c r="AF8">
        <v>-0.40670216666666664</v>
      </c>
      <c r="AG8">
        <v>-1.1222583333333331</v>
      </c>
      <c r="AH8">
        <v>-0.41559783333333333</v>
      </c>
      <c r="AI8">
        <v>-1.1424033333333334</v>
      </c>
      <c r="AJ8">
        <v>-0.42406266666666664</v>
      </c>
      <c r="AK8">
        <v>-1.1669933333333333</v>
      </c>
      <c r="AL8">
        <v>-0.44370483333333338</v>
      </c>
      <c r="AM8">
        <v>-1.1599816666666665</v>
      </c>
      <c r="AN8">
        <v>-0.44454850000000007</v>
      </c>
      <c r="AO8">
        <v>-1.1360433333333333</v>
      </c>
      <c r="AP8">
        <v>-0.4191231666666666</v>
      </c>
      <c r="AQ8">
        <v>-1.1338149999999998</v>
      </c>
      <c r="AR8">
        <v>-0.38958766666666661</v>
      </c>
      <c r="AS8">
        <v>-1.4354466666666668</v>
      </c>
      <c r="AT8">
        <v>-0.34011916666666669</v>
      </c>
      <c r="AU8">
        <v>-1.7583216666666668</v>
      </c>
      <c r="AV8">
        <v>-0.315305</v>
      </c>
      <c r="AW8">
        <v>-1.656155</v>
      </c>
      <c r="AX8">
        <v>-0.31564450000000005</v>
      </c>
      <c r="AY8">
        <v>-1.4341466666666665</v>
      </c>
      <c r="AZ8">
        <v>-0.31533933333333336</v>
      </c>
    </row>
    <row r="9" spans="1:57" x14ac:dyDescent="0.2">
      <c r="A9" t="s">
        <v>1987</v>
      </c>
      <c r="B9" t="s">
        <v>1484</v>
      </c>
      <c r="C9">
        <v>2</v>
      </c>
      <c r="D9" s="5">
        <v>42225</v>
      </c>
      <c r="E9">
        <v>-1.3459100000000002</v>
      </c>
      <c r="F9">
        <v>-0.33717583333333334</v>
      </c>
      <c r="G9">
        <v>-1.2616833333333335</v>
      </c>
      <c r="H9">
        <v>-0.31895833333333329</v>
      </c>
      <c r="I9">
        <v>-1.2302633333333333</v>
      </c>
      <c r="J9">
        <v>-0.32287866666666665</v>
      </c>
      <c r="K9">
        <v>-1.2093316666666667</v>
      </c>
      <c r="L9">
        <v>-0.32053866666666664</v>
      </c>
      <c r="M9">
        <v>-1.186215</v>
      </c>
      <c r="N9">
        <v>-0.30976116666666664</v>
      </c>
      <c r="O9">
        <v>-1.1639900000000001</v>
      </c>
      <c r="P9">
        <v>-0.28505833333333336</v>
      </c>
      <c r="Q9">
        <v>-1.1873783333333336</v>
      </c>
      <c r="R9">
        <v>-0.29991649999999997</v>
      </c>
      <c r="S9">
        <v>-1.1598216666666668</v>
      </c>
      <c r="T9">
        <v>-0.32898166666666667</v>
      </c>
      <c r="U9">
        <v>-1.1622600000000001</v>
      </c>
      <c r="V9">
        <v>-0.44827183333333331</v>
      </c>
      <c r="W9">
        <v>-1.1699033333333335</v>
      </c>
      <c r="X9">
        <v>-0.45716016666666659</v>
      </c>
      <c r="Y9">
        <v>-1.1184783333333332</v>
      </c>
      <c r="Z9">
        <v>-0.39876949999999994</v>
      </c>
      <c r="AA9">
        <v>-1.11192</v>
      </c>
      <c r="AB9">
        <v>-0.38684683333333336</v>
      </c>
      <c r="AC9">
        <v>-1.1298549999999998</v>
      </c>
      <c r="AD9">
        <v>-0.40040066666666668</v>
      </c>
      <c r="AE9">
        <v>-1.1515516666666668</v>
      </c>
      <c r="AF9">
        <v>-0.40455516666666669</v>
      </c>
      <c r="AG9">
        <v>-1.1765366666666666</v>
      </c>
      <c r="AH9">
        <v>-0.41559899999999994</v>
      </c>
      <c r="AI9">
        <v>-1.1835100000000001</v>
      </c>
      <c r="AJ9">
        <v>-0.42232733333333333</v>
      </c>
      <c r="AK9">
        <v>-1.1910399999999999</v>
      </c>
      <c r="AL9">
        <v>-0.43240100000000004</v>
      </c>
      <c r="AM9">
        <v>-1.1620983333333335</v>
      </c>
      <c r="AN9">
        <v>-0.42510716666666665</v>
      </c>
      <c r="AO9">
        <v>-1.1390983333333335</v>
      </c>
      <c r="AP9">
        <v>-0.39647233333333332</v>
      </c>
      <c r="AQ9">
        <v>-1.1615016666666667</v>
      </c>
      <c r="AR9">
        <v>-0.36776249999999999</v>
      </c>
      <c r="AS9">
        <v>-1.4724466666666667</v>
      </c>
      <c r="AT9">
        <v>-0.31977650000000002</v>
      </c>
      <c r="AU9">
        <v>-1.7371516666666666</v>
      </c>
      <c r="AV9">
        <v>-0.30160616666666662</v>
      </c>
      <c r="AW9">
        <v>-1.6629283333333333</v>
      </c>
      <c r="AX9">
        <v>-0.31187766666666672</v>
      </c>
      <c r="AY9">
        <v>-1.4697149999999999</v>
      </c>
      <c r="AZ9">
        <v>-0.32291516666666664</v>
      </c>
    </row>
    <row r="10" spans="1:57" x14ac:dyDescent="0.2">
      <c r="A10" t="s">
        <v>1987</v>
      </c>
      <c r="B10" t="s">
        <v>1484</v>
      </c>
      <c r="C10">
        <v>2</v>
      </c>
      <c r="D10" s="5">
        <v>42232</v>
      </c>
      <c r="E10">
        <v>-1.2435933333333336</v>
      </c>
      <c r="F10">
        <v>-0.22456300000000001</v>
      </c>
      <c r="G10">
        <v>-1.1694316666666666</v>
      </c>
      <c r="H10">
        <v>-0.21851316666666665</v>
      </c>
      <c r="I10">
        <v>-1.1363100000000002</v>
      </c>
      <c r="J10">
        <v>-0.22016283333333331</v>
      </c>
      <c r="K10">
        <v>-1.1159933333333334</v>
      </c>
      <c r="L10">
        <v>-0.22252016666666666</v>
      </c>
      <c r="M10">
        <v>-1.1061883333333333</v>
      </c>
      <c r="N10">
        <v>-0.22139766666666666</v>
      </c>
      <c r="O10">
        <v>-1.0819383333333332</v>
      </c>
      <c r="P10">
        <v>-0.19090433333333331</v>
      </c>
      <c r="Q10">
        <v>-1.0807550000000001</v>
      </c>
      <c r="R10">
        <v>-0.17792466666666668</v>
      </c>
      <c r="S10">
        <v>-1.0890083333333334</v>
      </c>
      <c r="T10">
        <v>-0.19133333333333338</v>
      </c>
      <c r="U10">
        <v>-1.1402583333333334</v>
      </c>
      <c r="V10">
        <v>-0.31399166666666667</v>
      </c>
      <c r="W10">
        <v>-1.1449433333333334</v>
      </c>
      <c r="X10">
        <v>-0.35359233333333334</v>
      </c>
      <c r="Y10">
        <v>-1.0702500000000001</v>
      </c>
      <c r="Z10">
        <v>-0.29112283333333333</v>
      </c>
      <c r="AA10">
        <v>-1.0604083333333336</v>
      </c>
      <c r="AB10">
        <v>-0.29833166666666666</v>
      </c>
      <c r="AC10">
        <v>-1.0517783333333335</v>
      </c>
      <c r="AD10">
        <v>-0.29106416666666662</v>
      </c>
      <c r="AE10">
        <v>-1.0682466666666666</v>
      </c>
      <c r="AF10">
        <v>-0.28918983333333337</v>
      </c>
      <c r="AG10">
        <v>-1.0925700000000003</v>
      </c>
      <c r="AH10">
        <v>-0.31248333333333328</v>
      </c>
      <c r="AI10">
        <v>-1.1216499999999998</v>
      </c>
      <c r="AJ10">
        <v>-0.32838400000000001</v>
      </c>
      <c r="AK10">
        <v>-1.1407533333333333</v>
      </c>
      <c r="AL10">
        <v>-0.34547000000000005</v>
      </c>
      <c r="AM10">
        <v>-1.1315233333333332</v>
      </c>
      <c r="AN10">
        <v>-0.33877116666666673</v>
      </c>
      <c r="AO10">
        <v>-1.113135</v>
      </c>
      <c r="AP10">
        <v>-0.30261233333333332</v>
      </c>
      <c r="AQ10">
        <v>-1.1330083333333334</v>
      </c>
      <c r="AR10">
        <v>-0.27775899999999998</v>
      </c>
      <c r="AS10">
        <v>-1.4758383333333334</v>
      </c>
      <c r="AT10">
        <v>-0.22109849999999998</v>
      </c>
      <c r="AU10">
        <v>-1.7209016666666666</v>
      </c>
      <c r="AV10">
        <v>-0.20840883333333332</v>
      </c>
      <c r="AW10">
        <v>-1.5897483333333333</v>
      </c>
      <c r="AX10">
        <v>-0.20950966666666668</v>
      </c>
      <c r="AY10">
        <v>-1.3762433333333335</v>
      </c>
      <c r="AZ10">
        <v>-0.22050316666666664</v>
      </c>
    </row>
    <row r="11" spans="1:57" x14ac:dyDescent="0.2">
      <c r="A11" t="s">
        <v>1987</v>
      </c>
      <c r="B11" t="s">
        <v>1484</v>
      </c>
      <c r="C11">
        <v>2</v>
      </c>
      <c r="D11" s="5">
        <v>42239</v>
      </c>
      <c r="E11">
        <v>-1.0655333333333332</v>
      </c>
      <c r="F11">
        <v>-0.25539400000000001</v>
      </c>
      <c r="G11">
        <v>-1.0035166666666666</v>
      </c>
      <c r="H11">
        <v>-0.25008683333333331</v>
      </c>
      <c r="I11">
        <v>-0.97438416666666672</v>
      </c>
      <c r="J11">
        <v>-0.2419405</v>
      </c>
      <c r="K11">
        <v>-0.95665116666666683</v>
      </c>
      <c r="L11">
        <v>-0.2437536666666667</v>
      </c>
      <c r="M11">
        <v>-0.94626449999999984</v>
      </c>
      <c r="N11">
        <v>-0.24292966666666668</v>
      </c>
      <c r="O11">
        <v>-0.94340966666666681</v>
      </c>
      <c r="P11">
        <v>-0.23919533333333334</v>
      </c>
      <c r="Q11">
        <v>-0.96421316666666657</v>
      </c>
      <c r="R11">
        <v>-0.23700183333333336</v>
      </c>
      <c r="S11">
        <v>-0.98351449999999985</v>
      </c>
      <c r="T11">
        <v>-0.26178133333333337</v>
      </c>
      <c r="U11">
        <v>-1.0244154999999999</v>
      </c>
      <c r="V11">
        <v>-0.39859083333333334</v>
      </c>
      <c r="W11">
        <v>-1.0256350000000001</v>
      </c>
      <c r="X11">
        <v>-0.40199099999999993</v>
      </c>
      <c r="Y11">
        <v>-1.0159816666666668</v>
      </c>
      <c r="Z11">
        <v>-0.37783699999999998</v>
      </c>
      <c r="AA11">
        <v>-1.0194783333333335</v>
      </c>
      <c r="AB11">
        <v>-0.3866621666666667</v>
      </c>
      <c r="AC11">
        <v>-1.033865</v>
      </c>
      <c r="AD11">
        <v>-0.39364949999999999</v>
      </c>
      <c r="AE11">
        <v>-1.0525683333333333</v>
      </c>
      <c r="AF11">
        <v>-0.39514216666666657</v>
      </c>
      <c r="AG11">
        <v>-1.0831299999999999</v>
      </c>
      <c r="AH11">
        <v>-0.408333</v>
      </c>
      <c r="AI11">
        <v>-1.1073949999999999</v>
      </c>
      <c r="AJ11">
        <v>-0.41963766666666669</v>
      </c>
      <c r="AK11">
        <v>-1.1232833333333336</v>
      </c>
      <c r="AL11">
        <v>-0.43573983333333338</v>
      </c>
      <c r="AM11">
        <v>-1.1210183333333334</v>
      </c>
      <c r="AN11">
        <v>-0.43959616666666668</v>
      </c>
      <c r="AO11">
        <v>-1.1003600000000002</v>
      </c>
      <c r="AP11">
        <v>-0.40449000000000002</v>
      </c>
      <c r="AQ11">
        <v>-1.1444683333333332</v>
      </c>
      <c r="AR11">
        <v>-0.34105333333333326</v>
      </c>
      <c r="AS11">
        <v>-1.5655049999999999</v>
      </c>
      <c r="AT11">
        <v>-0.30593933333333329</v>
      </c>
      <c r="AU11">
        <v>-1.7530666666666666</v>
      </c>
      <c r="AV11">
        <v>-0.3004796666666667</v>
      </c>
      <c r="AW11">
        <v>-1.6312449999999998</v>
      </c>
      <c r="AX11">
        <v>-0.30398616666666661</v>
      </c>
      <c r="AY11">
        <v>-1.3820866666666669</v>
      </c>
      <c r="AZ11">
        <v>-0.31288866666666665</v>
      </c>
    </row>
    <row r="12" spans="1:57" x14ac:dyDescent="0.2">
      <c r="A12" t="s">
        <v>1987</v>
      </c>
      <c r="B12" t="s">
        <v>1484</v>
      </c>
      <c r="C12">
        <v>3</v>
      </c>
      <c r="D12" s="5">
        <v>42210</v>
      </c>
      <c r="E12">
        <v>-1.3052283333333332</v>
      </c>
      <c r="F12">
        <v>-0.30645366666666668</v>
      </c>
      <c r="G12">
        <v>-1.2404083333333333</v>
      </c>
      <c r="H12">
        <v>-0.31034149999999999</v>
      </c>
      <c r="I12">
        <v>-1.2040200000000003</v>
      </c>
      <c r="J12">
        <v>-0.30686750000000002</v>
      </c>
      <c r="K12">
        <v>-1.1816883333333332</v>
      </c>
      <c r="L12">
        <v>-0.3028561666666667</v>
      </c>
      <c r="M12">
        <v>-1.1598883333333334</v>
      </c>
      <c r="N12">
        <v>-0.28955783333333335</v>
      </c>
      <c r="O12">
        <v>-1.1502483333333333</v>
      </c>
      <c r="P12">
        <v>-0.28315099999999999</v>
      </c>
      <c r="Q12">
        <v>-1.1724466666666666</v>
      </c>
      <c r="R12">
        <v>-0.27886633333333338</v>
      </c>
      <c r="S12">
        <v>-1.160743333333333</v>
      </c>
      <c r="T12">
        <v>-0.32927716666666668</v>
      </c>
      <c r="U12">
        <v>-1.1912833333333332</v>
      </c>
      <c r="V12">
        <v>-0.47106183333333335</v>
      </c>
      <c r="W12">
        <v>-1.1608066666666665</v>
      </c>
      <c r="X12">
        <v>-0.44683383333333332</v>
      </c>
      <c r="Y12">
        <v>-1.1150850000000001</v>
      </c>
      <c r="Z12">
        <v>-0.38904</v>
      </c>
      <c r="AA12">
        <v>-1.118795</v>
      </c>
      <c r="AB12">
        <v>-0.38112416666666665</v>
      </c>
      <c r="AC12">
        <v>-1.1294</v>
      </c>
      <c r="AD12">
        <v>-0.38259616666666663</v>
      </c>
      <c r="AE12">
        <v>-1.1546766666666668</v>
      </c>
      <c r="AF12">
        <v>-0.40518400000000004</v>
      </c>
      <c r="AG12">
        <v>-1.1676966666666666</v>
      </c>
      <c r="AH12">
        <v>-0.4133371666666667</v>
      </c>
      <c r="AI12">
        <v>-1.1873516666666666</v>
      </c>
      <c r="AJ12">
        <v>-0.43175783333333334</v>
      </c>
      <c r="AK12">
        <v>-1.1990333333333334</v>
      </c>
      <c r="AL12">
        <v>-0.44810716666666667</v>
      </c>
      <c r="AM12">
        <v>-1.1943433333333335</v>
      </c>
      <c r="AN12">
        <v>-0.45665033333333327</v>
      </c>
      <c r="AO12">
        <v>-1.1571083333333334</v>
      </c>
      <c r="AP12">
        <v>-0.43307600000000002</v>
      </c>
      <c r="AQ12">
        <v>-1.0914416666666669</v>
      </c>
      <c r="AR12">
        <v>-0.35764283333333335</v>
      </c>
      <c r="AS12">
        <v>-1.3089833333333334</v>
      </c>
      <c r="AT12">
        <v>-0.27196583333333335</v>
      </c>
      <c r="AU12">
        <v>-1.5828900000000001</v>
      </c>
      <c r="AV12">
        <v>-0.28658800000000001</v>
      </c>
      <c r="AW12">
        <v>-1.4977383333333334</v>
      </c>
      <c r="AX12">
        <v>-0.29644583333333341</v>
      </c>
      <c r="AY12">
        <v>-1.3280983333333334</v>
      </c>
      <c r="AZ12">
        <v>-0.30198266666666673</v>
      </c>
    </row>
    <row r="13" spans="1:57" x14ac:dyDescent="0.2">
      <c r="A13" t="s">
        <v>1987</v>
      </c>
      <c r="B13" t="s">
        <v>1484</v>
      </c>
      <c r="C13">
        <v>3</v>
      </c>
      <c r="D13" s="5">
        <v>42217</v>
      </c>
      <c r="E13">
        <v>-1.2265133333333333</v>
      </c>
      <c r="F13">
        <v>-0.31580416666666672</v>
      </c>
      <c r="G13">
        <v>-1.1650266666666667</v>
      </c>
      <c r="H13">
        <v>-0.30779316666666667</v>
      </c>
      <c r="I13">
        <v>-1.14117</v>
      </c>
      <c r="J13">
        <v>-0.31028866666666666</v>
      </c>
      <c r="K13">
        <v>-1.1195966666666666</v>
      </c>
      <c r="L13">
        <v>-0.31004449999999995</v>
      </c>
      <c r="M13">
        <v>-1.1111533333333334</v>
      </c>
      <c r="N13">
        <v>-0.3121896666666667</v>
      </c>
      <c r="O13">
        <v>-1.1114283333333332</v>
      </c>
      <c r="P13">
        <v>-0.30725683333333331</v>
      </c>
      <c r="Q13">
        <v>-1.1398599999999999</v>
      </c>
      <c r="R13">
        <v>-0.29649200000000003</v>
      </c>
      <c r="S13">
        <v>-1.1377966666666666</v>
      </c>
      <c r="T13">
        <v>-0.3262376666666667</v>
      </c>
      <c r="U13">
        <v>-1.1502333333333334</v>
      </c>
      <c r="V13">
        <v>-0.45709700000000003</v>
      </c>
      <c r="W13">
        <v>-1.1175216666666667</v>
      </c>
      <c r="X13">
        <v>-0.43314550000000002</v>
      </c>
      <c r="Y13">
        <v>-1.0698183333333333</v>
      </c>
      <c r="Z13">
        <v>-0.385376</v>
      </c>
      <c r="AA13">
        <v>-1.0596061666666667</v>
      </c>
      <c r="AB13">
        <v>-0.38661449999999997</v>
      </c>
      <c r="AC13">
        <v>-1.0831999999999999</v>
      </c>
      <c r="AD13">
        <v>-0.39189149999999995</v>
      </c>
      <c r="AE13">
        <v>-1.1025366666666667</v>
      </c>
      <c r="AF13">
        <v>-0.39989749999999996</v>
      </c>
      <c r="AG13">
        <v>-1.123265</v>
      </c>
      <c r="AH13">
        <v>-0.40895900000000002</v>
      </c>
      <c r="AI13">
        <v>-1.1469883333333335</v>
      </c>
      <c r="AJ13">
        <v>-0.42743533333333333</v>
      </c>
      <c r="AK13">
        <v>-1.1484883333333336</v>
      </c>
      <c r="AL13">
        <v>-0.43718316666666668</v>
      </c>
      <c r="AM13">
        <v>-1.1304416666666668</v>
      </c>
      <c r="AN13">
        <v>-0.42220466666666667</v>
      </c>
      <c r="AO13">
        <v>-1.1193199999999999</v>
      </c>
      <c r="AP13">
        <v>-0.39108666666666664</v>
      </c>
      <c r="AQ13">
        <v>-1.1633566666666666</v>
      </c>
      <c r="AR13">
        <v>-0.34849116666666669</v>
      </c>
      <c r="AS13">
        <v>-1.4524916666666667</v>
      </c>
      <c r="AT13">
        <v>-0.30773283333333334</v>
      </c>
      <c r="AU13">
        <v>-1.7321733333333333</v>
      </c>
      <c r="AV13">
        <v>-0.31293083333333332</v>
      </c>
      <c r="AW13">
        <v>-1.6125033333333334</v>
      </c>
      <c r="AX13">
        <v>-0.30678583333333331</v>
      </c>
      <c r="AY13">
        <v>-1.4107183333333333</v>
      </c>
      <c r="AZ13">
        <v>-0.30362816666666664</v>
      </c>
    </row>
    <row r="14" spans="1:57" x14ac:dyDescent="0.2">
      <c r="A14" t="s">
        <v>1987</v>
      </c>
      <c r="B14" t="s">
        <v>1484</v>
      </c>
      <c r="C14">
        <v>3</v>
      </c>
      <c r="D14" s="5">
        <v>42224</v>
      </c>
      <c r="E14">
        <v>-1.2653483333333331</v>
      </c>
      <c r="F14">
        <v>-0.31932333333333335</v>
      </c>
      <c r="G14">
        <v>-1.19048</v>
      </c>
      <c r="H14">
        <v>-0.30035699999999999</v>
      </c>
      <c r="I14">
        <v>-1.1632850000000001</v>
      </c>
      <c r="J14">
        <v>-0.303093</v>
      </c>
      <c r="K14">
        <v>-1.142285</v>
      </c>
      <c r="L14">
        <v>-0.29930833333333334</v>
      </c>
      <c r="M14">
        <v>-1.1295783333333331</v>
      </c>
      <c r="N14">
        <v>-0.29656716666666666</v>
      </c>
      <c r="O14">
        <v>-1.1182033333333334</v>
      </c>
      <c r="P14">
        <v>-0.28252216666666663</v>
      </c>
      <c r="Q14">
        <v>-1.1379666666666668</v>
      </c>
      <c r="R14">
        <v>-0.28393599999999997</v>
      </c>
      <c r="S14">
        <v>-1.1180450000000002</v>
      </c>
      <c r="T14">
        <v>-0.32492399999999999</v>
      </c>
      <c r="U14">
        <v>-1.1595600000000001</v>
      </c>
      <c r="V14">
        <v>-0.47658483333333335</v>
      </c>
      <c r="W14">
        <v>-1.1490666666666667</v>
      </c>
      <c r="X14">
        <v>-0.47238533333333332</v>
      </c>
      <c r="Y14">
        <v>-1.1150516666666666</v>
      </c>
      <c r="Z14">
        <v>-0.43361433333333338</v>
      </c>
      <c r="AA14">
        <v>-1.1194783333333331</v>
      </c>
      <c r="AB14">
        <v>-0.42058283333333335</v>
      </c>
      <c r="AC14">
        <v>-1.1221099999999999</v>
      </c>
      <c r="AD14">
        <v>-0.42074949999999994</v>
      </c>
      <c r="AE14">
        <v>-1.1377450000000002</v>
      </c>
      <c r="AF14">
        <v>-0.42063200000000001</v>
      </c>
      <c r="AG14">
        <v>-1.175546666666667</v>
      </c>
      <c r="AH14">
        <v>-0.4388178333333333</v>
      </c>
      <c r="AI14">
        <v>-1.18563</v>
      </c>
      <c r="AJ14">
        <v>-0.4465743333333333</v>
      </c>
      <c r="AK14">
        <v>-1.1965033333333333</v>
      </c>
      <c r="AL14">
        <v>-0.45680349999999997</v>
      </c>
      <c r="AM14">
        <v>-1.1696466666666667</v>
      </c>
      <c r="AN14">
        <v>-0.44166299999999997</v>
      </c>
      <c r="AO14">
        <v>-1.1493700000000002</v>
      </c>
      <c r="AP14">
        <v>-0.40853499999999993</v>
      </c>
      <c r="AQ14">
        <v>-1.2251450000000002</v>
      </c>
      <c r="AR14">
        <v>-0.3713171666666667</v>
      </c>
      <c r="AS14">
        <v>-1.5186283333333332</v>
      </c>
      <c r="AT14">
        <v>-0.31814683333333332</v>
      </c>
      <c r="AU14">
        <v>-1.7452833333333335</v>
      </c>
      <c r="AV14">
        <v>-0.30962533333333336</v>
      </c>
      <c r="AW14">
        <v>-1.6517316666666666</v>
      </c>
      <c r="AX14">
        <v>-0.31350766666666663</v>
      </c>
      <c r="AY14">
        <v>-1.4766250000000001</v>
      </c>
      <c r="AZ14">
        <v>-0.32241433333333341</v>
      </c>
    </row>
    <row r="15" spans="1:57" x14ac:dyDescent="0.2">
      <c r="A15" t="s">
        <v>1987</v>
      </c>
      <c r="B15" t="s">
        <v>1484</v>
      </c>
      <c r="C15">
        <v>3</v>
      </c>
      <c r="D15" s="5">
        <v>42231</v>
      </c>
      <c r="E15">
        <v>-1.2314033333333334</v>
      </c>
      <c r="F15">
        <v>-0.23203633333333332</v>
      </c>
      <c r="G15">
        <v>-1.1618833333333334</v>
      </c>
      <c r="H15">
        <v>-0.22824850000000002</v>
      </c>
      <c r="I15">
        <v>-1.1282549999999998</v>
      </c>
      <c r="J15">
        <v>-0.22664983333333336</v>
      </c>
      <c r="K15">
        <v>-1.1070850000000001</v>
      </c>
      <c r="L15">
        <v>-0.22624683333333329</v>
      </c>
      <c r="M15">
        <v>-1.0948883333333335</v>
      </c>
      <c r="N15">
        <v>-0.21792349999999999</v>
      </c>
      <c r="O15">
        <v>-1.0865050000000001</v>
      </c>
      <c r="P15">
        <v>-0.20299333333333333</v>
      </c>
      <c r="Q15">
        <v>-1.116625</v>
      </c>
      <c r="R15">
        <v>-0.20150633333333334</v>
      </c>
      <c r="S15">
        <v>-1.1163683333333334</v>
      </c>
      <c r="T15">
        <v>-0.22600950000000003</v>
      </c>
      <c r="U15">
        <v>-1.1452266666666666</v>
      </c>
      <c r="V15">
        <v>-0.36784833333333333</v>
      </c>
      <c r="W15">
        <v>-1.1200216666666665</v>
      </c>
      <c r="X15">
        <v>-0.35875200000000002</v>
      </c>
      <c r="Y15">
        <v>-1.0627050000000002</v>
      </c>
      <c r="Z15">
        <v>-0.30710399999999999</v>
      </c>
      <c r="AA15">
        <v>-1.03024</v>
      </c>
      <c r="AB15">
        <v>-0.28365316666666668</v>
      </c>
      <c r="AC15">
        <v>-1.0470583333333332</v>
      </c>
      <c r="AD15">
        <v>-0.29057433333333332</v>
      </c>
      <c r="AE15">
        <v>-1.0638716666666668</v>
      </c>
      <c r="AF15">
        <v>-0.29743116666666669</v>
      </c>
      <c r="AG15">
        <v>-1.09091</v>
      </c>
      <c r="AH15">
        <v>-0.31512766666666664</v>
      </c>
      <c r="AI15">
        <v>-1.1220733333333333</v>
      </c>
      <c r="AJ15">
        <v>-0.35679633333333327</v>
      </c>
      <c r="AK15">
        <v>-1.1312366666666669</v>
      </c>
      <c r="AL15">
        <v>-0.36899716666666671</v>
      </c>
      <c r="AM15">
        <v>-1.1335766666666667</v>
      </c>
      <c r="AN15">
        <v>-0.33926966666666664</v>
      </c>
      <c r="AO15">
        <v>-1.1088933333333333</v>
      </c>
      <c r="AP15">
        <v>-0.29348383333333328</v>
      </c>
      <c r="AQ15">
        <v>-1.1101516666666666</v>
      </c>
      <c r="AR15">
        <v>-0.26527316666666667</v>
      </c>
      <c r="AS15">
        <v>-1.4841966666666666</v>
      </c>
      <c r="AT15">
        <v>-0.22550816666666665</v>
      </c>
      <c r="AU15">
        <v>-1.7322633333333333</v>
      </c>
      <c r="AV15">
        <v>-0.22834699999999997</v>
      </c>
      <c r="AW15">
        <v>-1.6003400000000001</v>
      </c>
      <c r="AX15">
        <v>-0.22566183333333334</v>
      </c>
      <c r="AY15">
        <v>-1.3950983333333333</v>
      </c>
      <c r="AZ15">
        <v>-0.22563466666666662</v>
      </c>
    </row>
    <row r="16" spans="1:57" x14ac:dyDescent="0.2">
      <c r="A16" t="s">
        <v>1987</v>
      </c>
      <c r="B16" t="s">
        <v>1484</v>
      </c>
      <c r="C16">
        <v>3</v>
      </c>
      <c r="D16" s="5">
        <v>42146</v>
      </c>
      <c r="E16">
        <v>-1.3550249999999999</v>
      </c>
      <c r="F16">
        <v>-0.33561466666666667</v>
      </c>
      <c r="G16">
        <v>-1.2698566666666669</v>
      </c>
      <c r="H16">
        <v>-0.3240656666666667</v>
      </c>
      <c r="I16">
        <v>-1.2422</v>
      </c>
      <c r="J16">
        <v>-0.32277033333333333</v>
      </c>
      <c r="K16">
        <v>-1.2233750000000003</v>
      </c>
      <c r="L16">
        <v>-0.3184346666666667</v>
      </c>
      <c r="M16">
        <v>-1.2156283333333333</v>
      </c>
      <c r="N16">
        <v>-0.31992199999999998</v>
      </c>
      <c r="O16">
        <v>-1.2212383333333334</v>
      </c>
      <c r="P16">
        <v>-0.31420733333333334</v>
      </c>
      <c r="Q16">
        <v>-1.2847516666666667</v>
      </c>
      <c r="R16">
        <v>-0.30905566666666662</v>
      </c>
      <c r="S16">
        <v>-1.326635</v>
      </c>
      <c r="T16">
        <v>-0.37205766666666668</v>
      </c>
      <c r="U16">
        <v>-1.3106566666666668</v>
      </c>
      <c r="V16">
        <v>-0.49968649999999998</v>
      </c>
      <c r="W16">
        <v>-1.2349433333333333</v>
      </c>
      <c r="X16">
        <v>-0.48971016666666667</v>
      </c>
      <c r="Y16">
        <v>-1.1666616666666667</v>
      </c>
      <c r="Z16">
        <v>-0.43339366666666662</v>
      </c>
      <c r="AA16">
        <v>-1.1273850000000001</v>
      </c>
      <c r="AB16">
        <v>-0.39047916666666671</v>
      </c>
      <c r="AC16">
        <v>-1.1326766666666666</v>
      </c>
      <c r="AD16">
        <v>-0.3870156666666667</v>
      </c>
      <c r="AE16">
        <v>-1.1415183333333332</v>
      </c>
      <c r="AF16">
        <v>-0.39433766666666675</v>
      </c>
      <c r="AG16">
        <v>-1.1430666666666665</v>
      </c>
      <c r="AH16">
        <v>-0.42140149999999993</v>
      </c>
      <c r="AI16">
        <v>-1.1653783333333334</v>
      </c>
      <c r="AJ16">
        <v>-0.43796499999999999</v>
      </c>
      <c r="AK16">
        <v>-1.1915716666666667</v>
      </c>
      <c r="AL16">
        <v>-0.44912183333333339</v>
      </c>
      <c r="AM16">
        <v>-1.1974816666666663</v>
      </c>
      <c r="AN16">
        <v>-0.4445741666666666</v>
      </c>
      <c r="AO16">
        <v>-1.1708183333333333</v>
      </c>
      <c r="AP16">
        <v>-0.42730583333333327</v>
      </c>
      <c r="AQ16">
        <v>-1.2063933333333332</v>
      </c>
      <c r="AR16">
        <v>-0.39449800000000002</v>
      </c>
      <c r="AS16">
        <v>-1.64882</v>
      </c>
      <c r="AT16">
        <v>-0.33464450000000001</v>
      </c>
      <c r="AU16">
        <v>-1.8873999999999997</v>
      </c>
      <c r="AV16">
        <v>-0.34076766666666669</v>
      </c>
      <c r="AW16">
        <v>-1.7450249999999998</v>
      </c>
      <c r="AX16">
        <v>-0.34430450000000001</v>
      </c>
      <c r="AY16">
        <v>-1.4940049999999998</v>
      </c>
      <c r="AZ16">
        <v>-0.33796083333333332</v>
      </c>
    </row>
    <row r="17" spans="1:52" x14ac:dyDescent="0.2">
      <c r="A17" t="s">
        <v>1987</v>
      </c>
      <c r="B17" t="s">
        <v>1484</v>
      </c>
      <c r="C17">
        <v>4</v>
      </c>
      <c r="D17" s="5">
        <v>42205</v>
      </c>
      <c r="E17">
        <v>-1.1705466666666666</v>
      </c>
      <c r="F17">
        <v>-0.27866116666666663</v>
      </c>
      <c r="G17">
        <v>-1.1112200000000001</v>
      </c>
      <c r="H17">
        <v>-0.27726716666666662</v>
      </c>
      <c r="I17">
        <v>-1.0825833333333332</v>
      </c>
      <c r="J17">
        <v>-0.27320800000000001</v>
      </c>
      <c r="K17">
        <v>-1.0638349999999999</v>
      </c>
      <c r="L17">
        <v>-0.26991133333333334</v>
      </c>
      <c r="M17">
        <v>-1.0592816666666665</v>
      </c>
      <c r="N17">
        <v>-0.26738783333333332</v>
      </c>
      <c r="O17">
        <v>-1.0639750000000001</v>
      </c>
      <c r="P17">
        <v>-0.26752799999999999</v>
      </c>
      <c r="Q17">
        <v>-1.1004516666666666</v>
      </c>
      <c r="R17">
        <v>-0.26139383333333338</v>
      </c>
      <c r="S17">
        <v>-1.1085033333333334</v>
      </c>
      <c r="T17">
        <v>-0.31094766666666668</v>
      </c>
      <c r="U17">
        <v>-1.1478083333333333</v>
      </c>
      <c r="V17">
        <v>-0.44409349999999997</v>
      </c>
      <c r="W17">
        <v>-1.1143333333333332</v>
      </c>
      <c r="X17">
        <v>-0.4143878333333334</v>
      </c>
      <c r="Y17">
        <v>-1.0804916666666666</v>
      </c>
      <c r="Z17">
        <v>-0.3783016666666667</v>
      </c>
      <c r="AA17">
        <v>-1.0683816666666666</v>
      </c>
      <c r="AB17">
        <v>-0.36532800000000004</v>
      </c>
      <c r="AC17">
        <v>-1.0768599999999999</v>
      </c>
      <c r="AD17">
        <v>-0.35463583333333332</v>
      </c>
      <c r="AE17">
        <v>-1.0948399999999998</v>
      </c>
      <c r="AF17">
        <v>-0.36798700000000001</v>
      </c>
      <c r="AG17">
        <v>-1.0636951666666667</v>
      </c>
      <c r="AH17">
        <v>-0.37536366666666665</v>
      </c>
      <c r="AI17">
        <v>-1.0746600000000002</v>
      </c>
      <c r="AJ17">
        <v>-0.37871916666666672</v>
      </c>
      <c r="AK17">
        <v>-1.1008183333333335</v>
      </c>
      <c r="AL17">
        <v>-0.34973633333333332</v>
      </c>
      <c r="AM17">
        <v>-1.1148150000000001</v>
      </c>
      <c r="AN17">
        <v>-0.3372188333333333</v>
      </c>
      <c r="AO17">
        <v>-1.0992650000000002</v>
      </c>
      <c r="AP17">
        <v>-0.32114733333333334</v>
      </c>
      <c r="AQ17">
        <v>-1.1063733333333332</v>
      </c>
      <c r="AR17">
        <v>-0.27627400000000008</v>
      </c>
      <c r="AS17">
        <v>-1.396665</v>
      </c>
      <c r="AT17">
        <v>-0.25488616666666664</v>
      </c>
      <c r="AU17">
        <v>-1.6582766666666666</v>
      </c>
      <c r="AV17">
        <v>-0.27338950000000001</v>
      </c>
      <c r="AW17">
        <v>-1.4939100000000001</v>
      </c>
      <c r="AX17">
        <v>-0.26550216666666665</v>
      </c>
      <c r="AY17">
        <v>-1.2499183333333335</v>
      </c>
      <c r="AZ17">
        <v>-0.27421616666666665</v>
      </c>
    </row>
    <row r="18" spans="1:52" x14ac:dyDescent="0.2">
      <c r="A18" t="s">
        <v>1987</v>
      </c>
      <c r="B18" t="s">
        <v>1484</v>
      </c>
      <c r="C18">
        <v>4</v>
      </c>
      <c r="D18" s="5">
        <v>42212</v>
      </c>
      <c r="E18">
        <v>-1.2695833333333335</v>
      </c>
      <c r="F18">
        <v>-0.30548633333333336</v>
      </c>
      <c r="G18">
        <v>-1.2032216666666666</v>
      </c>
      <c r="H18">
        <v>-0.31040400000000007</v>
      </c>
      <c r="I18">
        <v>-1.1774166666666668</v>
      </c>
      <c r="J18">
        <v>-0.3150985</v>
      </c>
      <c r="K18">
        <v>-1.1483083333333335</v>
      </c>
      <c r="L18">
        <v>-0.3011605</v>
      </c>
      <c r="M18">
        <v>-1.1318083333333333</v>
      </c>
      <c r="N18">
        <v>-0.29320250000000003</v>
      </c>
      <c r="O18">
        <v>-1.1316233333333332</v>
      </c>
      <c r="P18">
        <v>-0.29089116666666665</v>
      </c>
      <c r="Q18">
        <v>-1.1603283333333332</v>
      </c>
      <c r="R18">
        <v>-0.28218166666666666</v>
      </c>
      <c r="S18">
        <v>-1.15649</v>
      </c>
      <c r="T18">
        <v>-0.32152183333333328</v>
      </c>
      <c r="U18">
        <v>-1.1721249999999999</v>
      </c>
      <c r="V18">
        <v>-0.44188383333333331</v>
      </c>
      <c r="W18">
        <v>-1.1545699999999999</v>
      </c>
      <c r="X18">
        <v>-0.4355188333333333</v>
      </c>
      <c r="Y18">
        <v>-1.1140016666666666</v>
      </c>
      <c r="Z18">
        <v>-0.393791</v>
      </c>
      <c r="AA18">
        <v>-1.1065699999999998</v>
      </c>
      <c r="AB18">
        <v>-0.38456499999999999</v>
      </c>
      <c r="AC18">
        <v>-1.1308216666666664</v>
      </c>
      <c r="AD18">
        <v>-0.38890700000000011</v>
      </c>
      <c r="AE18">
        <v>-1.1553933333333335</v>
      </c>
      <c r="AF18">
        <v>-0.39612449999999993</v>
      </c>
      <c r="AG18">
        <v>-1.1794233333333333</v>
      </c>
      <c r="AH18">
        <v>-0.42173800000000006</v>
      </c>
      <c r="AI18">
        <v>-1.1969616666666665</v>
      </c>
      <c r="AJ18">
        <v>-0.43836899999999995</v>
      </c>
      <c r="AK18">
        <v>-1.2064433333333333</v>
      </c>
      <c r="AL18">
        <v>-0.43652716666666669</v>
      </c>
      <c r="AM18">
        <v>-1.2098333333333333</v>
      </c>
      <c r="AN18">
        <v>-0.43253066666666662</v>
      </c>
      <c r="AO18">
        <v>-1.1924416666666666</v>
      </c>
      <c r="AP18">
        <v>-0.40629216666666668</v>
      </c>
      <c r="AQ18">
        <v>-1.2236733333333334</v>
      </c>
      <c r="AR18">
        <v>-0.3718475</v>
      </c>
      <c r="AS18">
        <v>-1.5105899999999999</v>
      </c>
      <c r="AT18">
        <v>-0.32602583333333335</v>
      </c>
      <c r="AU18">
        <v>-1.7912983333333334</v>
      </c>
      <c r="AV18">
        <v>-0.32938916666666668</v>
      </c>
      <c r="AW18">
        <v>-1.697881666666667</v>
      </c>
      <c r="AX18">
        <v>-0.33002850000000006</v>
      </c>
      <c r="AY18">
        <v>-1.46767</v>
      </c>
      <c r="AZ18">
        <v>-0.32148283333333333</v>
      </c>
    </row>
    <row r="19" spans="1:52" x14ac:dyDescent="0.2">
      <c r="A19" t="s">
        <v>1987</v>
      </c>
      <c r="B19" t="s">
        <v>1484</v>
      </c>
      <c r="C19">
        <v>4</v>
      </c>
      <c r="D19" s="5">
        <v>42219</v>
      </c>
      <c r="E19">
        <v>-1.274845</v>
      </c>
      <c r="F19">
        <v>-0.31673683333333336</v>
      </c>
      <c r="G19">
        <v>-1.192051666666667</v>
      </c>
      <c r="H19">
        <v>-0.29783483333333333</v>
      </c>
      <c r="I19">
        <v>-1.1621650000000001</v>
      </c>
      <c r="J19">
        <v>-0.2977953333333333</v>
      </c>
      <c r="K19">
        <v>-1.1406383333333334</v>
      </c>
      <c r="L19">
        <v>-0.29671166666666665</v>
      </c>
      <c r="M19">
        <v>-1.1244166666666668</v>
      </c>
      <c r="N19">
        <v>-0.29502600000000001</v>
      </c>
      <c r="O19">
        <v>-1.1176050000000002</v>
      </c>
      <c r="P19">
        <v>-0.28764616666666665</v>
      </c>
      <c r="Q19">
        <v>-1.1488149999999999</v>
      </c>
      <c r="R19">
        <v>-0.28451883333333333</v>
      </c>
      <c r="S19">
        <v>-1.1377983333333335</v>
      </c>
      <c r="T19">
        <v>-0.31877033333333332</v>
      </c>
      <c r="U19">
        <v>-1.1662633333333334</v>
      </c>
      <c r="V19">
        <v>-0.45412366666666665</v>
      </c>
      <c r="W19">
        <v>-1.1495499999999998</v>
      </c>
      <c r="X19">
        <v>-0.45823566666666671</v>
      </c>
      <c r="Y19">
        <v>-1.1155683333333335</v>
      </c>
      <c r="Z19">
        <v>-0.41394733333333328</v>
      </c>
      <c r="AA19">
        <v>-1.1057966666666665</v>
      </c>
      <c r="AB19">
        <v>-0.39603783333333331</v>
      </c>
      <c r="AC19">
        <v>-1.1279033333333333</v>
      </c>
      <c r="AD19">
        <v>-0.40055166666666669</v>
      </c>
      <c r="AE19">
        <v>-1.1525183333333333</v>
      </c>
      <c r="AF19">
        <v>-0.40611766666666671</v>
      </c>
      <c r="AG19">
        <v>-1.1812266666666666</v>
      </c>
      <c r="AH19">
        <v>-0.42111166666666666</v>
      </c>
      <c r="AI19">
        <v>-1.19509</v>
      </c>
      <c r="AJ19">
        <v>-0.43755916666666661</v>
      </c>
      <c r="AK19">
        <v>-1.2062749999999998</v>
      </c>
      <c r="AL19">
        <v>-0.45322033333333328</v>
      </c>
      <c r="AM19">
        <v>-1.2031149999999999</v>
      </c>
      <c r="AN19">
        <v>-0.45211083333333335</v>
      </c>
      <c r="AO19">
        <v>-1.1808500000000002</v>
      </c>
      <c r="AP19">
        <v>-0.41877150000000002</v>
      </c>
      <c r="AQ19">
        <v>-1.1679216666666667</v>
      </c>
      <c r="AR19">
        <v>-0.39069983333333336</v>
      </c>
      <c r="AS19">
        <v>-1.4952516666666669</v>
      </c>
      <c r="AT19">
        <v>-0.33916050000000003</v>
      </c>
      <c r="AU19">
        <v>-1.8115083333333333</v>
      </c>
      <c r="AV19">
        <v>-0.33855216666666665</v>
      </c>
      <c r="AW19">
        <v>-1.6841500000000003</v>
      </c>
      <c r="AX19">
        <v>-0.32226183333333336</v>
      </c>
      <c r="AY19">
        <v>-1.4423033333333333</v>
      </c>
      <c r="AZ19">
        <v>-0.3202443333333333</v>
      </c>
    </row>
    <row r="20" spans="1:52" x14ac:dyDescent="0.2">
      <c r="A20" t="s">
        <v>1987</v>
      </c>
      <c r="B20" t="s">
        <v>1484</v>
      </c>
      <c r="C20">
        <v>4</v>
      </c>
      <c r="D20" s="5">
        <v>42226</v>
      </c>
      <c r="E20">
        <v>-1.3195299999999999</v>
      </c>
      <c r="F20">
        <v>-0.31965883333333334</v>
      </c>
      <c r="G20">
        <v>-1.2522033333333333</v>
      </c>
      <c r="H20">
        <v>-0.3186553333333334</v>
      </c>
      <c r="I20">
        <v>-1.1957500000000001</v>
      </c>
      <c r="J20">
        <v>-0.28509933333333332</v>
      </c>
      <c r="K20">
        <v>-1.1786416666666666</v>
      </c>
      <c r="L20">
        <v>-0.28679383333333336</v>
      </c>
      <c r="M20">
        <v>-1.1680616666666668</v>
      </c>
      <c r="N20">
        <v>-0.28940799999999994</v>
      </c>
      <c r="O20">
        <v>-1.1693583333333333</v>
      </c>
      <c r="P20">
        <v>-0.2923243333333333</v>
      </c>
      <c r="Q20">
        <v>-1.1926266666666665</v>
      </c>
      <c r="R20">
        <v>-0.28849266666666668</v>
      </c>
      <c r="S20">
        <v>-1.1873816666666666</v>
      </c>
      <c r="T20">
        <v>-0.31751466666666667</v>
      </c>
      <c r="U20">
        <v>-1.1979683333333335</v>
      </c>
      <c r="V20">
        <v>-0.46068866666666669</v>
      </c>
      <c r="W20">
        <v>-1.196801666666667</v>
      </c>
      <c r="X20">
        <v>-0.47872833333333342</v>
      </c>
      <c r="Y20">
        <v>-1.1554799999999998</v>
      </c>
      <c r="Z20">
        <v>-0.42316666666666669</v>
      </c>
      <c r="AA20">
        <v>-1.1499999999999999</v>
      </c>
      <c r="AB20">
        <v>-0.41667033333333331</v>
      </c>
      <c r="AC20">
        <v>-1.1741349999999999</v>
      </c>
      <c r="AD20">
        <v>-0.43610133333333334</v>
      </c>
      <c r="AE20">
        <v>-1.2014933333333331</v>
      </c>
      <c r="AF20">
        <v>-0.43559683333333332</v>
      </c>
      <c r="AG20">
        <v>-1.2232083333333332</v>
      </c>
      <c r="AH20">
        <v>-0.43674116666666668</v>
      </c>
      <c r="AI20">
        <v>-1.2379099999999998</v>
      </c>
      <c r="AJ20">
        <v>-0.45514133333333323</v>
      </c>
      <c r="AK20">
        <v>-1.2427933333333332</v>
      </c>
      <c r="AL20">
        <v>-0.47212450000000006</v>
      </c>
      <c r="AM20">
        <v>-1.2293000000000001</v>
      </c>
      <c r="AN20">
        <v>-0.44681416666666662</v>
      </c>
      <c r="AO20">
        <v>-1.2050016666666667</v>
      </c>
      <c r="AP20">
        <v>-0.40426100000000004</v>
      </c>
      <c r="AQ20">
        <v>-1.1545816666666666</v>
      </c>
      <c r="AR20">
        <v>-0.37302649999999998</v>
      </c>
      <c r="AS20">
        <v>-1.3825616666666665</v>
      </c>
      <c r="AT20">
        <v>-0.30945249999999996</v>
      </c>
      <c r="AU20">
        <v>-1.6496016666666666</v>
      </c>
      <c r="AV20">
        <v>-0.31044983333333342</v>
      </c>
      <c r="AW20">
        <v>-1.6093683333333331</v>
      </c>
      <c r="AX20">
        <v>-0.31982650000000001</v>
      </c>
      <c r="AY20">
        <v>-1.3899116666666669</v>
      </c>
      <c r="AZ20">
        <v>-0.30769716666666663</v>
      </c>
    </row>
    <row r="21" spans="1:52" x14ac:dyDescent="0.2">
      <c r="A21" t="s">
        <v>1987</v>
      </c>
      <c r="B21" t="s">
        <v>1484</v>
      </c>
      <c r="C21">
        <v>4</v>
      </c>
      <c r="D21" s="5">
        <v>42233</v>
      </c>
      <c r="E21">
        <v>-1.2257983333333333</v>
      </c>
      <c r="F21">
        <v>-0.21502399999999999</v>
      </c>
      <c r="G21">
        <v>-1.1567783333333335</v>
      </c>
      <c r="H21">
        <v>-0.21295150000000002</v>
      </c>
      <c r="I21">
        <v>-1.1171466666666665</v>
      </c>
      <c r="J21">
        <v>-0.20597699999999999</v>
      </c>
      <c r="K21">
        <v>-1.0948399999999998</v>
      </c>
      <c r="L21">
        <v>-0.20074366666666665</v>
      </c>
      <c r="M21">
        <v>-1.0842633333333334</v>
      </c>
      <c r="N21">
        <v>-0.19998150000000001</v>
      </c>
      <c r="O21">
        <v>-1.0850850000000001</v>
      </c>
      <c r="P21">
        <v>-0.19238166666666667</v>
      </c>
      <c r="Q21">
        <v>-1.1188500000000001</v>
      </c>
      <c r="R21">
        <v>-0.18720016666666667</v>
      </c>
      <c r="S21">
        <v>-1.1877716666666664</v>
      </c>
      <c r="T21">
        <v>-0.241346</v>
      </c>
      <c r="U21">
        <v>-1.1915766666666665</v>
      </c>
      <c r="V21">
        <v>-0.44327899999999998</v>
      </c>
      <c r="W21">
        <v>-1.1485066666666666</v>
      </c>
      <c r="X21">
        <v>-0.4455083333333334</v>
      </c>
      <c r="Y21">
        <v>-1.1087066666666667</v>
      </c>
      <c r="Z21">
        <v>-0.40062766666666672</v>
      </c>
      <c r="AA21">
        <v>-1.09127</v>
      </c>
      <c r="AB21">
        <v>-0.37671833333333332</v>
      </c>
      <c r="AC21">
        <v>-1.1128999999999998</v>
      </c>
      <c r="AD21">
        <v>-0.378243</v>
      </c>
      <c r="AE21">
        <v>-1.1502933333333334</v>
      </c>
      <c r="AF21">
        <v>-0.42350633333333332</v>
      </c>
      <c r="AG21">
        <v>-1.1615133333333334</v>
      </c>
      <c r="AH21">
        <v>-0.43033499999999997</v>
      </c>
      <c r="AI21">
        <v>-1.1755366666666667</v>
      </c>
      <c r="AJ21">
        <v>-0.4471788333333333</v>
      </c>
      <c r="AK21">
        <v>-1.179325</v>
      </c>
      <c r="AL21">
        <v>-0.45014750000000003</v>
      </c>
      <c r="AM21">
        <v>-1.1812633333333333</v>
      </c>
      <c r="AN21">
        <v>-0.44115616666666668</v>
      </c>
      <c r="AO21">
        <v>-1.1724916666666665</v>
      </c>
      <c r="AP21">
        <v>-0.41125533333333331</v>
      </c>
      <c r="AQ21">
        <v>-1.1879116666666667</v>
      </c>
      <c r="AR21">
        <v>-0.36544949999999998</v>
      </c>
      <c r="AS21">
        <v>-1.5750466666666665</v>
      </c>
      <c r="AT21">
        <v>-0.3209555</v>
      </c>
      <c r="AU21">
        <v>-1.782135</v>
      </c>
      <c r="AV21">
        <v>-0.32926633333333333</v>
      </c>
      <c r="AW21">
        <v>-1.6337200000000001</v>
      </c>
      <c r="AX21">
        <v>-0.32438699999999998</v>
      </c>
      <c r="AY21">
        <v>-1.3769616666666669</v>
      </c>
      <c r="AZ21">
        <v>-0.30024566666666669</v>
      </c>
    </row>
    <row r="22" spans="1:52" x14ac:dyDescent="0.2">
      <c r="A22" t="s">
        <v>1987</v>
      </c>
      <c r="B22" t="s">
        <v>1484</v>
      </c>
      <c r="C22">
        <v>5</v>
      </c>
      <c r="D22" s="5">
        <v>42209</v>
      </c>
      <c r="E22">
        <v>-1.2689883333333334</v>
      </c>
      <c r="F22">
        <v>-0.31839650000000003</v>
      </c>
      <c r="G22">
        <v>-1.1875800000000001</v>
      </c>
      <c r="H22">
        <v>-0.29850666666666664</v>
      </c>
      <c r="I22">
        <v>-1.1549133333333332</v>
      </c>
      <c r="J22">
        <v>-0.29561400000000004</v>
      </c>
      <c r="K22">
        <v>-1.1344516666666669</v>
      </c>
      <c r="L22">
        <v>-0.29299150000000002</v>
      </c>
      <c r="M22">
        <v>-1.1219366666666666</v>
      </c>
      <c r="N22">
        <v>-0.28745733333333334</v>
      </c>
      <c r="O22">
        <v>-1.1184333333333334</v>
      </c>
      <c r="P22">
        <v>-0.28402299999999997</v>
      </c>
      <c r="Q22">
        <v>-1.1533433333333334</v>
      </c>
      <c r="R22">
        <v>-0.28233866666666663</v>
      </c>
      <c r="S22">
        <v>-1.1551416666666667</v>
      </c>
      <c r="T22">
        <v>-0.33239000000000002</v>
      </c>
      <c r="U22">
        <v>-1.1751133333333332</v>
      </c>
      <c r="V22">
        <v>-0.4678883333333333</v>
      </c>
      <c r="W22">
        <v>-1.1572916666666668</v>
      </c>
      <c r="X22">
        <v>-0.45617533333333338</v>
      </c>
      <c r="Y22">
        <v>-1.1142916666666667</v>
      </c>
      <c r="Z22">
        <v>-0.39922066666666667</v>
      </c>
      <c r="AA22">
        <v>-1.1035733333333335</v>
      </c>
      <c r="AB22">
        <v>-0.38468016666666671</v>
      </c>
      <c r="AC22">
        <v>-1.1159283333333334</v>
      </c>
      <c r="AD22">
        <v>-0.3868051666666667</v>
      </c>
      <c r="AE22">
        <v>-1.1441999999999999</v>
      </c>
      <c r="AF22">
        <v>-0.39843066666666671</v>
      </c>
      <c r="AG22">
        <v>-1.1702183333333336</v>
      </c>
      <c r="AH22">
        <v>-0.41257666666666676</v>
      </c>
      <c r="AI22">
        <v>-1.1889049999999999</v>
      </c>
      <c r="AJ22">
        <v>-0.4396215</v>
      </c>
      <c r="AK22">
        <v>-1.2051983333333336</v>
      </c>
      <c r="AL22">
        <v>-0.44701766666666665</v>
      </c>
      <c r="AM22">
        <v>-1.2205633333333332</v>
      </c>
      <c r="AN22">
        <v>-0.45545649999999999</v>
      </c>
      <c r="AO22">
        <v>-1.195963333333333</v>
      </c>
      <c r="AP22">
        <v>-0.42890083333333334</v>
      </c>
      <c r="AQ22">
        <v>-1.1884633333333334</v>
      </c>
      <c r="AR22">
        <v>-0.40206449999999994</v>
      </c>
      <c r="AS22">
        <v>-1.4603366666666668</v>
      </c>
      <c r="AT22">
        <v>-0.32967266666666667</v>
      </c>
      <c r="AU22">
        <v>-1.7998133333333333</v>
      </c>
      <c r="AV22">
        <v>-0.3246188333333333</v>
      </c>
      <c r="AW22">
        <v>-1.6978283333333331</v>
      </c>
      <c r="AX22">
        <v>-0.31877749999999999</v>
      </c>
      <c r="AY22">
        <v>-1.4532283333333333</v>
      </c>
      <c r="AZ22">
        <v>-0.30333350000000003</v>
      </c>
    </row>
    <row r="23" spans="1:52" x14ac:dyDescent="0.2">
      <c r="A23" t="s">
        <v>1987</v>
      </c>
      <c r="B23" t="s">
        <v>1484</v>
      </c>
      <c r="C23">
        <v>5</v>
      </c>
      <c r="D23" s="5">
        <v>42216</v>
      </c>
      <c r="E23">
        <v>-1.1946033333333332</v>
      </c>
      <c r="F23">
        <v>-0.3002238333333333</v>
      </c>
      <c r="G23">
        <v>-1.1216766666666667</v>
      </c>
      <c r="H23">
        <v>-0.27166399999999996</v>
      </c>
      <c r="I23">
        <v>-1.0997083333333333</v>
      </c>
      <c r="J23">
        <v>-0.28447583333333332</v>
      </c>
      <c r="K23">
        <v>-1.077</v>
      </c>
      <c r="L23">
        <v>-0.27046433333333336</v>
      </c>
      <c r="M23">
        <v>-1.0663183333333335</v>
      </c>
      <c r="N23">
        <v>-0.26440983333333334</v>
      </c>
      <c r="O23">
        <v>-1.0607650000000002</v>
      </c>
      <c r="P23">
        <v>-0.25800283333333335</v>
      </c>
      <c r="Q23">
        <v>-1.0967616666666666</v>
      </c>
      <c r="R23">
        <v>-0.25809999999999994</v>
      </c>
      <c r="S23">
        <v>-1.1099383333333332</v>
      </c>
      <c r="T23">
        <v>-0.29771749999999997</v>
      </c>
      <c r="U23">
        <v>-1.1487516666666668</v>
      </c>
      <c r="V23">
        <v>-0.4351671666666666</v>
      </c>
      <c r="W23">
        <v>-1.1274916666666666</v>
      </c>
      <c r="X23">
        <v>-0.43735783333333328</v>
      </c>
      <c r="Y23">
        <v>-1.077545</v>
      </c>
      <c r="Z23">
        <v>-0.39090200000000003</v>
      </c>
      <c r="AA23">
        <v>-0.99920583333333346</v>
      </c>
      <c r="AB23">
        <v>-0.34596916666666672</v>
      </c>
      <c r="AC23">
        <v>-1.0022530000000001</v>
      </c>
      <c r="AD23">
        <v>-0.33572183333333333</v>
      </c>
      <c r="AE23">
        <v>-1.0211649999999999</v>
      </c>
      <c r="AF23">
        <v>-0.33877933333333332</v>
      </c>
      <c r="AG23">
        <v>-1.0679266666666665</v>
      </c>
      <c r="AH23">
        <v>-0.36194516666666671</v>
      </c>
      <c r="AI23">
        <v>-1.1633483333333332</v>
      </c>
      <c r="AJ23">
        <v>-0.42306149999999998</v>
      </c>
      <c r="AK23">
        <v>-1.1977983333333333</v>
      </c>
      <c r="AL23">
        <v>-0.45082399999999989</v>
      </c>
      <c r="AM23">
        <v>-1.1820950000000001</v>
      </c>
      <c r="AN23">
        <v>-0.44533566666666663</v>
      </c>
      <c r="AO23">
        <v>-1.172885</v>
      </c>
      <c r="AP23">
        <v>-0.40728999999999999</v>
      </c>
      <c r="AQ23">
        <v>-1.26275</v>
      </c>
      <c r="AR23">
        <v>-0.35475849999999998</v>
      </c>
      <c r="AS23">
        <v>-1.5871683333333333</v>
      </c>
      <c r="AT23">
        <v>-0.31412516666666662</v>
      </c>
      <c r="AU23">
        <v>-1.7265933333333334</v>
      </c>
      <c r="AV23">
        <v>-0.30308300000000005</v>
      </c>
      <c r="AW23">
        <v>-1.5826000000000002</v>
      </c>
      <c r="AX23">
        <v>-0.3093123333333333</v>
      </c>
      <c r="AY23">
        <v>-1.3539033333333335</v>
      </c>
      <c r="AZ23">
        <v>-0.31489299999999998</v>
      </c>
    </row>
    <row r="24" spans="1:52" x14ac:dyDescent="0.2">
      <c r="A24" t="s">
        <v>1987</v>
      </c>
      <c r="B24" t="s">
        <v>1484</v>
      </c>
      <c r="C24">
        <v>5</v>
      </c>
      <c r="D24" s="5">
        <v>42223</v>
      </c>
      <c r="E24">
        <v>-1.3327250000000002</v>
      </c>
      <c r="F24">
        <v>-0.34016949999999996</v>
      </c>
      <c r="G24">
        <v>-1.2457766666666663</v>
      </c>
      <c r="H24">
        <v>-0.31367283333333329</v>
      </c>
      <c r="I24">
        <v>-1.2114050000000001</v>
      </c>
      <c r="J24">
        <v>-0.30878300000000003</v>
      </c>
      <c r="K24">
        <v>-1.1889416666666666</v>
      </c>
      <c r="L24">
        <v>-0.30684916666666667</v>
      </c>
      <c r="M24">
        <v>-1.1762316666666668</v>
      </c>
      <c r="N24">
        <v>-0.30289633333333338</v>
      </c>
      <c r="O24">
        <v>-1.1786866666666667</v>
      </c>
      <c r="P24">
        <v>-0.30110116666666664</v>
      </c>
      <c r="Q24">
        <v>-1.1927616666666665</v>
      </c>
      <c r="R24">
        <v>-0.28984083333333333</v>
      </c>
      <c r="S24">
        <v>-1.1755250000000002</v>
      </c>
      <c r="T24">
        <v>-0.3283315</v>
      </c>
      <c r="U24">
        <v>-1.2020350000000002</v>
      </c>
      <c r="V24">
        <v>-0.4665461666666666</v>
      </c>
      <c r="W24">
        <v>-1.1854550000000001</v>
      </c>
      <c r="X24">
        <v>-0.46618066666666669</v>
      </c>
      <c r="Y24">
        <v>-1.1381616666666667</v>
      </c>
      <c r="Z24">
        <v>-0.4186366666666666</v>
      </c>
      <c r="AA24">
        <v>-1.1330933333333335</v>
      </c>
      <c r="AB24">
        <v>-0.40919116666666666</v>
      </c>
      <c r="AC24">
        <v>-1.1592349999999998</v>
      </c>
      <c r="AD24">
        <v>-0.41848383333333339</v>
      </c>
      <c r="AE24">
        <v>-1.199695</v>
      </c>
      <c r="AF24">
        <v>-0.44525100000000001</v>
      </c>
      <c r="AG24">
        <v>-1.2130000000000001</v>
      </c>
      <c r="AH24">
        <v>-0.43210149999999997</v>
      </c>
      <c r="AI24">
        <v>-1.2256233333333335</v>
      </c>
      <c r="AJ24">
        <v>-0.44833400000000001</v>
      </c>
      <c r="AK24">
        <v>-1.25407</v>
      </c>
      <c r="AL24">
        <v>-0.47193483333333325</v>
      </c>
      <c r="AM24">
        <v>-1.2196716666666669</v>
      </c>
      <c r="AN24">
        <v>-0.4680346666666666</v>
      </c>
      <c r="AO24">
        <v>-1.154345</v>
      </c>
      <c r="AP24">
        <v>-0.43586883333333326</v>
      </c>
      <c r="AQ24">
        <v>-1.1375083333333333</v>
      </c>
      <c r="AR24">
        <v>-0.38269083333333331</v>
      </c>
      <c r="AS24">
        <v>-1.4483233333333334</v>
      </c>
      <c r="AT24">
        <v>-0.32943033333333327</v>
      </c>
      <c r="AU24">
        <v>-1.6962283333333332</v>
      </c>
      <c r="AV24">
        <v>-0.32299849999999997</v>
      </c>
      <c r="AW24">
        <v>-1.6206883333333335</v>
      </c>
      <c r="AX24">
        <v>-0.32738200000000001</v>
      </c>
      <c r="AY24">
        <v>-1.4200716666666666</v>
      </c>
      <c r="AZ24">
        <v>-0.33573049999999999</v>
      </c>
    </row>
    <row r="25" spans="1:52" x14ac:dyDescent="0.2">
      <c r="A25" t="s">
        <v>1987</v>
      </c>
      <c r="B25" t="s">
        <v>1484</v>
      </c>
      <c r="C25">
        <v>5</v>
      </c>
      <c r="D25" s="5">
        <v>42230</v>
      </c>
      <c r="E25">
        <v>-1.19231</v>
      </c>
      <c r="F25">
        <v>-0.22983850000000003</v>
      </c>
      <c r="G25">
        <v>-1.1318483333333333</v>
      </c>
      <c r="H25">
        <v>-0.22460233333333335</v>
      </c>
      <c r="I25">
        <v>-1.1037316666666666</v>
      </c>
      <c r="J25">
        <v>-0.2231535</v>
      </c>
      <c r="K25">
        <v>-1.0860516666666664</v>
      </c>
      <c r="L25">
        <v>-0.21950800000000001</v>
      </c>
      <c r="M25">
        <v>-1.0792216666666667</v>
      </c>
      <c r="N25">
        <v>-0.21526933333333331</v>
      </c>
      <c r="O25">
        <v>-1.081315</v>
      </c>
      <c r="P25">
        <v>-0.2145465</v>
      </c>
      <c r="Q25">
        <v>-1.1167666666666667</v>
      </c>
      <c r="R25">
        <v>-0.20796583333333335</v>
      </c>
      <c r="S25">
        <v>-1.1554799999999998</v>
      </c>
      <c r="T25">
        <v>-0.23210816666666667</v>
      </c>
      <c r="U25">
        <v>-1.1928966666666667</v>
      </c>
      <c r="V25">
        <v>-0.37745566666666669</v>
      </c>
      <c r="W25">
        <v>-1.1573916666666666</v>
      </c>
      <c r="X25">
        <v>-0.37212516666666667</v>
      </c>
      <c r="Y25">
        <v>-1.0940783333333335</v>
      </c>
      <c r="Z25">
        <v>-0.32142850000000001</v>
      </c>
      <c r="AA25">
        <v>-1.0733266666666665</v>
      </c>
      <c r="AB25">
        <v>-0.30844566666666667</v>
      </c>
      <c r="AC25">
        <v>-1.0810316666666666</v>
      </c>
      <c r="AD25">
        <v>-0.30775549999999996</v>
      </c>
      <c r="AE25">
        <v>-1.0828933333333335</v>
      </c>
      <c r="AF25">
        <v>-0.29782500000000001</v>
      </c>
      <c r="AG25">
        <v>-1.0947250000000002</v>
      </c>
      <c r="AH25">
        <v>-0.30917866666666671</v>
      </c>
      <c r="AI25">
        <v>-1.1041633333333336</v>
      </c>
      <c r="AJ25">
        <v>-0.31879250000000003</v>
      </c>
      <c r="AK25">
        <v>-1.1472533333333332</v>
      </c>
      <c r="AL25">
        <v>-0.3547656666666667</v>
      </c>
      <c r="AM25">
        <v>-1.1588316666666667</v>
      </c>
      <c r="AN25">
        <v>-0.3544465</v>
      </c>
      <c r="AO25">
        <v>-1.1536483333333334</v>
      </c>
      <c r="AP25">
        <v>-0.33694816666666672</v>
      </c>
      <c r="AQ25">
        <v>-1.1676816666666665</v>
      </c>
      <c r="AR25">
        <v>-0.28097666666666665</v>
      </c>
      <c r="AS25">
        <v>-1.5792549999999999</v>
      </c>
      <c r="AT25">
        <v>-0.22769733333333331</v>
      </c>
      <c r="AU25">
        <v>-1.755783333333333</v>
      </c>
      <c r="AV25">
        <v>-0.22905166666666665</v>
      </c>
      <c r="AW25">
        <v>-1.6267416666666668</v>
      </c>
      <c r="AX25">
        <v>-0.23610983333333335</v>
      </c>
      <c r="AY25">
        <v>-1.3863616666666667</v>
      </c>
      <c r="AZ25">
        <v>-0.23854033333333333</v>
      </c>
    </row>
    <row r="26" spans="1:52" x14ac:dyDescent="0.2">
      <c r="A26" t="s">
        <v>1987</v>
      </c>
      <c r="B26" t="s">
        <v>1484</v>
      </c>
      <c r="C26">
        <v>5</v>
      </c>
      <c r="D26" s="5">
        <v>42237</v>
      </c>
      <c r="E26">
        <v>-1.2976950000000003</v>
      </c>
      <c r="F26">
        <v>-0.32301299999999999</v>
      </c>
      <c r="G26">
        <v>-1.2186300000000001</v>
      </c>
      <c r="H26">
        <v>-0.30010183333333335</v>
      </c>
      <c r="I26">
        <v>-1.1764166666666667</v>
      </c>
      <c r="J26">
        <v>-0.28182216666666671</v>
      </c>
      <c r="K26">
        <v>-1.1570299999999998</v>
      </c>
      <c r="L26">
        <v>-0.27654366666666669</v>
      </c>
      <c r="M26">
        <v>-1.1471349999999998</v>
      </c>
      <c r="N26">
        <v>-0.27646699999999991</v>
      </c>
      <c r="O26">
        <v>-1.1436383333333335</v>
      </c>
      <c r="P26">
        <v>-0.27451966666666666</v>
      </c>
      <c r="Q26">
        <v>-1.16574</v>
      </c>
      <c r="R26">
        <v>-0.26668916666666659</v>
      </c>
      <c r="S26">
        <v>-1.2191083333333332</v>
      </c>
      <c r="T26">
        <v>-0.29301116666666666</v>
      </c>
      <c r="U26">
        <v>-1.2453166666666668</v>
      </c>
      <c r="V26">
        <v>-0.4222614999999999</v>
      </c>
      <c r="W26">
        <v>-1.2246166666666665</v>
      </c>
      <c r="X26">
        <v>-0.45020749999999998</v>
      </c>
      <c r="Y26">
        <v>-1.1464683333333334</v>
      </c>
      <c r="Z26">
        <v>-0.41218599999999994</v>
      </c>
      <c r="AA26">
        <v>-1.1087699999999998</v>
      </c>
      <c r="AB26">
        <v>-0.38390816666666666</v>
      </c>
      <c r="AC26">
        <v>-1.1257016666666666</v>
      </c>
      <c r="AD26">
        <v>-0.38147566666666666</v>
      </c>
      <c r="AE26">
        <v>-1.1397849999999998</v>
      </c>
      <c r="AF26">
        <v>-0.38847433333333331</v>
      </c>
      <c r="AG26">
        <v>-1.1611983333333336</v>
      </c>
      <c r="AH26">
        <v>-0.41211366666666666</v>
      </c>
      <c r="AI26">
        <v>-1.1753950000000002</v>
      </c>
      <c r="AJ26">
        <v>-0.43897849999999999</v>
      </c>
      <c r="AK26">
        <v>-1.1896183333333334</v>
      </c>
      <c r="AL26">
        <v>-0.46713149999999998</v>
      </c>
      <c r="AM26">
        <v>-1.1754983333333333</v>
      </c>
      <c r="AN26">
        <v>-0.46571416666666665</v>
      </c>
      <c r="AO26">
        <v>-1.0344720000000001</v>
      </c>
      <c r="AP26">
        <v>-0.36518850000000003</v>
      </c>
      <c r="AQ26">
        <v>-1.1764189999999999</v>
      </c>
      <c r="AR26">
        <v>-0.25557450000000004</v>
      </c>
      <c r="AS26">
        <v>-1.4946599999999999</v>
      </c>
      <c r="AT26">
        <v>-0.24365216666666667</v>
      </c>
      <c r="AU26">
        <v>-1.5084200000000001</v>
      </c>
      <c r="AV26">
        <v>-0.26021266666666665</v>
      </c>
      <c r="AW26">
        <v>-1.3462850000000002</v>
      </c>
      <c r="AX26">
        <v>-0.25824566666666671</v>
      </c>
      <c r="AY26">
        <v>-1.1527049999999999</v>
      </c>
      <c r="AZ26">
        <v>-0.25813216666666666</v>
      </c>
    </row>
    <row r="27" spans="1:52" x14ac:dyDescent="0.2">
      <c r="D27" s="18"/>
    </row>
    <row r="28" spans="1:52" x14ac:dyDescent="0.2">
      <c r="D28" s="5"/>
    </row>
    <row r="29" spans="1:52" x14ac:dyDescent="0.2">
      <c r="D29" s="5"/>
    </row>
    <row r="30" spans="1:52" x14ac:dyDescent="0.2">
      <c r="D30" s="18"/>
    </row>
    <row r="31" spans="1:52" x14ac:dyDescent="0.2">
      <c r="D31" s="18"/>
    </row>
    <row r="32" spans="1:52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4" x14ac:dyDescent="0.2">
      <c r="D49" s="18"/>
    </row>
  </sheetData>
  <conditionalFormatting sqref="E1:E25 G1:G25 I1:I25 K1:K25 M1:M25 O1:O25 Q1:Q25 S1:S25 U1:U25 W1:W25 Y1:Y25 AA1:AA25 AC1:AC25 AE1:AE25 AG1:AG25 AI1:AI25 AK1:AK25 AM1:AM25 AO1:AO25 AQ1:AQ25 AS1:AS25 AU1:AU25 AW1:AW25 AY1:AY25 BA1:XFD25">
    <cfRule type="cellIs" dxfId="14" priority="5" operator="lessThan">
      <formula>0</formula>
    </cfRule>
  </conditionalFormatting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13" priority="1" operator="lessThan">
      <formula>0</formula>
    </cfRule>
    <cfRule type="cellIs" dxfId="12" priority="4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11" priority="2" operator="between">
      <formula>-0.0001</formula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>
    <tabColor theme="6" tint="-0.249977111117893"/>
  </sheetPr>
  <dimension ref="A1:IH1"/>
  <sheetViews>
    <sheetView workbookViewId="0">
      <selection activeCell="A2" sqref="A2:XFD3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>
    <tabColor theme="6" tint="-0.249977111117893"/>
  </sheetPr>
  <dimension ref="A1:AZ1"/>
  <sheetViews>
    <sheetView workbookViewId="0">
      <selection activeCell="A2" sqref="A2:XFD11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</sheetData>
  <conditionalFormatting sqref="E2:AZ6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4" enableFormatConditionsCalculation="0">
    <tabColor theme="6" tint="-0.249977111117893"/>
  </sheetPr>
  <dimension ref="A1"/>
  <sheetViews>
    <sheetView workbookViewId="0">
      <selection activeCell="F18" sqref="F18"/>
    </sheetView>
  </sheetViews>
  <sheetFormatPr baseColWidth="10" defaultRowHeight="15" x14ac:dyDescent="0.2"/>
  <sheetData>
    <row r="1" spans="1:1" s="61" customFormat="1" x14ac:dyDescent="0.2">
      <c r="A1" s="63" t="s">
        <v>1983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>
    <tabColor theme="6" tint="-0.249977111117893"/>
  </sheetPr>
  <dimension ref="A1:BE49"/>
  <sheetViews>
    <sheetView zoomScale="75" workbookViewId="0">
      <selection activeCell="A2" sqref="A2:XFD49"/>
    </sheetView>
  </sheetViews>
  <sheetFormatPr baseColWidth="10" defaultColWidth="11.5" defaultRowHeight="15" x14ac:dyDescent="0.2"/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x14ac:dyDescent="0.2">
      <c r="D2" s="5"/>
    </row>
    <row r="3" spans="1:57" x14ac:dyDescent="0.2">
      <c r="D3" s="5"/>
    </row>
    <row r="4" spans="1:57" x14ac:dyDescent="0.2">
      <c r="D4" s="5"/>
    </row>
    <row r="5" spans="1:57" x14ac:dyDescent="0.2">
      <c r="D5" s="5"/>
    </row>
    <row r="6" spans="1:57" x14ac:dyDescent="0.2">
      <c r="D6" s="5"/>
    </row>
    <row r="7" spans="1:57" x14ac:dyDescent="0.2">
      <c r="D7" s="5"/>
    </row>
    <row r="8" spans="1:57" x14ac:dyDescent="0.2">
      <c r="D8" s="5"/>
    </row>
    <row r="9" spans="1:57" x14ac:dyDescent="0.2">
      <c r="D9" s="5"/>
    </row>
    <row r="10" spans="1:57" x14ac:dyDescent="0.2">
      <c r="D10" s="5"/>
    </row>
    <row r="11" spans="1:57" x14ac:dyDescent="0.2">
      <c r="D11" s="5"/>
    </row>
    <row r="12" spans="1:57" x14ac:dyDescent="0.2">
      <c r="D12" s="5"/>
    </row>
    <row r="13" spans="1:57" x14ac:dyDescent="0.2">
      <c r="D13" s="5"/>
    </row>
    <row r="14" spans="1:57" x14ac:dyDescent="0.2">
      <c r="D14" s="5"/>
    </row>
    <row r="15" spans="1:57" x14ac:dyDescent="0.2">
      <c r="D15" s="5"/>
    </row>
    <row r="16" spans="1:57" x14ac:dyDescent="0.2">
      <c r="D16" s="5"/>
    </row>
    <row r="17" spans="4:4" x14ac:dyDescent="0.2">
      <c r="D17" s="5"/>
    </row>
    <row r="18" spans="4:4" x14ac:dyDescent="0.2">
      <c r="D18" s="5"/>
    </row>
    <row r="19" spans="4:4" x14ac:dyDescent="0.2">
      <c r="D19" s="5"/>
    </row>
    <row r="20" spans="4:4" x14ac:dyDescent="0.2">
      <c r="D20" s="5"/>
    </row>
    <row r="21" spans="4:4" x14ac:dyDescent="0.2">
      <c r="D21" s="5"/>
    </row>
    <row r="22" spans="4:4" x14ac:dyDescent="0.2">
      <c r="D22" s="5"/>
    </row>
    <row r="23" spans="4:4" x14ac:dyDescent="0.2">
      <c r="D23" s="5"/>
    </row>
    <row r="24" spans="4:4" x14ac:dyDescent="0.2">
      <c r="D24" s="5"/>
    </row>
    <row r="25" spans="4:4" x14ac:dyDescent="0.2">
      <c r="D25" s="5"/>
    </row>
    <row r="26" spans="4:4" x14ac:dyDescent="0.2">
      <c r="D26" s="5"/>
    </row>
    <row r="27" spans="4:4" x14ac:dyDescent="0.2">
      <c r="D27" s="5"/>
    </row>
    <row r="28" spans="4:4" x14ac:dyDescent="0.2">
      <c r="D28" s="5"/>
    </row>
    <row r="29" spans="4:4" x14ac:dyDescent="0.2">
      <c r="D29" s="5"/>
    </row>
    <row r="30" spans="4:4" x14ac:dyDescent="0.2">
      <c r="D30" s="5"/>
    </row>
    <row r="31" spans="4:4" x14ac:dyDescent="0.2">
      <c r="D31" s="18"/>
    </row>
    <row r="32" spans="4:4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4" x14ac:dyDescent="0.2">
      <c r="D49" s="18"/>
    </row>
  </sheetData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9" priority="1" operator="lessThan">
      <formula>0</formula>
    </cfRule>
    <cfRule type="cellIs" dxfId="8" priority="4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7" priority="2" operator="between">
      <formula>-0.0001</formula>
      <formula>0</formula>
    </cfRule>
    <cfRule type="cellIs" dxfId="6" priority="3" operator="between">
      <formula>-0.0001</formula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>
    <tabColor theme="5" tint="-0.249977111117893"/>
  </sheetPr>
  <dimension ref="A1:IH2"/>
  <sheetViews>
    <sheetView zoomScale="207" zoomScaleNormal="48" zoomScalePageLayoutView="48" workbookViewId="0">
      <selection activeCell="A3" sqref="A3:XFD3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-1.1027089999999997</v>
      </c>
      <c r="C2">
        <v>-0.25086043333333335</v>
      </c>
      <c r="D2">
        <v>-1.1322510000000001</v>
      </c>
      <c r="E2">
        <v>-0.24611200000000003</v>
      </c>
      <c r="F2">
        <v>-1.1101226666666668</v>
      </c>
      <c r="G2">
        <v>-0.24738850000000001</v>
      </c>
      <c r="H2">
        <v>-1.0990246666666665</v>
      </c>
      <c r="I2">
        <v>-0.23301526666666666</v>
      </c>
      <c r="J2">
        <v>-1.0908154166666666</v>
      </c>
      <c r="K2">
        <v>-0.24918900000000002</v>
      </c>
      <c r="L2">
        <v>-1.0550696666666666</v>
      </c>
      <c r="M2">
        <v>-0.24664293333333331</v>
      </c>
      <c r="N2">
        <v>-1.0742543333333336</v>
      </c>
      <c r="O2">
        <v>-0.24268686666666667</v>
      </c>
      <c r="P2">
        <v>-1.0583589666666666</v>
      </c>
      <c r="Q2">
        <v>-0.24144090000000001</v>
      </c>
      <c r="R2">
        <v>-1.050573</v>
      </c>
      <c r="S2">
        <v>-0.23000866666666667</v>
      </c>
      <c r="T2">
        <v>-1.0411192499999999</v>
      </c>
      <c r="U2">
        <v>-0.244276875</v>
      </c>
      <c r="V2">
        <v>-1.0236681999999999</v>
      </c>
      <c r="W2">
        <v>-0.23268833333333333</v>
      </c>
      <c r="X2">
        <v>-1.0398042333333333</v>
      </c>
      <c r="Y2">
        <v>-0.23438216666666664</v>
      </c>
      <c r="Z2">
        <v>-1.0305671333333335</v>
      </c>
      <c r="AA2">
        <v>-0.23876386666666663</v>
      </c>
      <c r="AB2">
        <v>-1.0240870666666666</v>
      </c>
      <c r="AC2">
        <v>-0.2253173</v>
      </c>
      <c r="AD2">
        <v>-1.0134595416666667</v>
      </c>
      <c r="AE2">
        <v>-0.23999050000000002</v>
      </c>
      <c r="AF2">
        <v>-1.0050476666666668</v>
      </c>
      <c r="AG2">
        <v>-0.22372846666666665</v>
      </c>
      <c r="AH2">
        <v>-1.0198287000000001</v>
      </c>
      <c r="AI2">
        <v>-0.2329149666666667</v>
      </c>
      <c r="AJ2">
        <v>-1.0143282666666666</v>
      </c>
      <c r="AK2">
        <v>-0.23596573333333332</v>
      </c>
      <c r="AL2">
        <v>-1.0058748999999998</v>
      </c>
      <c r="AM2">
        <v>-0.21990893333333333</v>
      </c>
      <c r="AN2">
        <v>-0.99717820833333326</v>
      </c>
      <c r="AO2">
        <v>-0.23892095833333335</v>
      </c>
      <c r="AP2">
        <v>-0.99840646666666655</v>
      </c>
      <c r="AQ2">
        <v>-0.21659679999999998</v>
      </c>
      <c r="AR2">
        <v>-1.0101486666666666</v>
      </c>
      <c r="AS2">
        <v>-0.22993870000000002</v>
      </c>
      <c r="AT2">
        <v>-1.0078654333333332</v>
      </c>
      <c r="AU2">
        <v>-0.2342191333333333</v>
      </c>
      <c r="AV2">
        <v>-0.99569206666666654</v>
      </c>
      <c r="AW2">
        <v>-0.21076103333333335</v>
      </c>
      <c r="AX2">
        <v>-0.99095575000000014</v>
      </c>
      <c r="AY2">
        <v>-0.23743029166666665</v>
      </c>
      <c r="AZ2">
        <v>-1.0147817000000001</v>
      </c>
      <c r="BA2">
        <v>-1.0147817000000001</v>
      </c>
      <c r="BB2">
        <v>-1.0122768333333334</v>
      </c>
      <c r="BC2">
        <v>-1.0122768333333334</v>
      </c>
      <c r="BD2">
        <v>-1.0182541999999999</v>
      </c>
      <c r="BE2">
        <v>-1.0182541999999999</v>
      </c>
      <c r="BF2">
        <v>-1.0089782333333335</v>
      </c>
      <c r="BG2">
        <v>-1.0089782333333335</v>
      </c>
      <c r="BH2">
        <v>-1.0023656666666667</v>
      </c>
      <c r="BI2">
        <v>-1.0023656666666667</v>
      </c>
      <c r="BJ2">
        <v>-1.125321</v>
      </c>
      <c r="BK2">
        <v>-0.20315856666666665</v>
      </c>
      <c r="BL2">
        <v>-1.0523014666666666</v>
      </c>
      <c r="BM2">
        <v>-0.22671259999999999</v>
      </c>
      <c r="BN2">
        <v>-1.0678746333333331</v>
      </c>
      <c r="BO2">
        <v>-0.22603093333333332</v>
      </c>
      <c r="BP2">
        <v>-1.1211683333333335</v>
      </c>
      <c r="BQ2">
        <v>-0.197077</v>
      </c>
      <c r="BR2">
        <v>-1.0882065833333332</v>
      </c>
      <c r="BS2">
        <v>-0.22846116666666669</v>
      </c>
      <c r="BT2">
        <v>-1.1526143333333334</v>
      </c>
      <c r="BU2">
        <v>-0.28796149999999998</v>
      </c>
      <c r="BV2">
        <v>-1.0259013333333331</v>
      </c>
      <c r="BW2">
        <v>-0.26953336666666666</v>
      </c>
      <c r="BX2">
        <v>-1.0483027</v>
      </c>
      <c r="BY2">
        <v>-0.28907673333333339</v>
      </c>
      <c r="BZ2">
        <v>-1.145508</v>
      </c>
      <c r="CA2">
        <v>-0.27439136666666664</v>
      </c>
      <c r="CB2">
        <v>-1.0798424999999998</v>
      </c>
      <c r="CC2">
        <v>-0.29146479166666661</v>
      </c>
      <c r="CD2">
        <v>-1.1147506666666669</v>
      </c>
      <c r="CE2">
        <v>-0.40499996666666671</v>
      </c>
      <c r="CF2">
        <v>-1.0804040666666668</v>
      </c>
      <c r="CG2">
        <v>-0.39278650000000004</v>
      </c>
      <c r="CH2">
        <v>-1.101772</v>
      </c>
      <c r="CI2">
        <v>-0.41752353333333331</v>
      </c>
      <c r="CJ2">
        <v>-1.1200296666666667</v>
      </c>
      <c r="CK2">
        <v>-0.40257130000000008</v>
      </c>
      <c r="CL2">
        <v>-1.1055466666666667</v>
      </c>
      <c r="CM2">
        <v>-0.4150875</v>
      </c>
      <c r="CN2">
        <v>-0.99188163333333323</v>
      </c>
      <c r="CO2">
        <v>-0.37848643333333337</v>
      </c>
      <c r="CP2">
        <v>-1.0702893333333334</v>
      </c>
      <c r="CQ2">
        <v>-0.39313239999999999</v>
      </c>
      <c r="CR2">
        <v>-1.0740880000000002</v>
      </c>
      <c r="CS2">
        <v>-0.40115763333333332</v>
      </c>
      <c r="CT2">
        <v>-1.0509536666666668</v>
      </c>
      <c r="CU2">
        <v>-0.36721673333333332</v>
      </c>
      <c r="CV2">
        <v>-1.0549854166666666</v>
      </c>
      <c r="CW2">
        <v>-0.39024383333333335</v>
      </c>
      <c r="CX2">
        <v>-1.0958578999999999</v>
      </c>
      <c r="CY2">
        <v>-0.3809612</v>
      </c>
      <c r="CZ2">
        <v>-1.0255991000000002</v>
      </c>
      <c r="DA2">
        <v>-0.34693930000000001</v>
      </c>
      <c r="DB2">
        <v>-1.0269231666666667</v>
      </c>
      <c r="DC2">
        <v>-0.35609156666666664</v>
      </c>
      <c r="DD2">
        <v>-1.0142128333333331</v>
      </c>
      <c r="DE2">
        <v>-0.33199680000000009</v>
      </c>
      <c r="DF2">
        <v>-1.0127234166666665</v>
      </c>
      <c r="DG2">
        <v>-0.34826987500000001</v>
      </c>
      <c r="DH2">
        <v>-1.0947625666666667</v>
      </c>
      <c r="DI2">
        <v>-0.37587363333333335</v>
      </c>
      <c r="DJ2">
        <v>-1.0241968333333333</v>
      </c>
      <c r="DK2">
        <v>-0.34727799999999998</v>
      </c>
      <c r="DL2">
        <v>-1.0230911</v>
      </c>
      <c r="DM2">
        <v>-0.35076020000000002</v>
      </c>
      <c r="DN2">
        <v>-1.0157051333333333</v>
      </c>
      <c r="DO2">
        <v>-0.3231324333333333</v>
      </c>
      <c r="DP2">
        <v>-1.022915625</v>
      </c>
      <c r="DQ2">
        <v>-0.35384150000000003</v>
      </c>
      <c r="DR2">
        <v>-1.1183163333333332</v>
      </c>
      <c r="DS2">
        <v>-0.38099309999999997</v>
      </c>
      <c r="DT2">
        <v>-1.038257</v>
      </c>
      <c r="DU2">
        <v>-0.36415253333333336</v>
      </c>
      <c r="DV2">
        <v>-1.0451555000000001</v>
      </c>
      <c r="DW2">
        <v>-0.3631683</v>
      </c>
      <c r="DX2">
        <v>-1.0497153333333333</v>
      </c>
      <c r="DY2">
        <v>-0.33738763333333333</v>
      </c>
      <c r="DZ2">
        <v>-1.059679625</v>
      </c>
      <c r="EA2">
        <v>-0.38489812499999998</v>
      </c>
      <c r="EB2">
        <v>-1.1696916666666666</v>
      </c>
      <c r="EC2">
        <v>-0.40145483333333332</v>
      </c>
      <c r="ED2">
        <v>-1.0581313000000001</v>
      </c>
      <c r="EE2">
        <v>-0.37130226666666666</v>
      </c>
      <c r="EF2">
        <v>-1.0737596666666669</v>
      </c>
      <c r="EG2">
        <v>-0.37842196666666666</v>
      </c>
      <c r="EH2">
        <v>-1.0828219999999997</v>
      </c>
      <c r="EI2">
        <v>-0.34199150000000006</v>
      </c>
      <c r="EJ2">
        <v>-1.0934008333333334</v>
      </c>
      <c r="EK2">
        <v>-0.39522737500000005</v>
      </c>
      <c r="EL2">
        <v>-1.0945585999999998</v>
      </c>
      <c r="EM2">
        <v>-1.0945585999999998</v>
      </c>
      <c r="EN2">
        <v>-1.0835936666666668</v>
      </c>
      <c r="EO2">
        <v>-1.0835936666666668</v>
      </c>
      <c r="EP2">
        <v>-1.0944136666666666</v>
      </c>
      <c r="EQ2">
        <v>-1.0944136666666666</v>
      </c>
      <c r="ER2">
        <v>-1.1140403333333331</v>
      </c>
      <c r="ES2">
        <v>-1.1140403333333331</v>
      </c>
      <c r="ET2">
        <v>-1.1175095833333333</v>
      </c>
      <c r="EU2">
        <v>-1.1175095833333333</v>
      </c>
      <c r="EV2">
        <v>-1.1271056666666666</v>
      </c>
      <c r="EW2">
        <v>-0.3964358</v>
      </c>
      <c r="EX2">
        <v>-1.0979296666666667</v>
      </c>
      <c r="EY2">
        <v>-0.39914023333333326</v>
      </c>
      <c r="EZ2">
        <v>-1.1025316666666665</v>
      </c>
      <c r="FA2">
        <v>-0.39414933333333335</v>
      </c>
      <c r="FB2">
        <v>-1.1265059999999998</v>
      </c>
      <c r="FC2">
        <v>-0.36982133333333334</v>
      </c>
      <c r="FD2">
        <v>-1.1307620833333334</v>
      </c>
      <c r="FE2">
        <v>-0.416289625</v>
      </c>
      <c r="FF2">
        <v>-1.1396406666666665</v>
      </c>
      <c r="FG2">
        <v>-0.40740900000000002</v>
      </c>
      <c r="FH2">
        <v>-1.1043726666666667</v>
      </c>
      <c r="FI2">
        <v>-0.41101246666666669</v>
      </c>
      <c r="FJ2">
        <v>-1.1063333333333332</v>
      </c>
      <c r="FK2">
        <v>-0.40026656666666671</v>
      </c>
      <c r="FL2">
        <v>-1.1357636666666666</v>
      </c>
      <c r="FM2">
        <v>-0.37998880000000002</v>
      </c>
      <c r="FN2">
        <v>-1.1374075000000001</v>
      </c>
      <c r="FO2">
        <v>-0.42858358333333335</v>
      </c>
      <c r="FP2">
        <v>-1.1299323333333333</v>
      </c>
      <c r="FQ2">
        <v>-0.38462526666666663</v>
      </c>
      <c r="FR2">
        <v>-1.0864973333333334</v>
      </c>
      <c r="FS2">
        <v>-0.38816273333333334</v>
      </c>
      <c r="FT2">
        <v>-1.1032609999999998</v>
      </c>
      <c r="FU2">
        <v>-0.37878829999999997</v>
      </c>
      <c r="FV2">
        <v>-1.1312733333333331</v>
      </c>
      <c r="FW2">
        <v>-0.3676368333333333</v>
      </c>
      <c r="FX2">
        <v>-1.1218312500000001</v>
      </c>
      <c r="FY2">
        <v>-0.40516145833333334</v>
      </c>
      <c r="FZ2">
        <v>-1.1871333333333332</v>
      </c>
      <c r="GA2">
        <v>-0.32882996666666664</v>
      </c>
      <c r="GB2">
        <v>-1.1689219999999998</v>
      </c>
      <c r="GC2">
        <v>-0.33748943333333331</v>
      </c>
      <c r="GD2">
        <v>-1.1933653333333332</v>
      </c>
      <c r="GE2">
        <v>-0.32166053333333333</v>
      </c>
      <c r="GF2">
        <v>-1.2179489999999997</v>
      </c>
      <c r="GG2">
        <v>-0.30705166666666661</v>
      </c>
      <c r="GH2">
        <v>-1.2002329166666668</v>
      </c>
      <c r="GI2">
        <v>-0.34644549999999996</v>
      </c>
      <c r="GJ2">
        <v>-1.6852083333333332</v>
      </c>
      <c r="GK2">
        <v>-0.2673271333333333</v>
      </c>
      <c r="GL2">
        <v>-1.6473843333333336</v>
      </c>
      <c r="GM2">
        <v>-0.28607823333333332</v>
      </c>
      <c r="GN2">
        <v>-1.6512016666666667</v>
      </c>
      <c r="GO2">
        <v>-0.26828293333333331</v>
      </c>
      <c r="GP2">
        <v>-1.6958340000000003</v>
      </c>
      <c r="GQ2">
        <v>-0.25465273333333338</v>
      </c>
      <c r="GR2">
        <v>-1.6534829166666667</v>
      </c>
      <c r="GS2">
        <v>-0.287486625</v>
      </c>
      <c r="GT2">
        <v>-1.7596756666666664</v>
      </c>
      <c r="GU2">
        <v>-0.26054036666666669</v>
      </c>
      <c r="GV2">
        <v>-1.7225226666666669</v>
      </c>
      <c r="GW2">
        <v>-0.27977960000000002</v>
      </c>
      <c r="GX2">
        <v>-1.7088619999999999</v>
      </c>
      <c r="GY2">
        <v>-0.26152119999999995</v>
      </c>
      <c r="GZ2">
        <v>-1.7551780000000001</v>
      </c>
      <c r="HA2">
        <v>-0.24584126666666667</v>
      </c>
      <c r="HB2">
        <v>-1.7205379166666668</v>
      </c>
      <c r="HC2">
        <v>-0.28190495833333329</v>
      </c>
      <c r="HD2">
        <v>-1.6440473333333334</v>
      </c>
      <c r="HE2">
        <v>-0.26326666666666665</v>
      </c>
      <c r="HF2">
        <v>-1.6155909999999998</v>
      </c>
      <c r="HG2">
        <v>-0.2794209666666666</v>
      </c>
      <c r="HH2">
        <v>-1.5907543333333334</v>
      </c>
      <c r="HI2">
        <v>-0.25791986666666661</v>
      </c>
      <c r="HJ2">
        <v>-1.6307416666666665</v>
      </c>
      <c r="HK2">
        <v>-0.24740506666666667</v>
      </c>
      <c r="HL2">
        <v>-1.6004245833333333</v>
      </c>
      <c r="HM2">
        <v>-0.28514162499999995</v>
      </c>
      <c r="HN2">
        <v>-1.4222786666666667</v>
      </c>
      <c r="HO2">
        <v>-0.25624260000000004</v>
      </c>
      <c r="HP2">
        <v>-1.4121280000000003</v>
      </c>
      <c r="HQ2">
        <v>-0.26811763333333338</v>
      </c>
      <c r="HR2">
        <v>-1.4097449999999998</v>
      </c>
      <c r="HS2">
        <v>-0.25925720000000002</v>
      </c>
      <c r="HT2">
        <v>-1.4141739999999998</v>
      </c>
      <c r="HU2">
        <v>-0.24308703333333334</v>
      </c>
      <c r="HV2">
        <v>-1.4008912499999999</v>
      </c>
      <c r="HW2">
        <v>-0.27963612500000001</v>
      </c>
      <c r="HX2">
        <v>-1.2140029999999999</v>
      </c>
      <c r="HY2">
        <v>-0.25667846666666672</v>
      </c>
      <c r="HZ2">
        <v>-1.2165193333333335</v>
      </c>
      <c r="IA2">
        <v>-0.26829500000000006</v>
      </c>
      <c r="IB2">
        <v>-1.2353396666666667</v>
      </c>
      <c r="IC2">
        <v>-0.25134230000000002</v>
      </c>
      <c r="ID2">
        <v>-1.2096973333333334</v>
      </c>
      <c r="IE2">
        <v>-0.23750809999999997</v>
      </c>
      <c r="IF2">
        <v>-1.2117004166666665</v>
      </c>
      <c r="IG2">
        <v>-0.26865887499999996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7" enableFormatConditionsCalculation="0">
    <tabColor theme="5" tint="-0.249977111117893"/>
  </sheetPr>
  <dimension ref="A1:AZ6"/>
  <sheetViews>
    <sheetView zoomScale="66" zoomScaleNormal="66" zoomScalePageLayoutView="66" workbookViewId="0">
      <selection activeCell="A2" sqref="A2:XFD11"/>
    </sheetView>
  </sheetViews>
  <sheetFormatPr baseColWidth="10" defaultRowHeight="15" x14ac:dyDescent="0.2"/>
  <cols>
    <col min="4" max="4" width="10.83203125" style="17"/>
  </cols>
  <sheetData>
    <row r="1" spans="1:52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-1.1027089999999997</v>
      </c>
      <c r="F2">
        <v>-0.25086043333333335</v>
      </c>
      <c r="G2">
        <v>-1.0550696666666666</v>
      </c>
      <c r="H2">
        <v>-0.24664293333333331</v>
      </c>
      <c r="I2">
        <v>-1.0236681999999999</v>
      </c>
      <c r="J2">
        <v>-0.23268833333333333</v>
      </c>
      <c r="K2">
        <v>-1.0050476666666668</v>
      </c>
      <c r="L2">
        <v>-0.22372846666666665</v>
      </c>
      <c r="M2">
        <v>-0.99840646666666655</v>
      </c>
      <c r="N2">
        <v>-0.21659679999999998</v>
      </c>
      <c r="O2">
        <v>-1.0147817000000001</v>
      </c>
      <c r="P2">
        <v>-0.20806853333333336</v>
      </c>
      <c r="Q2">
        <v>-1.125321</v>
      </c>
      <c r="R2">
        <v>-0.20315856666666665</v>
      </c>
      <c r="S2">
        <v>-1.1526143333333334</v>
      </c>
      <c r="T2">
        <v>-0.28796149999999998</v>
      </c>
      <c r="U2">
        <v>-1.1147506666666669</v>
      </c>
      <c r="V2">
        <v>-0.40499996666666671</v>
      </c>
      <c r="W2">
        <v>-0.99188163333333323</v>
      </c>
      <c r="X2">
        <v>-0.37848643333333337</v>
      </c>
      <c r="Y2">
        <v>-1.0958578999999999</v>
      </c>
      <c r="Z2">
        <v>-0.3809612</v>
      </c>
      <c r="AA2">
        <v>-1.0947625666666667</v>
      </c>
      <c r="AB2">
        <v>-0.37587363333333335</v>
      </c>
      <c r="AC2">
        <v>-1.1183163333333332</v>
      </c>
      <c r="AD2">
        <v>-0.38099309999999997</v>
      </c>
      <c r="AE2">
        <v>-1.1696916666666666</v>
      </c>
      <c r="AF2">
        <v>-0.40145483333333332</v>
      </c>
      <c r="AG2">
        <v>-1.0945585999999998</v>
      </c>
      <c r="AH2">
        <v>-0.37977203333333331</v>
      </c>
      <c r="AI2">
        <v>-1.1271056666666666</v>
      </c>
      <c r="AJ2">
        <v>-0.3964358</v>
      </c>
      <c r="AK2">
        <v>-1.1396406666666665</v>
      </c>
      <c r="AL2">
        <v>-0.40740900000000002</v>
      </c>
      <c r="AM2">
        <v>-1.1299323333333333</v>
      </c>
      <c r="AN2">
        <v>-0.38462526666666663</v>
      </c>
      <c r="AO2">
        <v>-1.1871333333333332</v>
      </c>
      <c r="AP2">
        <v>-0.32882996666666664</v>
      </c>
      <c r="AQ2">
        <v>-1.6852083333333332</v>
      </c>
      <c r="AR2">
        <v>-0.2673271333333333</v>
      </c>
      <c r="AS2">
        <v>-1.7596756666666664</v>
      </c>
      <c r="AT2">
        <v>-0.26054036666666669</v>
      </c>
      <c r="AU2">
        <v>-1.6440473333333334</v>
      </c>
      <c r="AV2">
        <v>-0.26326666666666665</v>
      </c>
      <c r="AW2">
        <v>-1.4222786666666667</v>
      </c>
      <c r="AX2">
        <v>-0.25624260000000004</v>
      </c>
      <c r="AY2">
        <v>-1.2140029999999999</v>
      </c>
      <c r="AZ2">
        <v>-0.25667846666666672</v>
      </c>
    </row>
    <row r="3" spans="1:52" x14ac:dyDescent="0.2">
      <c r="A3" t="s">
        <v>1987</v>
      </c>
      <c r="B3" t="s">
        <v>1484</v>
      </c>
      <c r="C3">
        <v>2</v>
      </c>
      <c r="E3">
        <v>-1.1322510000000001</v>
      </c>
      <c r="F3">
        <v>-0.24611200000000003</v>
      </c>
      <c r="G3">
        <v>-1.0742543333333336</v>
      </c>
      <c r="H3">
        <v>-0.24268686666666667</v>
      </c>
      <c r="I3">
        <v>-1.0398042333333333</v>
      </c>
      <c r="J3">
        <v>-0.23438216666666664</v>
      </c>
      <c r="K3">
        <v>-1.0198287000000001</v>
      </c>
      <c r="L3">
        <v>-0.2329149666666667</v>
      </c>
      <c r="M3">
        <v>-1.0101486666666666</v>
      </c>
      <c r="N3">
        <v>-0.22993870000000002</v>
      </c>
      <c r="O3">
        <v>-1.0122768333333334</v>
      </c>
      <c r="P3">
        <v>-0.22584126666666665</v>
      </c>
      <c r="Q3">
        <v>-1.0523014666666666</v>
      </c>
      <c r="R3">
        <v>-0.22671259999999999</v>
      </c>
      <c r="S3">
        <v>-1.0259013333333331</v>
      </c>
      <c r="T3">
        <v>-0.26953336666666666</v>
      </c>
      <c r="U3">
        <v>-1.0804040666666668</v>
      </c>
      <c r="V3">
        <v>-0.39278650000000004</v>
      </c>
      <c r="W3">
        <v>-1.0702893333333334</v>
      </c>
      <c r="X3">
        <v>-0.39313239999999999</v>
      </c>
      <c r="Y3">
        <v>-1.0255991000000002</v>
      </c>
      <c r="Z3">
        <v>-0.34693930000000001</v>
      </c>
      <c r="AA3">
        <v>-1.0241968333333333</v>
      </c>
      <c r="AB3">
        <v>-0.34727799999999998</v>
      </c>
      <c r="AC3">
        <v>-1.038257</v>
      </c>
      <c r="AD3">
        <v>-0.36415253333333336</v>
      </c>
      <c r="AE3">
        <v>-1.0581313000000001</v>
      </c>
      <c r="AF3">
        <v>-0.37130226666666666</v>
      </c>
      <c r="AG3">
        <v>-1.0835936666666668</v>
      </c>
      <c r="AH3">
        <v>-0.38224336666666664</v>
      </c>
      <c r="AI3">
        <v>-1.0979296666666667</v>
      </c>
      <c r="AJ3">
        <v>-0.39914023333333326</v>
      </c>
      <c r="AK3">
        <v>-1.1043726666666667</v>
      </c>
      <c r="AL3">
        <v>-0.41101246666666669</v>
      </c>
      <c r="AM3">
        <v>-1.0864973333333334</v>
      </c>
      <c r="AN3">
        <v>-0.38816273333333334</v>
      </c>
      <c r="AO3">
        <v>-1.1689219999999998</v>
      </c>
      <c r="AP3">
        <v>-0.33748943333333331</v>
      </c>
      <c r="AQ3">
        <v>-1.6473843333333336</v>
      </c>
      <c r="AR3">
        <v>-0.28607823333333332</v>
      </c>
      <c r="AS3">
        <v>-1.7225226666666669</v>
      </c>
      <c r="AT3">
        <v>-0.27977960000000002</v>
      </c>
      <c r="AU3">
        <v>-1.6155909999999998</v>
      </c>
      <c r="AV3">
        <v>-0.2794209666666666</v>
      </c>
      <c r="AW3">
        <v>-1.4121280000000003</v>
      </c>
      <c r="AX3">
        <v>-0.26811763333333338</v>
      </c>
      <c r="AY3">
        <v>-1.2165193333333335</v>
      </c>
      <c r="AZ3">
        <v>-0.26829500000000006</v>
      </c>
    </row>
    <row r="4" spans="1:52" x14ac:dyDescent="0.2">
      <c r="A4" t="s">
        <v>1987</v>
      </c>
      <c r="B4" t="s">
        <v>1484</v>
      </c>
      <c r="C4">
        <v>3</v>
      </c>
      <c r="E4">
        <v>-1.1101226666666668</v>
      </c>
      <c r="F4">
        <v>-0.24738850000000001</v>
      </c>
      <c r="G4">
        <v>-1.0583589666666666</v>
      </c>
      <c r="H4">
        <v>-0.24144090000000001</v>
      </c>
      <c r="I4">
        <v>-1.0305671333333335</v>
      </c>
      <c r="J4">
        <v>-0.23876386666666663</v>
      </c>
      <c r="K4">
        <v>-1.0143282666666666</v>
      </c>
      <c r="L4">
        <v>-0.23596573333333332</v>
      </c>
      <c r="M4">
        <v>-1.0078654333333332</v>
      </c>
      <c r="N4">
        <v>-0.2342191333333333</v>
      </c>
      <c r="O4">
        <v>-1.0182541999999999</v>
      </c>
      <c r="P4">
        <v>-0.23104376666666665</v>
      </c>
      <c r="Q4">
        <v>-1.0678746333333331</v>
      </c>
      <c r="R4">
        <v>-0.22603093333333332</v>
      </c>
      <c r="S4">
        <v>-1.0483027</v>
      </c>
      <c r="T4">
        <v>-0.28907673333333339</v>
      </c>
      <c r="U4">
        <v>-1.101772</v>
      </c>
      <c r="V4">
        <v>-0.41752353333333331</v>
      </c>
      <c r="W4">
        <v>-1.0740880000000002</v>
      </c>
      <c r="X4">
        <v>-0.40115763333333332</v>
      </c>
      <c r="Y4">
        <v>-1.0269231666666667</v>
      </c>
      <c r="Z4">
        <v>-0.35609156666666664</v>
      </c>
      <c r="AA4">
        <v>-1.0230911</v>
      </c>
      <c r="AB4">
        <v>-0.35076020000000002</v>
      </c>
      <c r="AC4">
        <v>-1.0451555000000001</v>
      </c>
      <c r="AD4">
        <v>-0.3631683</v>
      </c>
      <c r="AE4">
        <v>-1.0737596666666669</v>
      </c>
      <c r="AF4">
        <v>-0.37842196666666666</v>
      </c>
      <c r="AG4">
        <v>-1.0944136666666666</v>
      </c>
      <c r="AH4">
        <v>-0.38811243333333334</v>
      </c>
      <c r="AI4">
        <v>-1.1025316666666665</v>
      </c>
      <c r="AJ4">
        <v>-0.39414933333333335</v>
      </c>
      <c r="AK4">
        <v>-1.1063333333333332</v>
      </c>
      <c r="AL4">
        <v>-0.40026656666666671</v>
      </c>
      <c r="AM4">
        <v>-1.1032609999999998</v>
      </c>
      <c r="AN4">
        <v>-0.37878829999999997</v>
      </c>
      <c r="AO4">
        <v>-1.1933653333333332</v>
      </c>
      <c r="AP4">
        <v>-0.32166053333333333</v>
      </c>
      <c r="AQ4">
        <v>-1.6512016666666667</v>
      </c>
      <c r="AR4">
        <v>-0.26828293333333331</v>
      </c>
      <c r="AS4">
        <v>-1.7088619999999999</v>
      </c>
      <c r="AT4">
        <v>-0.26152119999999995</v>
      </c>
      <c r="AU4">
        <v>-1.5907543333333334</v>
      </c>
      <c r="AV4">
        <v>-0.25791986666666661</v>
      </c>
      <c r="AW4">
        <v>-1.4097449999999998</v>
      </c>
      <c r="AX4">
        <v>-0.25925720000000002</v>
      </c>
      <c r="AY4">
        <v>-1.2353396666666667</v>
      </c>
      <c r="AZ4">
        <v>-0.25134230000000002</v>
      </c>
    </row>
    <row r="5" spans="1:52" x14ac:dyDescent="0.2">
      <c r="A5" t="s">
        <v>1987</v>
      </c>
      <c r="B5" t="s">
        <v>1484</v>
      </c>
      <c r="C5">
        <v>4</v>
      </c>
      <c r="E5">
        <v>-1.0990246666666665</v>
      </c>
      <c r="F5">
        <v>-0.23301526666666666</v>
      </c>
      <c r="G5">
        <v>-1.050573</v>
      </c>
      <c r="H5">
        <v>-0.23000866666666667</v>
      </c>
      <c r="I5">
        <v>-1.0240870666666666</v>
      </c>
      <c r="J5">
        <v>-0.2253173</v>
      </c>
      <c r="K5">
        <v>-1.0058748999999998</v>
      </c>
      <c r="L5">
        <v>-0.21990893333333333</v>
      </c>
      <c r="M5">
        <v>-0.99569206666666654</v>
      </c>
      <c r="N5">
        <v>-0.21076103333333335</v>
      </c>
      <c r="O5">
        <v>-1.0089782333333335</v>
      </c>
      <c r="P5">
        <v>-0.19920453333333329</v>
      </c>
      <c r="Q5">
        <v>-1.1211683333333335</v>
      </c>
      <c r="R5">
        <v>-0.197077</v>
      </c>
      <c r="S5">
        <v>-1.145508</v>
      </c>
      <c r="T5">
        <v>-0.27439136666666664</v>
      </c>
      <c r="U5">
        <v>-1.1200296666666667</v>
      </c>
      <c r="V5">
        <v>-0.40257130000000008</v>
      </c>
      <c r="W5">
        <v>-1.0509536666666668</v>
      </c>
      <c r="X5">
        <v>-0.36721673333333332</v>
      </c>
      <c r="Y5">
        <v>-1.0142128333333331</v>
      </c>
      <c r="Z5">
        <v>-0.33199680000000009</v>
      </c>
      <c r="AA5">
        <v>-1.0157051333333333</v>
      </c>
      <c r="AB5">
        <v>-0.3231324333333333</v>
      </c>
      <c r="AC5">
        <v>-1.0497153333333333</v>
      </c>
      <c r="AD5">
        <v>-0.33738763333333333</v>
      </c>
      <c r="AE5">
        <v>-1.0828219999999997</v>
      </c>
      <c r="AF5">
        <v>-0.34199150000000006</v>
      </c>
      <c r="AG5">
        <v>-1.1140403333333331</v>
      </c>
      <c r="AH5">
        <v>-0.35766500000000001</v>
      </c>
      <c r="AI5">
        <v>-1.1265059999999998</v>
      </c>
      <c r="AJ5">
        <v>-0.36982133333333334</v>
      </c>
      <c r="AK5">
        <v>-1.1357636666666666</v>
      </c>
      <c r="AL5">
        <v>-0.37998880000000002</v>
      </c>
      <c r="AM5">
        <v>-1.1312733333333331</v>
      </c>
      <c r="AN5">
        <v>-0.3676368333333333</v>
      </c>
      <c r="AO5">
        <v>-1.2179489999999997</v>
      </c>
      <c r="AP5">
        <v>-0.30705166666666661</v>
      </c>
      <c r="AQ5">
        <v>-1.6958340000000003</v>
      </c>
      <c r="AR5">
        <v>-0.25465273333333338</v>
      </c>
      <c r="AS5">
        <v>-1.7551780000000001</v>
      </c>
      <c r="AT5">
        <v>-0.24584126666666667</v>
      </c>
      <c r="AU5">
        <v>-1.6307416666666665</v>
      </c>
      <c r="AV5">
        <v>-0.24740506666666667</v>
      </c>
      <c r="AW5">
        <v>-1.4141739999999998</v>
      </c>
      <c r="AX5">
        <v>-0.24308703333333334</v>
      </c>
      <c r="AY5">
        <v>-1.2096973333333334</v>
      </c>
      <c r="AZ5">
        <v>-0.23750809999999997</v>
      </c>
    </row>
    <row r="6" spans="1:52" x14ac:dyDescent="0.2">
      <c r="A6" t="s">
        <v>1987</v>
      </c>
      <c r="B6" t="s">
        <v>1484</v>
      </c>
      <c r="C6">
        <v>5</v>
      </c>
      <c r="E6">
        <v>-1.0908154166666666</v>
      </c>
      <c r="F6">
        <v>-0.24918900000000002</v>
      </c>
      <c r="G6">
        <v>-1.0411192499999999</v>
      </c>
      <c r="H6">
        <v>-0.244276875</v>
      </c>
      <c r="I6">
        <v>-1.0134595416666667</v>
      </c>
      <c r="J6">
        <v>-0.23999050000000002</v>
      </c>
      <c r="K6">
        <v>-0.99717820833333326</v>
      </c>
      <c r="L6">
        <v>-0.23892095833333335</v>
      </c>
      <c r="M6">
        <v>-0.99095575000000014</v>
      </c>
      <c r="N6">
        <v>-0.23743029166666665</v>
      </c>
      <c r="O6">
        <v>-1.0023656666666667</v>
      </c>
      <c r="P6">
        <v>-0.23059241666666663</v>
      </c>
      <c r="Q6">
        <v>-1.0882065833333332</v>
      </c>
      <c r="R6">
        <v>-0.22846116666666669</v>
      </c>
      <c r="S6">
        <v>-1.0798424999999998</v>
      </c>
      <c r="T6">
        <v>-0.29146479166666661</v>
      </c>
      <c r="U6">
        <v>-1.1055466666666667</v>
      </c>
      <c r="V6">
        <v>-0.4150875</v>
      </c>
      <c r="W6">
        <v>-1.0549854166666666</v>
      </c>
      <c r="X6">
        <v>-0.39024383333333335</v>
      </c>
      <c r="Y6">
        <v>-1.0127234166666665</v>
      </c>
      <c r="Z6">
        <v>-0.34826987500000001</v>
      </c>
      <c r="AA6">
        <v>-1.022915625</v>
      </c>
      <c r="AB6">
        <v>-0.35384150000000003</v>
      </c>
      <c r="AC6">
        <v>-1.059679625</v>
      </c>
      <c r="AD6">
        <v>-0.38489812499999998</v>
      </c>
      <c r="AE6">
        <v>-1.0934008333333334</v>
      </c>
      <c r="AF6">
        <v>-0.39522737500000005</v>
      </c>
      <c r="AG6">
        <v>-1.1175095833333333</v>
      </c>
      <c r="AH6">
        <v>-0.40142425000000004</v>
      </c>
      <c r="AI6">
        <v>-1.1307620833333334</v>
      </c>
      <c r="AJ6">
        <v>-0.416289625</v>
      </c>
      <c r="AK6">
        <v>-1.1374075000000001</v>
      </c>
      <c r="AL6">
        <v>-0.42858358333333335</v>
      </c>
      <c r="AM6">
        <v>-1.1218312500000001</v>
      </c>
      <c r="AN6">
        <v>-0.40516145833333334</v>
      </c>
      <c r="AO6">
        <v>-1.2002329166666668</v>
      </c>
      <c r="AP6">
        <v>-0.34644549999999996</v>
      </c>
      <c r="AQ6">
        <v>-1.6534829166666667</v>
      </c>
      <c r="AR6">
        <v>-0.287486625</v>
      </c>
      <c r="AS6">
        <v>-1.7205379166666668</v>
      </c>
      <c r="AT6">
        <v>-0.28190495833333329</v>
      </c>
      <c r="AU6">
        <v>-1.6004245833333333</v>
      </c>
      <c r="AV6">
        <v>-0.28514162499999995</v>
      </c>
      <c r="AW6">
        <v>-1.4008912499999999</v>
      </c>
      <c r="AX6">
        <v>-0.27963612500000001</v>
      </c>
      <c r="AY6">
        <v>-1.2117004166666665</v>
      </c>
      <c r="AZ6">
        <v>-0.26865887499999996</v>
      </c>
    </row>
  </sheetData>
  <conditionalFormatting sqref="E2:AZ6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5" enableFormatConditionsCalculation="0">
    <tabColor theme="5" tint="-0.249977111117893"/>
  </sheetPr>
  <dimension ref="A1"/>
  <sheetViews>
    <sheetView workbookViewId="0">
      <selection activeCell="D6" sqref="D6"/>
    </sheetView>
  </sheetViews>
  <sheetFormatPr baseColWidth="10" defaultRowHeight="15" x14ac:dyDescent="0.2"/>
  <sheetData>
    <row r="1" spans="1:1" s="59" customFormat="1" x14ac:dyDescent="0.2">
      <c r="A1" s="62" t="s">
        <v>1984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>
    <tabColor theme="5" tint="-0.249977111117893"/>
  </sheetPr>
  <dimension ref="A1:BE47"/>
  <sheetViews>
    <sheetView zoomScale="54" workbookViewId="0">
      <selection activeCell="A2" sqref="A2:XFD47"/>
    </sheetView>
  </sheetViews>
  <sheetFormatPr baseColWidth="10" defaultColWidth="11.5" defaultRowHeight="15" x14ac:dyDescent="0.2"/>
  <cols>
    <col min="4" max="4" width="13.5" customWidth="1"/>
  </cols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s="19" customFormat="1" x14ac:dyDescent="0.2">
      <c r="A2" s="17" t="s">
        <v>1987</v>
      </c>
      <c r="B2" s="17" t="s">
        <v>1484</v>
      </c>
      <c r="C2" s="17">
        <v>1</v>
      </c>
      <c r="D2" s="18">
        <v>42389</v>
      </c>
      <c r="E2" s="17">
        <v>-1.10422</v>
      </c>
      <c r="F2" s="17">
        <v>-0.18992983333333333</v>
      </c>
      <c r="G2" s="17">
        <v>-1.0608299999999999</v>
      </c>
      <c r="H2" s="17">
        <v>-0.188217</v>
      </c>
      <c r="I2" s="17">
        <v>-1.0317216666666666</v>
      </c>
      <c r="J2" s="17">
        <v>-0.17919983333333334</v>
      </c>
      <c r="K2" s="17">
        <v>-1.0176516666666666</v>
      </c>
      <c r="L2" s="17">
        <v>-0.172761</v>
      </c>
      <c r="M2" s="17">
        <v>-1.0177849999999999</v>
      </c>
      <c r="N2" s="17">
        <v>-0.17635600000000001</v>
      </c>
      <c r="O2" s="17">
        <v>-1.0369350000000002</v>
      </c>
      <c r="P2" s="17">
        <v>-0.166515</v>
      </c>
      <c r="Q2" s="17">
        <v>-1.1570183333333335</v>
      </c>
      <c r="R2" s="17">
        <v>-0.16582183333333333</v>
      </c>
      <c r="S2" s="17">
        <v>-1.2357333333333334</v>
      </c>
      <c r="T2" s="17">
        <v>-0.23412849999999999</v>
      </c>
      <c r="U2" s="17">
        <v>-1.1813816666666666</v>
      </c>
      <c r="V2" s="17">
        <v>-0.35397666666666666</v>
      </c>
      <c r="W2" s="17">
        <v>-0.87498783333333319</v>
      </c>
      <c r="X2" s="17">
        <v>-0.3594121666666667</v>
      </c>
      <c r="Y2" s="17">
        <v>-1.5370816666666667</v>
      </c>
      <c r="Z2" s="17">
        <v>-0.51394816666666665</v>
      </c>
      <c r="AA2" s="17">
        <v>-1.5037716666666667</v>
      </c>
      <c r="AB2" s="17">
        <v>-0.498253</v>
      </c>
      <c r="AC2" s="17">
        <v>-1.4979166666666668</v>
      </c>
      <c r="AD2" s="17">
        <v>-0.4922005000000001</v>
      </c>
      <c r="AE2" s="17">
        <v>-1.5374316666666665</v>
      </c>
      <c r="AF2" s="17">
        <v>-0.50935733333333333</v>
      </c>
      <c r="AG2" s="17">
        <v>-1.0179279999999999</v>
      </c>
      <c r="AH2" s="17">
        <v>-0.33612066666666668</v>
      </c>
      <c r="AI2" s="17">
        <v>-1.091545</v>
      </c>
      <c r="AJ2" s="17">
        <v>-0.30893633333333337</v>
      </c>
      <c r="AK2" s="17">
        <v>-1.108595</v>
      </c>
      <c r="AL2" s="17">
        <v>-0.30889933333333336</v>
      </c>
      <c r="AM2" s="17">
        <v>-1.1176966666666668</v>
      </c>
      <c r="AN2" s="17">
        <v>-0.28794116666666669</v>
      </c>
      <c r="AO2" s="17">
        <v>-1.2315916666666664</v>
      </c>
      <c r="AP2" s="17">
        <v>-0.22273099999999998</v>
      </c>
      <c r="AQ2" s="17">
        <v>-1.7123299999999999</v>
      </c>
      <c r="AR2" s="17">
        <v>-0.17845849999999999</v>
      </c>
      <c r="AS2" s="17">
        <v>-1.74455</v>
      </c>
      <c r="AT2" s="17">
        <v>-0.17788116666666667</v>
      </c>
      <c r="AU2" s="17">
        <v>-1.6186450000000001</v>
      </c>
      <c r="AV2" s="17">
        <v>-0.189218</v>
      </c>
      <c r="AW2" s="17">
        <v>-1.3808233333333335</v>
      </c>
      <c r="AX2" s="17">
        <v>-0.17831733333333333</v>
      </c>
      <c r="AY2" s="17">
        <v>-1.1763966666666668</v>
      </c>
      <c r="AZ2" s="17">
        <v>-0.18299766666666664</v>
      </c>
      <c r="BA2" s="21"/>
      <c r="BB2" s="21"/>
      <c r="BC2" s="21"/>
      <c r="BD2" s="21"/>
      <c r="BE2" s="21"/>
    </row>
    <row r="3" spans="1:57" x14ac:dyDescent="0.2">
      <c r="A3" t="s">
        <v>1987</v>
      </c>
      <c r="B3" t="s">
        <v>1484</v>
      </c>
      <c r="C3">
        <v>1</v>
      </c>
      <c r="D3" s="5">
        <v>42396</v>
      </c>
      <c r="E3">
        <v>-1.0630833333333332</v>
      </c>
      <c r="F3">
        <v>-0.24030650000000001</v>
      </c>
      <c r="G3">
        <v>-1.0156833333333333</v>
      </c>
      <c r="H3">
        <v>-0.23181949999999998</v>
      </c>
      <c r="I3">
        <v>-0.99088833333333337</v>
      </c>
      <c r="J3">
        <v>-0.23096516666666669</v>
      </c>
      <c r="K3">
        <v>-0.97940250000000006</v>
      </c>
      <c r="L3">
        <v>-0.22963233333333335</v>
      </c>
      <c r="M3">
        <v>-0.98024100000000003</v>
      </c>
      <c r="N3">
        <v>-0.23162249999999998</v>
      </c>
      <c r="O3">
        <v>-0.99763999999999997</v>
      </c>
      <c r="P3">
        <v>-0.22632150000000001</v>
      </c>
      <c r="Q3">
        <v>-1.1005733333333334</v>
      </c>
      <c r="R3">
        <v>-0.21947216666666666</v>
      </c>
      <c r="S3">
        <v>-1.15046</v>
      </c>
      <c r="T3">
        <v>-0.30722133333333335</v>
      </c>
      <c r="U3">
        <v>-1.1265066666666668</v>
      </c>
      <c r="V3">
        <v>-0.43153616666666672</v>
      </c>
      <c r="W3">
        <v>-1.0518149999999997</v>
      </c>
      <c r="X3">
        <v>-0.40220083333333334</v>
      </c>
      <c r="Y3">
        <v>-0.98370100000000005</v>
      </c>
      <c r="Z3">
        <v>-0.35040966666666667</v>
      </c>
      <c r="AA3">
        <v>-0.97971566666666665</v>
      </c>
      <c r="AB3">
        <v>-0.33825783333333331</v>
      </c>
      <c r="AC3">
        <v>-1.0041528333333332</v>
      </c>
      <c r="AD3">
        <v>-0.34635349999999998</v>
      </c>
      <c r="AE3">
        <v>-1.0345783333333332</v>
      </c>
      <c r="AF3">
        <v>-0.34615883333333336</v>
      </c>
      <c r="AG3">
        <v>-1.06975</v>
      </c>
      <c r="AH3">
        <v>-0.3665255</v>
      </c>
      <c r="AI3">
        <v>-1.114525</v>
      </c>
      <c r="AJ3">
        <v>-0.42167333333333334</v>
      </c>
      <c r="AK3">
        <v>-1.1344316666666665</v>
      </c>
      <c r="AL3">
        <v>-0.44675950000000009</v>
      </c>
      <c r="AM3">
        <v>-1.1131666666666666</v>
      </c>
      <c r="AN3">
        <v>-0.40082833333333334</v>
      </c>
      <c r="AO3">
        <v>-1.1974133333333332</v>
      </c>
      <c r="AP3">
        <v>-0.35391083333333329</v>
      </c>
      <c r="AQ3">
        <v>-1.7200616666666666</v>
      </c>
      <c r="AR3">
        <v>-0.28823549999999998</v>
      </c>
      <c r="AS3">
        <v>-1.741655</v>
      </c>
      <c r="AT3">
        <v>-0.27851216666666673</v>
      </c>
      <c r="AU3">
        <v>-1.6053733333333333</v>
      </c>
      <c r="AV3">
        <v>-0.27837033333333333</v>
      </c>
      <c r="AW3">
        <v>-1.3801016666666668</v>
      </c>
      <c r="AX3">
        <v>-0.27288166666666663</v>
      </c>
      <c r="AY3">
        <v>-1.1753016666666667</v>
      </c>
      <c r="AZ3">
        <v>-0.27320583333333337</v>
      </c>
    </row>
    <row r="4" spans="1:57" x14ac:dyDescent="0.2">
      <c r="A4" t="s">
        <v>1987</v>
      </c>
      <c r="B4" t="s">
        <v>1484</v>
      </c>
      <c r="C4">
        <v>1</v>
      </c>
      <c r="D4" s="5">
        <v>42410</v>
      </c>
      <c r="E4">
        <v>-1.1185099999999999</v>
      </c>
      <c r="F4">
        <v>-0.27745166666666665</v>
      </c>
      <c r="G4">
        <v>-1.0714016666666666</v>
      </c>
      <c r="H4">
        <v>-0.27687183333333332</v>
      </c>
      <c r="I4">
        <v>-1.0493333333333335</v>
      </c>
      <c r="J4">
        <v>-0.27304983333333332</v>
      </c>
      <c r="K4">
        <v>-1.0318816666666666</v>
      </c>
      <c r="L4">
        <v>-0.27242633333333333</v>
      </c>
      <c r="M4">
        <v>-1.0110166666666665</v>
      </c>
      <c r="N4">
        <v>-0.23525650000000004</v>
      </c>
      <c r="O4">
        <v>-1.02817</v>
      </c>
      <c r="P4">
        <v>-0.2279511666666667</v>
      </c>
      <c r="Q4">
        <v>-1.1430433333333332</v>
      </c>
      <c r="R4">
        <v>-0.22679416666666666</v>
      </c>
      <c r="S4">
        <v>-1.1685683333333334</v>
      </c>
      <c r="T4">
        <v>-0.32088366666666668</v>
      </c>
      <c r="U4">
        <v>-1.1226083333333334</v>
      </c>
      <c r="V4">
        <v>-0.43719866666666668</v>
      </c>
      <c r="W4">
        <v>-1.0246901666666666</v>
      </c>
      <c r="X4">
        <v>-0.39008050000000005</v>
      </c>
      <c r="Y4">
        <v>-0.98316283333333332</v>
      </c>
      <c r="Z4">
        <v>-0.34364016666666664</v>
      </c>
      <c r="AA4">
        <v>-1.0007079999999999</v>
      </c>
      <c r="AB4">
        <v>-0.36641583333333327</v>
      </c>
      <c r="AC4">
        <v>-1.033615</v>
      </c>
      <c r="AD4">
        <v>-0.37175900000000001</v>
      </c>
      <c r="AE4">
        <v>-1.075908333333333</v>
      </c>
      <c r="AF4">
        <v>-0.3969448333333333</v>
      </c>
      <c r="AG4">
        <v>-1.1185966666666667</v>
      </c>
      <c r="AH4">
        <v>-0.42376966666666666</v>
      </c>
      <c r="AI4">
        <v>-1.1377149999999998</v>
      </c>
      <c r="AJ4">
        <v>-0.44443550000000004</v>
      </c>
      <c r="AK4">
        <v>-1.14297</v>
      </c>
      <c r="AL4">
        <v>-0.4526278333333334</v>
      </c>
      <c r="AM4">
        <v>-1.1235016666666668</v>
      </c>
      <c r="AN4">
        <v>-0.4179673333333333</v>
      </c>
      <c r="AO4">
        <v>-1.1769799999999999</v>
      </c>
      <c r="AP4">
        <v>-0.34796316666666666</v>
      </c>
      <c r="AQ4">
        <v>-1.6694633333333331</v>
      </c>
      <c r="AR4">
        <v>-0.27369549999999998</v>
      </c>
      <c r="AS4">
        <v>-1.744</v>
      </c>
      <c r="AT4">
        <v>-0.26361733333333331</v>
      </c>
      <c r="AU4">
        <v>-1.6413616666666666</v>
      </c>
      <c r="AV4">
        <v>-0.26696949999999997</v>
      </c>
      <c r="AW4">
        <v>-1.4279716666666666</v>
      </c>
      <c r="AX4">
        <v>-0.27645816666666667</v>
      </c>
      <c r="AY4">
        <v>-1.2196116666666668</v>
      </c>
      <c r="AZ4">
        <v>-0.27555150000000006</v>
      </c>
    </row>
    <row r="5" spans="1:57" x14ac:dyDescent="0.2">
      <c r="A5" t="s">
        <v>1987</v>
      </c>
      <c r="B5" t="s">
        <v>1484</v>
      </c>
      <c r="C5">
        <v>1</v>
      </c>
      <c r="D5" s="5">
        <v>42417</v>
      </c>
      <c r="E5">
        <v>-1.14821</v>
      </c>
      <c r="F5">
        <v>-0.29791666666666666</v>
      </c>
      <c r="G5">
        <v>-1.09802</v>
      </c>
      <c r="H5">
        <v>-0.29749633333333325</v>
      </c>
      <c r="I5">
        <v>-1.0430566666666665</v>
      </c>
      <c r="J5">
        <v>-0.24274949999999998</v>
      </c>
      <c r="K5">
        <v>-1.0261800000000001</v>
      </c>
      <c r="L5">
        <v>-0.23595100000000002</v>
      </c>
      <c r="M5">
        <v>-1.0173683333333334</v>
      </c>
      <c r="N5">
        <v>-0.23230366666666669</v>
      </c>
      <c r="O5">
        <v>-1.0370466666666667</v>
      </c>
      <c r="P5">
        <v>-0.22642316666666668</v>
      </c>
      <c r="Q5">
        <v>-1.14375</v>
      </c>
      <c r="R5">
        <v>-0.21339716666666664</v>
      </c>
      <c r="S5">
        <v>-1.1448416666666668</v>
      </c>
      <c r="T5">
        <v>-0.31218766666666664</v>
      </c>
      <c r="U5">
        <v>-1.10307</v>
      </c>
      <c r="V5">
        <v>-0.42693116666666675</v>
      </c>
      <c r="W5">
        <v>-1.0303383333333334</v>
      </c>
      <c r="X5">
        <v>-0.38641349999999997</v>
      </c>
      <c r="Y5">
        <v>-1.0118633333333333</v>
      </c>
      <c r="Z5">
        <v>-0.36719583333333339</v>
      </c>
      <c r="AA5">
        <v>-1.0187983333333333</v>
      </c>
      <c r="AB5">
        <v>-0.36282416666666673</v>
      </c>
      <c r="AC5">
        <v>-1.0591300000000001</v>
      </c>
      <c r="AD5">
        <v>-0.37372883333333334</v>
      </c>
      <c r="AE5">
        <v>-1.1235783333333333</v>
      </c>
      <c r="AF5">
        <v>-0.40672983333333329</v>
      </c>
      <c r="AG5">
        <v>-1.1545666666666665</v>
      </c>
      <c r="AH5">
        <v>-0.41297350000000005</v>
      </c>
      <c r="AI5">
        <v>-1.154555</v>
      </c>
      <c r="AJ5">
        <v>-0.41443916666666658</v>
      </c>
      <c r="AK5">
        <v>-1.1670783333333334</v>
      </c>
      <c r="AL5">
        <v>-0.43368516666666662</v>
      </c>
      <c r="AM5">
        <v>-1.1585300000000001</v>
      </c>
      <c r="AN5">
        <v>-0.42757766666666663</v>
      </c>
      <c r="AO5">
        <v>-1.1827083333333333</v>
      </c>
      <c r="AP5">
        <v>-0.37982433333333343</v>
      </c>
      <c r="AQ5">
        <v>-1.6865900000000003</v>
      </c>
      <c r="AR5">
        <v>-0.3116505</v>
      </c>
      <c r="AS5">
        <v>-1.8037483333333333</v>
      </c>
      <c r="AT5">
        <v>-0.30311149999999998</v>
      </c>
      <c r="AU5">
        <v>-1.6992716666666665</v>
      </c>
      <c r="AV5">
        <v>-0.29933033333333331</v>
      </c>
      <c r="AW5">
        <v>-1.4959683333333333</v>
      </c>
      <c r="AX5">
        <v>-0.29464699999999999</v>
      </c>
      <c r="AY5">
        <v>-1.2868466666666665</v>
      </c>
      <c r="AZ5">
        <v>-0.29741333333333336</v>
      </c>
    </row>
    <row r="6" spans="1:57" x14ac:dyDescent="0.2">
      <c r="A6" t="s">
        <v>1987</v>
      </c>
      <c r="B6" t="s">
        <v>1484</v>
      </c>
      <c r="C6">
        <v>1</v>
      </c>
      <c r="D6" s="5">
        <v>42424</v>
      </c>
      <c r="E6">
        <v>-1.0795216666666665</v>
      </c>
      <c r="F6">
        <v>-0.24869750000000002</v>
      </c>
      <c r="G6">
        <v>-1.0294133333333333</v>
      </c>
      <c r="H6">
        <v>-0.23881000000000002</v>
      </c>
      <c r="I6">
        <v>-1.003341</v>
      </c>
      <c r="J6">
        <v>-0.23747733333333335</v>
      </c>
      <c r="K6">
        <v>-0.9701225</v>
      </c>
      <c r="L6">
        <v>-0.20787166666666668</v>
      </c>
      <c r="M6">
        <v>-0.96562133333333333</v>
      </c>
      <c r="N6">
        <v>-0.20744533333333334</v>
      </c>
      <c r="O6">
        <v>-0.97411683333333354</v>
      </c>
      <c r="P6">
        <v>-0.19313183333333334</v>
      </c>
      <c r="Q6">
        <v>-1.08222</v>
      </c>
      <c r="R6">
        <v>-0.19030750000000002</v>
      </c>
      <c r="S6">
        <v>-1.0634683333333332</v>
      </c>
      <c r="T6">
        <v>-0.26538633333333334</v>
      </c>
      <c r="U6">
        <v>-1.0401866666666668</v>
      </c>
      <c r="V6">
        <v>-0.37535716666666669</v>
      </c>
      <c r="W6">
        <v>-0.97757683333333345</v>
      </c>
      <c r="X6">
        <v>-0.35432516666666669</v>
      </c>
      <c r="Y6">
        <v>-0.96348066666666665</v>
      </c>
      <c r="Z6">
        <v>-0.32961216666666665</v>
      </c>
      <c r="AA6">
        <v>-0.97081916666666679</v>
      </c>
      <c r="AB6">
        <v>-0.3136173333333333</v>
      </c>
      <c r="AC6">
        <v>-0.99676716666666654</v>
      </c>
      <c r="AD6">
        <v>-0.32092366666666672</v>
      </c>
      <c r="AE6">
        <v>-1.0769616666666668</v>
      </c>
      <c r="AF6">
        <v>-0.3480833333333333</v>
      </c>
      <c r="AG6">
        <v>-1.1119516666666667</v>
      </c>
      <c r="AH6">
        <v>-0.3594708333333333</v>
      </c>
      <c r="AI6">
        <v>-1.1371883333333332</v>
      </c>
      <c r="AJ6">
        <v>-0.39269466666666658</v>
      </c>
      <c r="AK6">
        <v>-1.1451283333333333</v>
      </c>
      <c r="AL6">
        <v>-0.39507316666666664</v>
      </c>
      <c r="AM6">
        <v>-1.1367666666666667</v>
      </c>
      <c r="AN6">
        <v>-0.38881183333333336</v>
      </c>
      <c r="AO6">
        <v>-1.1469733333333334</v>
      </c>
      <c r="AP6">
        <v>-0.33972049999999998</v>
      </c>
      <c r="AQ6">
        <v>-1.6375966666666666</v>
      </c>
      <c r="AR6">
        <v>-0.28459566666666664</v>
      </c>
      <c r="AS6">
        <v>-1.7644249999999999</v>
      </c>
      <c r="AT6">
        <v>-0.27957966666666667</v>
      </c>
      <c r="AU6">
        <v>-1.6555849999999999</v>
      </c>
      <c r="AV6">
        <v>-0.28244516666666664</v>
      </c>
      <c r="AW6">
        <v>-1.4265283333333334</v>
      </c>
      <c r="AX6">
        <v>-0.25890883333333337</v>
      </c>
      <c r="AY6">
        <v>-1.2118583333333333</v>
      </c>
      <c r="AZ6">
        <v>-0.25422400000000006</v>
      </c>
    </row>
    <row r="7" spans="1:57" x14ac:dyDescent="0.2">
      <c r="A7" t="s">
        <v>1987</v>
      </c>
      <c r="B7" t="s">
        <v>1484</v>
      </c>
      <c r="C7">
        <v>2</v>
      </c>
      <c r="D7" s="5">
        <v>42393</v>
      </c>
      <c r="E7">
        <v>-1.1424783333333333</v>
      </c>
      <c r="F7">
        <v>-0.17019133333333331</v>
      </c>
      <c r="G7">
        <v>-1.0892316666666666</v>
      </c>
      <c r="H7">
        <v>-0.17500183333333333</v>
      </c>
      <c r="I7">
        <v>-1.0577066666666668</v>
      </c>
      <c r="J7">
        <v>-0.17550416666666668</v>
      </c>
      <c r="K7">
        <v>-1.0329633333333335</v>
      </c>
      <c r="L7">
        <v>-0.17878016666666668</v>
      </c>
      <c r="M7">
        <v>-1.019075</v>
      </c>
      <c r="N7">
        <v>-0.17413583333333335</v>
      </c>
      <c r="O7">
        <v>-1.0202849999999999</v>
      </c>
      <c r="P7">
        <v>-0.17012033333333332</v>
      </c>
      <c r="Q7">
        <v>-1.0529566666666668</v>
      </c>
      <c r="R7">
        <v>-0.16436283333333332</v>
      </c>
      <c r="S7">
        <v>-1.0692650000000001</v>
      </c>
      <c r="T7">
        <v>-0.19923450000000004</v>
      </c>
      <c r="U7">
        <v>-1.0903583333333333</v>
      </c>
      <c r="V7">
        <v>-0.31978783333333338</v>
      </c>
      <c r="W7">
        <v>-1.0876666666666668</v>
      </c>
      <c r="X7">
        <v>-0.33494000000000002</v>
      </c>
      <c r="Y7">
        <v>-1.0368783333333333</v>
      </c>
      <c r="Z7">
        <v>-0.29109350000000001</v>
      </c>
      <c r="AA7">
        <v>-1.0214499999999997</v>
      </c>
      <c r="AB7">
        <v>-0.30941666666666667</v>
      </c>
      <c r="AC7">
        <v>-1.0172766666666666</v>
      </c>
      <c r="AD7">
        <v>-0.3645653333333333</v>
      </c>
      <c r="AE7">
        <v>-1.0219498333333334</v>
      </c>
      <c r="AF7">
        <v>-0.36113383333333332</v>
      </c>
      <c r="AG7">
        <v>-1.0519700000000001</v>
      </c>
      <c r="AH7">
        <v>-0.37405516666666672</v>
      </c>
      <c r="AI7">
        <v>-1.0786383333333334</v>
      </c>
      <c r="AJ7">
        <v>-0.39714783333333326</v>
      </c>
      <c r="AK7">
        <v>-1.0870916666666668</v>
      </c>
      <c r="AL7">
        <v>-0.40911866666666669</v>
      </c>
      <c r="AM7">
        <v>-1.0731916666666665</v>
      </c>
      <c r="AN7">
        <v>-0.37053150000000001</v>
      </c>
      <c r="AO7">
        <v>-1.2092266666666667</v>
      </c>
      <c r="AP7">
        <v>-0.32105366666666663</v>
      </c>
      <c r="AQ7">
        <v>-1.7006466666666666</v>
      </c>
      <c r="AR7">
        <v>-0.27688166666666664</v>
      </c>
      <c r="AS7">
        <v>-1.7273666666666667</v>
      </c>
      <c r="AT7">
        <v>-0.27305933333333338</v>
      </c>
      <c r="AU7">
        <v>-1.6069633333333333</v>
      </c>
      <c r="AV7">
        <v>-0.27648716666666662</v>
      </c>
      <c r="AW7">
        <v>-1.4025000000000001</v>
      </c>
      <c r="AX7">
        <v>-0.26290466666666662</v>
      </c>
      <c r="AY7">
        <v>-1.2062233333333336</v>
      </c>
      <c r="AZ7">
        <v>-0.27398083333333334</v>
      </c>
    </row>
    <row r="8" spans="1:57" x14ac:dyDescent="0.2">
      <c r="A8" t="s">
        <v>1987</v>
      </c>
      <c r="B8" t="s">
        <v>1484</v>
      </c>
      <c r="C8">
        <v>2</v>
      </c>
      <c r="D8" s="5">
        <v>42400</v>
      </c>
      <c r="E8">
        <v>-1.1114183333333334</v>
      </c>
      <c r="F8">
        <v>-0.26363350000000002</v>
      </c>
      <c r="G8">
        <v>-1.0493433333333335</v>
      </c>
      <c r="H8">
        <v>-0.25347649999999999</v>
      </c>
      <c r="I8">
        <v>-1.0066030000000001</v>
      </c>
      <c r="J8">
        <v>-0.22792133333333334</v>
      </c>
      <c r="K8">
        <v>-0.98689916666666666</v>
      </c>
      <c r="L8">
        <v>-0.22522299999999998</v>
      </c>
      <c r="M8">
        <v>-0.97927533333333339</v>
      </c>
      <c r="N8">
        <v>-0.22567516666666665</v>
      </c>
      <c r="O8">
        <v>-0.9864575000000001</v>
      </c>
      <c r="P8">
        <v>-0.22244866666666666</v>
      </c>
      <c r="Q8">
        <v>-1.0361583333333333</v>
      </c>
      <c r="R8">
        <v>-0.2304795</v>
      </c>
      <c r="S8">
        <v>-1.0284253333333333</v>
      </c>
      <c r="T8">
        <v>-0.26582983333333327</v>
      </c>
      <c r="U8">
        <v>-1.069285</v>
      </c>
      <c r="V8">
        <v>-0.37574466666666667</v>
      </c>
      <c r="W8">
        <v>-1.0641316666666665</v>
      </c>
      <c r="X8">
        <v>-0.38976583333333337</v>
      </c>
      <c r="Y8">
        <v>-1.0047113333333333</v>
      </c>
      <c r="Z8">
        <v>-0.33731749999999999</v>
      </c>
      <c r="AA8">
        <v>-1.0020728333333333</v>
      </c>
      <c r="AB8">
        <v>-0.33074083333333332</v>
      </c>
      <c r="AC8">
        <v>-1.0224733333333333</v>
      </c>
      <c r="AD8">
        <v>-0.34402133333333335</v>
      </c>
      <c r="AE8">
        <v>-1.0473283333333334</v>
      </c>
      <c r="AF8">
        <v>-0.35304850000000004</v>
      </c>
      <c r="AG8">
        <v>-1.073915</v>
      </c>
      <c r="AH8">
        <v>-0.36067249999999995</v>
      </c>
      <c r="AI8">
        <v>-1.0861566666666667</v>
      </c>
      <c r="AJ8">
        <v>-0.37022383333333331</v>
      </c>
      <c r="AK8">
        <v>-1.0869333333333333</v>
      </c>
      <c r="AL8">
        <v>-0.37985616666666672</v>
      </c>
      <c r="AM8">
        <v>-1.0505083333333334</v>
      </c>
      <c r="AN8">
        <v>-0.35568699999999998</v>
      </c>
      <c r="AO8">
        <v>-1.1064749999999999</v>
      </c>
      <c r="AP8">
        <v>-0.29522799999999999</v>
      </c>
      <c r="AQ8">
        <v>-1.5807099999999998</v>
      </c>
      <c r="AR8">
        <v>-0.24787283333333335</v>
      </c>
      <c r="AS8">
        <v>-1.6245183333333335</v>
      </c>
      <c r="AT8">
        <v>-0.23346066666666671</v>
      </c>
      <c r="AU8">
        <v>-1.5125283333333335</v>
      </c>
      <c r="AV8">
        <v>-0.23140916666666667</v>
      </c>
      <c r="AW8">
        <v>-1.31409</v>
      </c>
      <c r="AX8">
        <v>-0.22097066666666668</v>
      </c>
      <c r="AY8">
        <v>-1.1270633333333333</v>
      </c>
      <c r="AZ8">
        <v>-0.21294583333333333</v>
      </c>
    </row>
    <row r="9" spans="1:57" x14ac:dyDescent="0.2">
      <c r="A9" t="s">
        <v>1987</v>
      </c>
      <c r="B9" t="s">
        <v>1484</v>
      </c>
      <c r="C9">
        <v>2</v>
      </c>
      <c r="D9" s="5">
        <v>42414</v>
      </c>
      <c r="E9">
        <v>-1.0804050000000001</v>
      </c>
      <c r="F9">
        <v>-0.24230133333333334</v>
      </c>
      <c r="G9">
        <v>-1.022545</v>
      </c>
      <c r="H9">
        <v>-0.23594016666666667</v>
      </c>
      <c r="I9">
        <v>-0.98942983333333323</v>
      </c>
      <c r="J9">
        <v>-0.22439400000000001</v>
      </c>
      <c r="K9">
        <v>-0.97072600000000009</v>
      </c>
      <c r="L9">
        <v>-0.22434716666666668</v>
      </c>
      <c r="M9">
        <v>-0.96361966666666687</v>
      </c>
      <c r="N9">
        <v>-0.22362500000000002</v>
      </c>
      <c r="O9">
        <v>-0.96565999999999996</v>
      </c>
      <c r="P9">
        <v>-0.22165000000000001</v>
      </c>
      <c r="Q9">
        <v>-1.0037106666666666</v>
      </c>
      <c r="R9">
        <v>-0.21896200000000002</v>
      </c>
      <c r="S9">
        <v>-0.95914049999999995</v>
      </c>
      <c r="T9">
        <v>-0.25545849999999998</v>
      </c>
      <c r="U9">
        <v>-1.0491453333333334</v>
      </c>
      <c r="V9">
        <v>-0.40421766666666664</v>
      </c>
      <c r="W9">
        <v>-1.0464866666666668</v>
      </c>
      <c r="X9">
        <v>-0.41339849999999995</v>
      </c>
      <c r="Y9">
        <v>-1.0041175</v>
      </c>
      <c r="Z9">
        <v>-0.36086966666666664</v>
      </c>
      <c r="AA9">
        <v>-1.0065613333333332</v>
      </c>
      <c r="AB9">
        <v>-0.35651883333333334</v>
      </c>
      <c r="AC9">
        <v>-1.0232033333333332</v>
      </c>
      <c r="AD9">
        <v>-0.35926116666666669</v>
      </c>
      <c r="AE9">
        <v>-1.0551900000000001</v>
      </c>
      <c r="AF9">
        <v>-0.37596800000000002</v>
      </c>
      <c r="AG9">
        <v>-1.0798449999999999</v>
      </c>
      <c r="AH9">
        <v>-0.39384116666666663</v>
      </c>
      <c r="AI9">
        <v>-1.0979683333333334</v>
      </c>
      <c r="AJ9">
        <v>-0.41728083333333343</v>
      </c>
      <c r="AK9">
        <v>-1.1015583333333334</v>
      </c>
      <c r="AL9">
        <v>-0.4187718333333334</v>
      </c>
      <c r="AM9">
        <v>-1.0866499999999999</v>
      </c>
      <c r="AN9">
        <v>-0.40541350000000004</v>
      </c>
      <c r="AO9">
        <v>-1.1505666666666665</v>
      </c>
      <c r="AP9">
        <v>-0.35966533333333339</v>
      </c>
      <c r="AQ9">
        <v>-1.6550700000000005</v>
      </c>
      <c r="AR9">
        <v>-0.30275016666666671</v>
      </c>
      <c r="AS9">
        <v>-1.7407266666666665</v>
      </c>
      <c r="AT9">
        <v>-0.30112466666666665</v>
      </c>
      <c r="AU9">
        <v>-1.626555</v>
      </c>
      <c r="AV9">
        <v>-0.2918796666666667</v>
      </c>
      <c r="AW9">
        <v>-1.4031633333333331</v>
      </c>
      <c r="AX9">
        <v>-0.26920733333333335</v>
      </c>
      <c r="AY9">
        <v>-1.1999916666666666</v>
      </c>
      <c r="AZ9">
        <v>-0.25507183333333333</v>
      </c>
    </row>
    <row r="10" spans="1:57" x14ac:dyDescent="0.2">
      <c r="A10" t="s">
        <v>1987</v>
      </c>
      <c r="B10" t="s">
        <v>1484</v>
      </c>
      <c r="C10">
        <v>2</v>
      </c>
      <c r="D10" s="5">
        <v>42421</v>
      </c>
      <c r="E10">
        <v>-1.1501850000000002</v>
      </c>
      <c r="F10">
        <v>-0.27253183333333336</v>
      </c>
      <c r="G10">
        <v>-1.0912316666666668</v>
      </c>
      <c r="H10">
        <v>-0.27229033333333336</v>
      </c>
      <c r="I10">
        <v>-1.0580783333333332</v>
      </c>
      <c r="J10">
        <v>-0.26815916666666662</v>
      </c>
      <c r="K10">
        <v>-1.0398900000000002</v>
      </c>
      <c r="L10">
        <v>-0.26753283333333333</v>
      </c>
      <c r="M10">
        <v>-1.0262383333333334</v>
      </c>
      <c r="N10">
        <v>-0.26090649999999999</v>
      </c>
      <c r="O10">
        <v>-1.0255883333333333</v>
      </c>
      <c r="P10">
        <v>-0.25716783333333337</v>
      </c>
      <c r="Q10">
        <v>-1.0658966666666667</v>
      </c>
      <c r="R10">
        <v>-0.26081299999999996</v>
      </c>
      <c r="S10">
        <v>-1.0150275</v>
      </c>
      <c r="T10">
        <v>-0.31126900000000002</v>
      </c>
      <c r="U10">
        <v>-1.0832833333333334</v>
      </c>
      <c r="V10">
        <v>-0.43281200000000009</v>
      </c>
      <c r="W10">
        <v>-1.0624133333333334</v>
      </c>
      <c r="X10">
        <v>-0.40549066666666667</v>
      </c>
      <c r="Y10">
        <v>-1.0334216666666669</v>
      </c>
      <c r="Z10">
        <v>-0.3658628333333333</v>
      </c>
      <c r="AA10">
        <v>-1.0418033333333332</v>
      </c>
      <c r="AB10">
        <v>-0.36600233333333337</v>
      </c>
      <c r="AC10">
        <v>-1.0571966666666668</v>
      </c>
      <c r="AD10">
        <v>-0.36749999999999999</v>
      </c>
      <c r="AE10">
        <v>-1.0800933333333333</v>
      </c>
      <c r="AF10">
        <v>-0.37967333333333336</v>
      </c>
      <c r="AG10">
        <v>-1.1044616666666667</v>
      </c>
      <c r="AH10">
        <v>-0.3917706666666666</v>
      </c>
      <c r="AI10">
        <v>-1.1288550000000002</v>
      </c>
      <c r="AJ10">
        <v>-0.41237133333333331</v>
      </c>
      <c r="AK10">
        <v>-1.1265683333333334</v>
      </c>
      <c r="AL10">
        <v>-0.42165233333333341</v>
      </c>
      <c r="AM10">
        <v>-1.1078466666666666</v>
      </c>
      <c r="AN10">
        <v>-0.40758050000000001</v>
      </c>
      <c r="AO10">
        <v>-1.1504199999999998</v>
      </c>
      <c r="AP10">
        <v>-0.3717705</v>
      </c>
      <c r="AQ10">
        <v>-1.6334166666666667</v>
      </c>
      <c r="AR10">
        <v>-0.30218149999999999</v>
      </c>
      <c r="AS10">
        <v>-1.7634466666666666</v>
      </c>
      <c r="AT10">
        <v>-0.29439716666666671</v>
      </c>
      <c r="AU10">
        <v>-1.6732333333333329</v>
      </c>
      <c r="AV10">
        <v>-0.29126283333333325</v>
      </c>
      <c r="AW10">
        <v>-1.4718716666666667</v>
      </c>
      <c r="AX10">
        <v>-0.29346383333333337</v>
      </c>
      <c r="AY10">
        <v>-1.2491866666666667</v>
      </c>
      <c r="AZ10">
        <v>-0.29431683333333336</v>
      </c>
    </row>
    <row r="11" spans="1:57" x14ac:dyDescent="0.2">
      <c r="A11" t="s">
        <v>1987</v>
      </c>
      <c r="B11" t="s">
        <v>1484</v>
      </c>
      <c r="C11">
        <v>2</v>
      </c>
      <c r="D11" s="5">
        <v>42428</v>
      </c>
      <c r="E11">
        <v>-1.1767683333333334</v>
      </c>
      <c r="F11">
        <v>-0.28190200000000004</v>
      </c>
      <c r="G11">
        <v>-1.1189200000000001</v>
      </c>
      <c r="H11">
        <v>-0.27672549999999996</v>
      </c>
      <c r="I11">
        <v>-1.0872033333333335</v>
      </c>
      <c r="J11">
        <v>-0.27593216666666665</v>
      </c>
      <c r="K11">
        <v>-1.0686650000000002</v>
      </c>
      <c r="L11">
        <v>-0.26869166666666666</v>
      </c>
      <c r="M11">
        <v>-1.062535</v>
      </c>
      <c r="N11">
        <v>-0.265351</v>
      </c>
      <c r="O11">
        <v>-1.0633933333333334</v>
      </c>
      <c r="P11">
        <v>-0.25781949999999998</v>
      </c>
      <c r="Q11">
        <v>-1.1027850000000001</v>
      </c>
      <c r="R11">
        <v>-0.25894566666666669</v>
      </c>
      <c r="S11">
        <v>-1.0576483333333333</v>
      </c>
      <c r="T11">
        <v>-0.31587500000000002</v>
      </c>
      <c r="U11">
        <v>-1.1099483333333335</v>
      </c>
      <c r="V11">
        <v>-0.43137033333333336</v>
      </c>
      <c r="W11">
        <v>-1.0907483333333332</v>
      </c>
      <c r="X11">
        <v>-0.42206700000000003</v>
      </c>
      <c r="Y11">
        <v>-1.0488666666666666</v>
      </c>
      <c r="Z11">
        <v>-0.37955300000000003</v>
      </c>
      <c r="AA11">
        <v>-1.0490966666666668</v>
      </c>
      <c r="AB11">
        <v>-0.37371133333333323</v>
      </c>
      <c r="AC11">
        <v>-1.0711349999999999</v>
      </c>
      <c r="AD11">
        <v>-0.38541483333333332</v>
      </c>
      <c r="AE11">
        <v>-1.086095</v>
      </c>
      <c r="AF11">
        <v>-0.38668766666666671</v>
      </c>
      <c r="AG11">
        <v>-1.1077766666666669</v>
      </c>
      <c r="AH11">
        <v>-0.3908773333333333</v>
      </c>
      <c r="AI11">
        <v>-1.0980300000000001</v>
      </c>
      <c r="AJ11">
        <v>-0.39867733333333338</v>
      </c>
      <c r="AK11">
        <v>-1.1197116666666667</v>
      </c>
      <c r="AL11">
        <v>-0.42566333333333323</v>
      </c>
      <c r="AM11">
        <v>-1.11429</v>
      </c>
      <c r="AN11">
        <v>-0.40160116666666662</v>
      </c>
      <c r="AO11">
        <v>-1.2279216666666668</v>
      </c>
      <c r="AP11">
        <v>-0.33972966666666665</v>
      </c>
      <c r="AQ11">
        <v>-1.6670783333333337</v>
      </c>
      <c r="AR11">
        <v>-0.30070500000000006</v>
      </c>
      <c r="AS11">
        <v>-1.7565550000000001</v>
      </c>
      <c r="AT11">
        <v>-0.2968561666666667</v>
      </c>
      <c r="AU11">
        <v>-1.6586749999999999</v>
      </c>
      <c r="AV11">
        <v>-0.30606599999999995</v>
      </c>
      <c r="AW11">
        <v>-1.4690150000000002</v>
      </c>
      <c r="AX11">
        <v>-0.2940416666666667</v>
      </c>
      <c r="AY11">
        <v>-1.3001316666666667</v>
      </c>
      <c r="AZ11">
        <v>-0.30515966666666666</v>
      </c>
    </row>
    <row r="12" spans="1:57" x14ac:dyDescent="0.2">
      <c r="A12" t="s">
        <v>1987</v>
      </c>
      <c r="B12" t="s">
        <v>1484</v>
      </c>
      <c r="C12">
        <v>3</v>
      </c>
      <c r="D12" s="18">
        <v>42392</v>
      </c>
      <c r="E12">
        <v>-1.0997483333333333</v>
      </c>
      <c r="F12">
        <v>-0.17045483333333333</v>
      </c>
      <c r="G12">
        <v>-1.0490483333333334</v>
      </c>
      <c r="H12">
        <v>-0.17126116666666666</v>
      </c>
      <c r="I12">
        <v>-1.0209699999999999</v>
      </c>
      <c r="J12">
        <v>-0.16810183333333331</v>
      </c>
      <c r="K12">
        <v>-1.00719</v>
      </c>
      <c r="L12">
        <v>-0.16650983333333333</v>
      </c>
      <c r="M12">
        <v>-1.00583</v>
      </c>
      <c r="N12">
        <v>-0.16842766666666667</v>
      </c>
      <c r="O12">
        <v>-1.0174750000000001</v>
      </c>
      <c r="P12">
        <v>-0.16531500000000002</v>
      </c>
      <c r="Q12">
        <v>-1.0704449999999999</v>
      </c>
      <c r="R12">
        <v>-0.16092033333333333</v>
      </c>
      <c r="S12">
        <v>-1.0640666666666667</v>
      </c>
      <c r="T12">
        <v>-0.21267683333333331</v>
      </c>
      <c r="U12">
        <v>-1.1139166666666667</v>
      </c>
      <c r="V12">
        <v>-0.349329</v>
      </c>
      <c r="W12">
        <v>-1.0826916666666666</v>
      </c>
      <c r="X12">
        <v>-0.33985650000000006</v>
      </c>
      <c r="Y12">
        <v>-1.0377216666666667</v>
      </c>
      <c r="Z12">
        <v>-0.30173583333333337</v>
      </c>
      <c r="AA12">
        <v>-1.0305500000000001</v>
      </c>
      <c r="AB12">
        <v>-0.29088666666666674</v>
      </c>
      <c r="AC12">
        <v>-1.0514349999999999</v>
      </c>
      <c r="AD12">
        <v>-0.29978399999999999</v>
      </c>
      <c r="AE12">
        <v>-1.0758566666666665</v>
      </c>
      <c r="AF12">
        <v>-0.3062488333333333</v>
      </c>
      <c r="AG12">
        <v>-1.0936833333333333</v>
      </c>
      <c r="AH12">
        <v>-0.31658333333333338</v>
      </c>
      <c r="AI12">
        <v>-1.1050533333333332</v>
      </c>
      <c r="AJ12">
        <v>-0.33520566666666674</v>
      </c>
      <c r="AK12">
        <v>-1.1008183333333335</v>
      </c>
      <c r="AL12">
        <v>-0.33125016666666668</v>
      </c>
      <c r="AM12">
        <v>-1.1025166666666664</v>
      </c>
      <c r="AN12">
        <v>-0.31045083333333334</v>
      </c>
      <c r="AO12">
        <v>-1.2567033333333333</v>
      </c>
      <c r="AP12">
        <v>-0.24356516666666667</v>
      </c>
      <c r="AQ12">
        <v>-1.7048933333333334</v>
      </c>
      <c r="AR12">
        <v>-0.19859499999999999</v>
      </c>
      <c r="AS12">
        <v>-1.7069799999999997</v>
      </c>
      <c r="AT12">
        <v>-0.19111983333333332</v>
      </c>
      <c r="AU12">
        <v>-1.5897700000000001</v>
      </c>
      <c r="AV12">
        <v>-0.19668266666666667</v>
      </c>
      <c r="AW12">
        <v>-1.4161999999999999</v>
      </c>
      <c r="AX12">
        <v>-0.19676349999999998</v>
      </c>
      <c r="AY12">
        <v>-1.2464116666666667</v>
      </c>
      <c r="AZ12">
        <v>-0.18258833333333332</v>
      </c>
    </row>
    <row r="13" spans="1:57" x14ac:dyDescent="0.2">
      <c r="A13" t="s">
        <v>1987</v>
      </c>
      <c r="B13" t="s">
        <v>1484</v>
      </c>
      <c r="C13">
        <v>3</v>
      </c>
      <c r="D13" s="18">
        <v>42399</v>
      </c>
      <c r="E13">
        <v>-1.0582183333333333</v>
      </c>
      <c r="F13">
        <v>-0.27038000000000001</v>
      </c>
      <c r="G13">
        <v>-1.0021248333333335</v>
      </c>
      <c r="H13">
        <v>-0.25424950000000002</v>
      </c>
      <c r="I13">
        <v>-0.98192400000000002</v>
      </c>
      <c r="J13">
        <v>-0.26089566666666664</v>
      </c>
      <c r="K13">
        <v>-0.96796416666666663</v>
      </c>
      <c r="L13">
        <v>-0.25858399999999998</v>
      </c>
      <c r="M13">
        <v>-0.9647838333333334</v>
      </c>
      <c r="N13">
        <v>-0.25545499999999999</v>
      </c>
      <c r="O13">
        <v>-0.98113600000000012</v>
      </c>
      <c r="P13">
        <v>-0.25179650000000003</v>
      </c>
      <c r="Q13">
        <v>-1.0351231666666667</v>
      </c>
      <c r="R13">
        <v>-0.24203166666666667</v>
      </c>
      <c r="S13">
        <v>-1.06976</v>
      </c>
      <c r="T13">
        <v>-0.29323216666666668</v>
      </c>
      <c r="U13">
        <v>-1.1019483333333333</v>
      </c>
      <c r="V13">
        <v>-0.42955733333333335</v>
      </c>
      <c r="W13">
        <v>-1.0721233333333335</v>
      </c>
      <c r="X13">
        <v>-0.41434066666666669</v>
      </c>
      <c r="Y13">
        <v>-1.0057533333333333</v>
      </c>
      <c r="Z13">
        <v>-0.36138400000000004</v>
      </c>
      <c r="AA13">
        <v>-0.99352883333333331</v>
      </c>
      <c r="AB13">
        <v>-0.36203733333333338</v>
      </c>
      <c r="AC13">
        <v>-0.99979249999999997</v>
      </c>
      <c r="AD13">
        <v>-0.34482300000000005</v>
      </c>
      <c r="AE13">
        <v>-1.02407</v>
      </c>
      <c r="AF13">
        <v>-0.3591293333333333</v>
      </c>
      <c r="AG13">
        <v>-1.0528766666666667</v>
      </c>
      <c r="AH13">
        <v>-0.37987033333333331</v>
      </c>
      <c r="AI13">
        <v>-1.0664449999999999</v>
      </c>
      <c r="AJ13">
        <v>-0.38781916666666666</v>
      </c>
      <c r="AK13">
        <v>-1.0828233333333335</v>
      </c>
      <c r="AL13">
        <v>-0.40084766666666671</v>
      </c>
      <c r="AM13">
        <v>-1.0758383333333332</v>
      </c>
      <c r="AN13">
        <v>-0.3774305</v>
      </c>
      <c r="AO13">
        <v>-1.2410483333333333</v>
      </c>
      <c r="AP13">
        <v>-0.3091821666666667</v>
      </c>
      <c r="AQ13">
        <v>-1.6515266666666666</v>
      </c>
      <c r="AR13">
        <v>-0.24548749999999997</v>
      </c>
      <c r="AS13">
        <v>-1.6558133333333336</v>
      </c>
      <c r="AT13">
        <v>-0.23756099999999999</v>
      </c>
      <c r="AU13">
        <v>-1.5369900000000001</v>
      </c>
      <c r="AV13">
        <v>-0.24350099999999997</v>
      </c>
      <c r="AW13">
        <v>-1.3620750000000001</v>
      </c>
      <c r="AX13">
        <v>-0.24603899999999998</v>
      </c>
      <c r="AY13">
        <v>-1.1983116666666664</v>
      </c>
      <c r="AZ13">
        <v>-0.24646716666666668</v>
      </c>
    </row>
    <row r="14" spans="1:57" x14ac:dyDescent="0.2">
      <c r="A14" t="s">
        <v>1987</v>
      </c>
      <c r="B14" t="s">
        <v>1484</v>
      </c>
      <c r="C14">
        <v>3</v>
      </c>
      <c r="D14" s="18">
        <v>42413</v>
      </c>
      <c r="E14">
        <v>-1.0930666666666666</v>
      </c>
      <c r="F14">
        <v>-0.25349383333333331</v>
      </c>
      <c r="G14">
        <v>-1.0457900000000002</v>
      </c>
      <c r="H14">
        <v>-0.2434405</v>
      </c>
      <c r="I14">
        <v>-1.0148033333333333</v>
      </c>
      <c r="J14">
        <v>-0.23389183333333335</v>
      </c>
      <c r="K14">
        <v>-0.9981321666666666</v>
      </c>
      <c r="L14">
        <v>-0.23133383333333335</v>
      </c>
      <c r="M14">
        <v>-0.98947499999999999</v>
      </c>
      <c r="N14">
        <v>-0.23410100000000003</v>
      </c>
      <c r="O14">
        <v>-0.99979833333333357</v>
      </c>
      <c r="P14">
        <v>-0.23221799999999998</v>
      </c>
      <c r="Q14">
        <v>-1.0444399999999998</v>
      </c>
      <c r="R14">
        <v>-0.22501416666666668</v>
      </c>
      <c r="S14">
        <v>-1.0062835000000001</v>
      </c>
      <c r="T14">
        <v>-0.28038183333333339</v>
      </c>
      <c r="U14">
        <v>-1.0664266666666664</v>
      </c>
      <c r="V14">
        <v>-0.41307966666666668</v>
      </c>
      <c r="W14">
        <v>-1.0530749999999998</v>
      </c>
      <c r="X14">
        <v>-0.4155253333333333</v>
      </c>
      <c r="Y14">
        <v>-1.0084841666666666</v>
      </c>
      <c r="Z14">
        <v>-0.36251016666666663</v>
      </c>
      <c r="AA14">
        <v>-1.0111533333333333</v>
      </c>
      <c r="AB14">
        <v>-0.36347233333333334</v>
      </c>
      <c r="AC14">
        <v>-1.0344983333333335</v>
      </c>
      <c r="AD14">
        <v>-0.37592366666666677</v>
      </c>
      <c r="AE14">
        <v>-1.0705633333333333</v>
      </c>
      <c r="AF14">
        <v>-0.39278033333333334</v>
      </c>
      <c r="AG14">
        <v>-1.1005766666666665</v>
      </c>
      <c r="AH14">
        <v>-0.41467100000000007</v>
      </c>
      <c r="AI14">
        <v>-1.1117883333333334</v>
      </c>
      <c r="AJ14">
        <v>-0.4189281666666666</v>
      </c>
      <c r="AK14">
        <v>-1.1153500000000001</v>
      </c>
      <c r="AL14">
        <v>-0.42958350000000001</v>
      </c>
      <c r="AM14">
        <v>-1.101375</v>
      </c>
      <c r="AN14">
        <v>-0.41626183333333328</v>
      </c>
      <c r="AO14">
        <v>-1.1239833333333333</v>
      </c>
      <c r="AP14">
        <v>-0.35523200000000005</v>
      </c>
      <c r="AQ14">
        <v>-1.6167250000000004</v>
      </c>
      <c r="AR14">
        <v>-0.28781966666666664</v>
      </c>
      <c r="AS14">
        <v>-1.7133</v>
      </c>
      <c r="AT14">
        <v>-0.28838000000000003</v>
      </c>
      <c r="AU14">
        <v>-1.5693883333333334</v>
      </c>
      <c r="AV14">
        <v>-0.26547733333333334</v>
      </c>
      <c r="AW14">
        <v>-1.3782316666666665</v>
      </c>
      <c r="AX14">
        <v>-0.27822333333333338</v>
      </c>
      <c r="AY14">
        <v>-1.1948166666666666</v>
      </c>
      <c r="AZ14">
        <v>-0.26598416666666663</v>
      </c>
    </row>
    <row r="15" spans="1:57" x14ac:dyDescent="0.2">
      <c r="A15" t="s">
        <v>1987</v>
      </c>
      <c r="B15" t="s">
        <v>1484</v>
      </c>
      <c r="C15">
        <v>3</v>
      </c>
      <c r="D15" s="5">
        <v>42420</v>
      </c>
      <c r="E15">
        <v>-1.1382349999999999</v>
      </c>
      <c r="F15">
        <v>-0.28188400000000002</v>
      </c>
      <c r="G15">
        <v>-1.0848283333333333</v>
      </c>
      <c r="H15">
        <v>-0.27661416666666666</v>
      </c>
      <c r="I15">
        <v>-1.06053</v>
      </c>
      <c r="J15">
        <v>-0.27884300000000001</v>
      </c>
      <c r="K15">
        <v>-1.0395583333333331</v>
      </c>
      <c r="L15">
        <v>-0.269397</v>
      </c>
      <c r="M15">
        <v>-1.0309649999999999</v>
      </c>
      <c r="N15">
        <v>-0.26327133333333336</v>
      </c>
      <c r="O15">
        <v>-1.0404099999999998</v>
      </c>
      <c r="P15">
        <v>-0.259604</v>
      </c>
      <c r="Q15">
        <v>-1.0891366666666666</v>
      </c>
      <c r="R15">
        <v>-0.2536848333333333</v>
      </c>
      <c r="S15">
        <v>-1.0424583333333333</v>
      </c>
      <c r="T15">
        <v>-0.3200156666666667</v>
      </c>
      <c r="U15">
        <v>-1.1054550000000001</v>
      </c>
      <c r="V15">
        <v>-0.44142716666666665</v>
      </c>
      <c r="W15">
        <v>-1.0775833333333336</v>
      </c>
      <c r="X15">
        <v>-0.41061266666666668</v>
      </c>
      <c r="Y15">
        <v>-1.0426499999999999</v>
      </c>
      <c r="Z15">
        <v>-0.37391916666666664</v>
      </c>
      <c r="AA15">
        <v>-1.0421666666666667</v>
      </c>
      <c r="AB15">
        <v>-0.36202166666666669</v>
      </c>
      <c r="AC15">
        <v>-1.0738449999999999</v>
      </c>
      <c r="AD15">
        <v>-0.3861013333333333</v>
      </c>
      <c r="AE15">
        <v>-1.1259250000000003</v>
      </c>
      <c r="AF15">
        <v>-0.43994800000000006</v>
      </c>
      <c r="AG15">
        <v>-1.1345733333333334</v>
      </c>
      <c r="AH15">
        <v>-0.42081133333333332</v>
      </c>
      <c r="AI15">
        <v>-1.1346883333333333</v>
      </c>
      <c r="AJ15">
        <v>-0.42198983333333329</v>
      </c>
      <c r="AK15">
        <v>-1.1320783333333333</v>
      </c>
      <c r="AL15">
        <v>-0.42865166666666665</v>
      </c>
      <c r="AM15">
        <v>-1.1223666666666665</v>
      </c>
      <c r="AN15">
        <v>-0.40670599999999996</v>
      </c>
      <c r="AO15">
        <v>-1.1617483333333332</v>
      </c>
      <c r="AP15">
        <v>-0.37330099999999994</v>
      </c>
      <c r="AQ15">
        <v>-1.6283399999999999</v>
      </c>
      <c r="AR15">
        <v>-0.31267983333333338</v>
      </c>
      <c r="AS15">
        <v>-1.7395533333333333</v>
      </c>
      <c r="AT15">
        <v>-0.30439183333333336</v>
      </c>
      <c r="AU15">
        <v>-1.644085</v>
      </c>
      <c r="AV15">
        <v>-0.3042853333333333</v>
      </c>
      <c r="AW15">
        <v>-1.4599466666666667</v>
      </c>
      <c r="AX15">
        <v>-0.29791333333333336</v>
      </c>
      <c r="AY15">
        <v>-1.2627466666666667</v>
      </c>
      <c r="AZ15">
        <v>-0.28091000000000005</v>
      </c>
    </row>
    <row r="16" spans="1:57" x14ac:dyDescent="0.2">
      <c r="A16" t="s">
        <v>1987</v>
      </c>
      <c r="B16" t="s">
        <v>1484</v>
      </c>
      <c r="C16">
        <v>3</v>
      </c>
      <c r="D16" s="5">
        <v>42427</v>
      </c>
      <c r="E16">
        <v>-1.1613450000000001</v>
      </c>
      <c r="F16">
        <v>-0.26072983333333333</v>
      </c>
      <c r="G16">
        <v>-1.1100033333333332</v>
      </c>
      <c r="H16">
        <v>-0.26163916666666664</v>
      </c>
      <c r="I16">
        <v>-1.0746083333333336</v>
      </c>
      <c r="J16">
        <v>-0.25208700000000001</v>
      </c>
      <c r="K16">
        <v>-1.0587966666666668</v>
      </c>
      <c r="L16">
        <v>-0.25400400000000001</v>
      </c>
      <c r="M16">
        <v>-1.0482733333333334</v>
      </c>
      <c r="N16">
        <v>-0.24984066666666668</v>
      </c>
      <c r="O16">
        <v>-1.0524516666666666</v>
      </c>
      <c r="P16">
        <v>-0.24628533333333333</v>
      </c>
      <c r="Q16">
        <v>-1.1002283333333331</v>
      </c>
      <c r="R16">
        <v>-0.24850366666666665</v>
      </c>
      <c r="S16">
        <v>-1.058945</v>
      </c>
      <c r="T16">
        <v>-0.33907716666666671</v>
      </c>
      <c r="U16">
        <v>-1.1211133333333332</v>
      </c>
      <c r="V16">
        <v>-0.45422449999999998</v>
      </c>
      <c r="W16">
        <v>-1.0849666666666664</v>
      </c>
      <c r="X16">
        <v>-0.42545300000000003</v>
      </c>
      <c r="Y16">
        <v>-1.0400066666666667</v>
      </c>
      <c r="Z16">
        <v>-0.38090866666666667</v>
      </c>
      <c r="AA16">
        <v>-1.0380566666666666</v>
      </c>
      <c r="AB16">
        <v>-0.37538300000000002</v>
      </c>
      <c r="AC16">
        <v>-1.0662066666666667</v>
      </c>
      <c r="AD16">
        <v>-0.4092095</v>
      </c>
      <c r="AE16">
        <v>-1.0723833333333332</v>
      </c>
      <c r="AF16">
        <v>-0.39400333333333332</v>
      </c>
      <c r="AG16">
        <v>-1.0903583333333333</v>
      </c>
      <c r="AH16">
        <v>-0.40862616666666668</v>
      </c>
      <c r="AI16">
        <v>-1.0946833333333332</v>
      </c>
      <c r="AJ16">
        <v>-0.40680383333333331</v>
      </c>
      <c r="AK16">
        <v>-1.1005966666666667</v>
      </c>
      <c r="AL16">
        <v>-0.41099983333333329</v>
      </c>
      <c r="AM16">
        <v>-1.1142083333333332</v>
      </c>
      <c r="AN16">
        <v>-0.38309233333333331</v>
      </c>
      <c r="AO16">
        <v>-1.1833433333333332</v>
      </c>
      <c r="AP16">
        <v>-0.3270223333333333</v>
      </c>
      <c r="AQ16">
        <v>-1.6545233333333333</v>
      </c>
      <c r="AR16">
        <v>-0.29683266666666669</v>
      </c>
      <c r="AS16">
        <v>-1.7286633333333332</v>
      </c>
      <c r="AT16">
        <v>-0.28615333333333332</v>
      </c>
      <c r="AU16">
        <v>-1.6135383333333331</v>
      </c>
      <c r="AV16">
        <v>-0.27965299999999998</v>
      </c>
      <c r="AW16">
        <v>-1.4322716666666668</v>
      </c>
      <c r="AX16">
        <v>-0.27734683333333332</v>
      </c>
      <c r="AY16">
        <v>-1.2744116666666667</v>
      </c>
      <c r="AZ16">
        <v>-0.28076183333333332</v>
      </c>
    </row>
    <row r="17" spans="1:52" x14ac:dyDescent="0.2">
      <c r="A17" t="s">
        <v>1987</v>
      </c>
      <c r="B17" t="s">
        <v>1484</v>
      </c>
      <c r="C17">
        <v>4</v>
      </c>
      <c r="D17" s="5">
        <v>42387</v>
      </c>
      <c r="E17">
        <v>-1.0840116666666666</v>
      </c>
      <c r="F17">
        <v>-0.19187433333333334</v>
      </c>
      <c r="G17">
        <v>-1.0328166666666667</v>
      </c>
      <c r="H17">
        <v>-0.17726483333333332</v>
      </c>
      <c r="I17">
        <v>-1.0092683333333332</v>
      </c>
      <c r="J17">
        <v>-0.17253316666666668</v>
      </c>
      <c r="K17">
        <v>-0.99793050000000005</v>
      </c>
      <c r="L17">
        <v>-0.17236566666666667</v>
      </c>
      <c r="M17">
        <v>-0.99421466666666669</v>
      </c>
      <c r="N17">
        <v>-0.17075916666666668</v>
      </c>
      <c r="O17">
        <v>-1.0085298333333335</v>
      </c>
      <c r="P17">
        <v>-0.15882199999999996</v>
      </c>
      <c r="Q17">
        <v>-1.1241083333333333</v>
      </c>
      <c r="R17">
        <v>-0.15881016666666667</v>
      </c>
      <c r="S17">
        <v>-1.1764600000000001</v>
      </c>
      <c r="T17">
        <v>-0.22280949999999999</v>
      </c>
      <c r="U17">
        <v>-1.1315083333333333</v>
      </c>
      <c r="V17">
        <v>-0.34601500000000002</v>
      </c>
      <c r="W17">
        <v>-1.0631083333333333</v>
      </c>
      <c r="X17">
        <v>-0.32666083333333329</v>
      </c>
      <c r="Y17">
        <v>-1.0178100000000001</v>
      </c>
      <c r="Z17">
        <v>-0.29439116666666665</v>
      </c>
      <c r="AA17">
        <v>-1.0121116666666667</v>
      </c>
      <c r="AB17">
        <v>-0.27925966666666663</v>
      </c>
      <c r="AC17">
        <v>-1.0275216666666667</v>
      </c>
      <c r="AD17">
        <v>-0.27991116666666671</v>
      </c>
      <c r="AE17">
        <v>-1.0520283333333333</v>
      </c>
      <c r="AF17">
        <v>-0.28281666666666666</v>
      </c>
      <c r="AG17">
        <v>-1.0705716666666667</v>
      </c>
      <c r="AH17">
        <v>-0.29220733333333332</v>
      </c>
      <c r="AI17">
        <v>-1.0906033333333331</v>
      </c>
      <c r="AJ17">
        <v>-0.306807</v>
      </c>
      <c r="AK17">
        <v>-1.1013266666666668</v>
      </c>
      <c r="AL17">
        <v>-0.31057716666666668</v>
      </c>
      <c r="AM17">
        <v>-1.1252883333333332</v>
      </c>
      <c r="AN17">
        <v>-0.29307949999999999</v>
      </c>
      <c r="AO17">
        <v>-1.3239366666666665</v>
      </c>
      <c r="AP17">
        <v>-0.22201633333333334</v>
      </c>
      <c r="AQ17">
        <v>-1.7488633333333334</v>
      </c>
      <c r="AR17">
        <v>-0.20356433333333335</v>
      </c>
      <c r="AS17">
        <v>-1.7530316666666668</v>
      </c>
      <c r="AT17">
        <v>-0.202178</v>
      </c>
      <c r="AU17">
        <v>-1.5940916666666665</v>
      </c>
      <c r="AV17">
        <v>-0.19174016666666668</v>
      </c>
      <c r="AW17">
        <v>-1.3737583333333332</v>
      </c>
      <c r="AX17">
        <v>-0.18833533333333333</v>
      </c>
      <c r="AY17">
        <v>-1.1714766666666667</v>
      </c>
      <c r="AZ17">
        <v>-0.18506550000000002</v>
      </c>
    </row>
    <row r="18" spans="1:52" x14ac:dyDescent="0.2">
      <c r="A18" t="s">
        <v>1987</v>
      </c>
      <c r="B18" t="s">
        <v>1484</v>
      </c>
      <c r="C18">
        <v>4</v>
      </c>
      <c r="D18" s="5">
        <v>42394</v>
      </c>
      <c r="E18">
        <v>-1.1073116666666667</v>
      </c>
      <c r="F18">
        <v>-0.28125283333333334</v>
      </c>
      <c r="G18">
        <v>-1.0587066666666665</v>
      </c>
      <c r="H18">
        <v>-0.28232349999999995</v>
      </c>
      <c r="I18">
        <v>-1.0346566666666666</v>
      </c>
      <c r="J18">
        <v>-0.28296616666666663</v>
      </c>
      <c r="K18">
        <v>-1.0151305000000002</v>
      </c>
      <c r="L18">
        <v>-0.27480966666666667</v>
      </c>
      <c r="M18">
        <v>-0.99435299999999993</v>
      </c>
      <c r="N18">
        <v>-0.24488433333333331</v>
      </c>
      <c r="O18">
        <v>-1.0088779999999999</v>
      </c>
      <c r="P18">
        <v>-0.23247433333333334</v>
      </c>
      <c r="Q18">
        <v>-1.11572</v>
      </c>
      <c r="R18">
        <v>-0.22029083333333335</v>
      </c>
      <c r="S18">
        <v>-1.15744</v>
      </c>
      <c r="T18">
        <v>-0.30204066666666674</v>
      </c>
      <c r="U18">
        <v>-1.1324083333333332</v>
      </c>
      <c r="V18">
        <v>-0.431674</v>
      </c>
      <c r="W18">
        <v>-1.0528716666666667</v>
      </c>
      <c r="X18">
        <v>-0.3958976666666667</v>
      </c>
      <c r="Y18">
        <v>-1.0158969999999998</v>
      </c>
      <c r="Z18">
        <v>-0.36512366666666668</v>
      </c>
      <c r="AA18">
        <v>-1.0124099999999998</v>
      </c>
      <c r="AB18">
        <v>-0.34237083333333335</v>
      </c>
      <c r="AC18">
        <v>-1.0445483333333334</v>
      </c>
      <c r="AD18">
        <v>-0.35487083333333341</v>
      </c>
      <c r="AE18">
        <v>-1.0764733333333334</v>
      </c>
      <c r="AF18">
        <v>-0.36134433333333327</v>
      </c>
      <c r="AG18">
        <v>-1.1009683333333335</v>
      </c>
      <c r="AH18">
        <v>-0.37299749999999998</v>
      </c>
      <c r="AI18">
        <v>-1.1155666666666668</v>
      </c>
      <c r="AJ18">
        <v>-0.38804299999999997</v>
      </c>
      <c r="AK18">
        <v>-1.1270300000000002</v>
      </c>
      <c r="AL18">
        <v>-0.40170999999999996</v>
      </c>
      <c r="AM18">
        <v>-1.1159033333333335</v>
      </c>
      <c r="AN18">
        <v>-0.39165166666666668</v>
      </c>
      <c r="AO18">
        <v>-1.2033866666666666</v>
      </c>
      <c r="AP18">
        <v>-0.32078666666666666</v>
      </c>
      <c r="AQ18">
        <v>-1.7035416666666667</v>
      </c>
      <c r="AR18">
        <v>-0.26741133333333333</v>
      </c>
      <c r="AS18">
        <v>-1.7372000000000001</v>
      </c>
      <c r="AT18">
        <v>-0.26336583333333335</v>
      </c>
      <c r="AU18">
        <v>-1.6113466666666665</v>
      </c>
      <c r="AV18">
        <v>-0.27420800000000001</v>
      </c>
      <c r="AW18">
        <v>-1.401125</v>
      </c>
      <c r="AX18">
        <v>-0.26880516666666671</v>
      </c>
      <c r="AY18">
        <v>-1.2187949999999999</v>
      </c>
      <c r="AZ18">
        <v>-0.26904600000000001</v>
      </c>
    </row>
    <row r="19" spans="1:52" x14ac:dyDescent="0.2">
      <c r="A19" t="s">
        <v>1987</v>
      </c>
      <c r="B19" t="s">
        <v>1484</v>
      </c>
      <c r="C19">
        <v>4</v>
      </c>
      <c r="D19" s="5">
        <v>42415</v>
      </c>
      <c r="E19">
        <v>-1.0909066666666665</v>
      </c>
      <c r="F19">
        <v>-0.2429186666666667</v>
      </c>
      <c r="G19">
        <v>-1.0389616666666668</v>
      </c>
      <c r="H19">
        <v>-0.24093700000000001</v>
      </c>
      <c r="I19">
        <v>-1.0117666666666667</v>
      </c>
      <c r="J19">
        <v>-0.24173433333333333</v>
      </c>
      <c r="K19">
        <v>-0.99247399999999986</v>
      </c>
      <c r="L19">
        <v>-0.23824816666666665</v>
      </c>
      <c r="M19">
        <v>-0.98563033333333316</v>
      </c>
      <c r="N19">
        <v>-0.23180833333333331</v>
      </c>
      <c r="O19">
        <v>-1.0026301666666666</v>
      </c>
      <c r="P19">
        <v>-0.227433</v>
      </c>
      <c r="Q19">
        <v>-1.1105083333333334</v>
      </c>
      <c r="R19">
        <v>-0.22115600000000005</v>
      </c>
      <c r="S19">
        <v>-1.1193616666666666</v>
      </c>
      <c r="T19">
        <v>-0.30048333333333327</v>
      </c>
      <c r="U19">
        <v>-1.0943033333333332</v>
      </c>
      <c r="V19">
        <v>-0.43646949999999995</v>
      </c>
      <c r="W19">
        <v>-1.0230816666666669</v>
      </c>
      <c r="X19">
        <v>-0.38366749999999999</v>
      </c>
      <c r="Y19">
        <v>-0.99566416666666657</v>
      </c>
      <c r="Z19">
        <v>-0.34557933333333335</v>
      </c>
      <c r="AA19">
        <v>-1.0072523333333332</v>
      </c>
      <c r="AB19">
        <v>-0.33965449999999997</v>
      </c>
      <c r="AC19">
        <v>-1.0523033333333334</v>
      </c>
      <c r="AD19">
        <v>-0.37003316666666664</v>
      </c>
      <c r="AE19">
        <v>-1.07907</v>
      </c>
      <c r="AF19">
        <v>-0.36997916666666669</v>
      </c>
      <c r="AG19">
        <v>-1.1205116666666666</v>
      </c>
      <c r="AH19">
        <v>-0.38996433333333336</v>
      </c>
      <c r="AI19">
        <v>-1.1326683333333334</v>
      </c>
      <c r="AJ19">
        <v>-0.40300249999999999</v>
      </c>
      <c r="AK19">
        <v>-1.155025</v>
      </c>
      <c r="AL19">
        <v>-0.43108666666666662</v>
      </c>
      <c r="AM19">
        <v>-1.1446200000000002</v>
      </c>
      <c r="AN19">
        <v>-0.42105266666666663</v>
      </c>
      <c r="AO19">
        <v>-1.1666383333333332</v>
      </c>
      <c r="AP19">
        <v>-0.37080449999999998</v>
      </c>
      <c r="AQ19">
        <v>-1.6591050000000003</v>
      </c>
      <c r="AR19">
        <v>-0.28981250000000008</v>
      </c>
      <c r="AS19">
        <v>-1.7604616666666668</v>
      </c>
      <c r="AT19">
        <v>-0.27331983333333337</v>
      </c>
      <c r="AU19">
        <v>-1.6445816666666668</v>
      </c>
      <c r="AV19">
        <v>-0.26847533333333334</v>
      </c>
      <c r="AW19">
        <v>-1.4301349999999999</v>
      </c>
      <c r="AX19">
        <v>-0.274507</v>
      </c>
      <c r="AY19">
        <v>-1.2173800000000001</v>
      </c>
      <c r="AZ19">
        <v>-0.2782425</v>
      </c>
    </row>
    <row r="20" spans="1:52" x14ac:dyDescent="0.2">
      <c r="A20" t="s">
        <v>1987</v>
      </c>
      <c r="B20" t="s">
        <v>1484</v>
      </c>
      <c r="C20">
        <v>4</v>
      </c>
      <c r="D20" s="5">
        <v>42422</v>
      </c>
      <c r="E20">
        <v>-1.1302666666666668</v>
      </c>
      <c r="F20">
        <v>-0.27505433333333335</v>
      </c>
      <c r="G20">
        <v>-1.0839833333333331</v>
      </c>
      <c r="H20">
        <v>-0.27267816666666667</v>
      </c>
      <c r="I20">
        <v>-1.0645183333333332</v>
      </c>
      <c r="J20">
        <v>-0.27475516666666666</v>
      </c>
      <c r="K20">
        <v>-1.0482333333333334</v>
      </c>
      <c r="L20">
        <v>-0.27062283333333331</v>
      </c>
      <c r="M20">
        <v>-1.0362066666666667</v>
      </c>
      <c r="N20">
        <v>-0.26627633333333334</v>
      </c>
      <c r="O20">
        <v>-1.0457216666666667</v>
      </c>
      <c r="P20">
        <v>-0.25232866666666665</v>
      </c>
      <c r="Q20">
        <v>-1.1625750000000001</v>
      </c>
      <c r="R20">
        <v>-0.25125449999999999</v>
      </c>
      <c r="S20">
        <v>-1.1314766666666667</v>
      </c>
      <c r="T20">
        <v>-0.32409899999999997</v>
      </c>
      <c r="U20">
        <v>-1.1167583333333335</v>
      </c>
      <c r="V20">
        <v>-0.44846533333333338</v>
      </c>
      <c r="W20">
        <v>-1.062535</v>
      </c>
      <c r="X20">
        <v>-0.4140071666666667</v>
      </c>
      <c r="Y20">
        <v>-1.0358166666666666</v>
      </c>
      <c r="Z20">
        <v>-0.38201266666666667</v>
      </c>
      <c r="AA20">
        <v>-1.0278416666666665</v>
      </c>
      <c r="AB20">
        <v>-0.36316249999999994</v>
      </c>
      <c r="AC20">
        <v>-1.0780600000000002</v>
      </c>
      <c r="AD20">
        <v>-0.38392883333333333</v>
      </c>
      <c r="AE20">
        <v>-1.1176916666666665</v>
      </c>
      <c r="AF20">
        <v>-0.39349116666666667</v>
      </c>
      <c r="AG20">
        <v>-1.1609750000000001</v>
      </c>
      <c r="AH20">
        <v>-0.41200800000000004</v>
      </c>
      <c r="AI20">
        <v>-1.1648450000000001</v>
      </c>
      <c r="AJ20">
        <v>-0.41813466666666665</v>
      </c>
      <c r="AK20">
        <v>-1.1661499999999998</v>
      </c>
      <c r="AL20">
        <v>-0.42423300000000003</v>
      </c>
      <c r="AM20">
        <v>-1.1524566666666667</v>
      </c>
      <c r="AN20">
        <v>-0.41085216666666663</v>
      </c>
      <c r="AO20">
        <v>-1.1744066666666666</v>
      </c>
      <c r="AP20">
        <v>-0.35901516666666661</v>
      </c>
      <c r="AQ20">
        <v>-1.6603100000000002</v>
      </c>
      <c r="AR20">
        <v>-0.30375033333333334</v>
      </c>
      <c r="AS20">
        <v>-1.7838700000000001</v>
      </c>
      <c r="AT20">
        <v>-0.2877535</v>
      </c>
      <c r="AU20">
        <v>-1.6720249999999999</v>
      </c>
      <c r="AV20">
        <v>-0.29310816666666667</v>
      </c>
      <c r="AW20">
        <v>-1.44563</v>
      </c>
      <c r="AX20">
        <v>-0.29168883333333334</v>
      </c>
      <c r="AY20">
        <v>-1.2204866666666667</v>
      </c>
      <c r="AZ20">
        <v>-0.27012200000000003</v>
      </c>
    </row>
    <row r="21" spans="1:52" x14ac:dyDescent="0.2">
      <c r="A21" t="s">
        <v>1987</v>
      </c>
      <c r="B21" t="s">
        <v>1484</v>
      </c>
      <c r="C21">
        <v>5</v>
      </c>
      <c r="D21" s="5">
        <v>42391</v>
      </c>
      <c r="E21">
        <v>-1.0826266666666668</v>
      </c>
      <c r="F21">
        <v>-0.17397616666666668</v>
      </c>
      <c r="G21">
        <v>-1.0383966666666669</v>
      </c>
      <c r="H21">
        <v>-0.17683983333333333</v>
      </c>
      <c r="I21">
        <v>-1.0002253333333333</v>
      </c>
      <c r="J21">
        <v>-0.15459766666666666</v>
      </c>
      <c r="K21">
        <v>-0.97560616666666655</v>
      </c>
      <c r="L21">
        <v>-0.14349833333333334</v>
      </c>
      <c r="M21">
        <v>-0.96805566666666676</v>
      </c>
      <c r="N21">
        <v>-0.14007700000000001</v>
      </c>
      <c r="O21">
        <v>-0.97913149999999993</v>
      </c>
      <c r="P21">
        <v>-0.12496466666666667</v>
      </c>
      <c r="Q21">
        <v>-1.09293</v>
      </c>
      <c r="R21">
        <v>-0.13387350000000001</v>
      </c>
      <c r="S21">
        <v>-1.1428016666666665</v>
      </c>
      <c r="T21">
        <v>-0.22252433333333338</v>
      </c>
      <c r="U21">
        <v>-1.12517</v>
      </c>
      <c r="V21">
        <v>-0.35023266666666669</v>
      </c>
      <c r="W21">
        <v>-1.0531716666666666</v>
      </c>
      <c r="X21">
        <v>-0.31585050000000003</v>
      </c>
      <c r="Y21">
        <v>-1.0058763333333336</v>
      </c>
      <c r="Z21">
        <v>-0.27287716666666673</v>
      </c>
      <c r="AA21">
        <v>-1.01891</v>
      </c>
      <c r="AB21">
        <v>-0.29121466666666668</v>
      </c>
      <c r="AC21">
        <v>-1.0461433333333334</v>
      </c>
      <c r="AD21">
        <v>-0.29819416666666665</v>
      </c>
      <c r="AE21">
        <v>-1.0888466666666665</v>
      </c>
      <c r="AF21">
        <v>-0.30232616666666667</v>
      </c>
      <c r="AG21">
        <v>-1.117175</v>
      </c>
      <c r="AH21">
        <v>-0.32114783333333324</v>
      </c>
      <c r="AI21">
        <v>-1.1288466666666666</v>
      </c>
      <c r="AJ21">
        <v>-0.33311950000000001</v>
      </c>
      <c r="AK21">
        <v>-1.1292866666666665</v>
      </c>
      <c r="AL21">
        <v>-0.33233716666666668</v>
      </c>
      <c r="AM21">
        <v>-1.1180983333333334</v>
      </c>
      <c r="AN21">
        <v>-0.32154816666666663</v>
      </c>
      <c r="AO21">
        <v>-1.2213766666666666</v>
      </c>
      <c r="AP21">
        <v>-0.2626356666666666</v>
      </c>
      <c r="AQ21">
        <v>-1.7073500000000001</v>
      </c>
      <c r="AR21">
        <v>-0.20872516666666668</v>
      </c>
      <c r="AS21">
        <v>-1.7413266666666667</v>
      </c>
      <c r="AT21">
        <v>-0.20258916666666665</v>
      </c>
      <c r="AU21">
        <v>-1.631663333333333</v>
      </c>
      <c r="AV21">
        <v>-0.20949366666666663</v>
      </c>
      <c r="AW21">
        <v>-1.4202216666666665</v>
      </c>
      <c r="AX21">
        <v>-0.19209883333333333</v>
      </c>
      <c r="AY21">
        <v>-1.2203483333333334</v>
      </c>
      <c r="AZ21">
        <v>-0.18506449999999999</v>
      </c>
    </row>
    <row r="22" spans="1:52" x14ac:dyDescent="0.2">
      <c r="A22" t="s">
        <v>1987</v>
      </c>
      <c r="B22" t="s">
        <v>1484</v>
      </c>
      <c r="C22">
        <v>5</v>
      </c>
      <c r="D22" s="5">
        <v>42398</v>
      </c>
      <c r="E22">
        <v>-1.0327766666666667</v>
      </c>
      <c r="F22">
        <v>-0.21726066666666669</v>
      </c>
      <c r="G22">
        <v>-0.98827700000000007</v>
      </c>
      <c r="H22">
        <v>-0.21428416666666666</v>
      </c>
      <c r="I22">
        <v>-0.96420733333333342</v>
      </c>
      <c r="J22">
        <v>-0.21400500000000003</v>
      </c>
      <c r="K22">
        <v>-0.94762516666666674</v>
      </c>
      <c r="L22">
        <v>-0.21346600000000002</v>
      </c>
      <c r="M22">
        <v>-0.93969983333333351</v>
      </c>
      <c r="N22">
        <v>-0.21338683333333333</v>
      </c>
      <c r="O22">
        <v>-0.94862566666666681</v>
      </c>
      <c r="P22">
        <v>-0.20683399999999996</v>
      </c>
      <c r="Q22">
        <v>-1.0038813333333332</v>
      </c>
      <c r="R22">
        <v>-0.20007083333333336</v>
      </c>
      <c r="S22">
        <v>-1.0493933333333332</v>
      </c>
      <c r="T22">
        <v>-0.24878816666666667</v>
      </c>
      <c r="U22">
        <v>-1.0972166666666665</v>
      </c>
      <c r="V22">
        <v>-0.3744608333333333</v>
      </c>
      <c r="W22">
        <v>-1.0570783333333333</v>
      </c>
      <c r="X22">
        <v>-0.38002449999999999</v>
      </c>
      <c r="Y22">
        <v>-0.98343949999999991</v>
      </c>
      <c r="Z22">
        <v>-0.32319066666666668</v>
      </c>
      <c r="AA22">
        <v>-0.98471566666666666</v>
      </c>
      <c r="AB22">
        <v>-0.34381283333333335</v>
      </c>
      <c r="AC22">
        <v>-1.0148885000000001</v>
      </c>
      <c r="AD22">
        <v>-0.37637750000000003</v>
      </c>
      <c r="AE22">
        <v>-1.049315</v>
      </c>
      <c r="AF22">
        <v>-0.3862471666666667</v>
      </c>
      <c r="AG22">
        <v>-1.0575366666666666</v>
      </c>
      <c r="AH22">
        <v>-0.38442216666666668</v>
      </c>
      <c r="AI22">
        <v>-1.07626</v>
      </c>
      <c r="AJ22">
        <v>-0.40587150000000005</v>
      </c>
      <c r="AK22">
        <v>-1.0841149999999999</v>
      </c>
      <c r="AL22">
        <v>-0.40407649999999995</v>
      </c>
      <c r="AM22">
        <v>-1.0713216666666667</v>
      </c>
      <c r="AN22">
        <v>-0.36730316666666663</v>
      </c>
      <c r="AO22">
        <v>-1.28721</v>
      </c>
      <c r="AP22">
        <v>-0.3053568333333333</v>
      </c>
      <c r="AQ22">
        <v>-1.6715033333333331</v>
      </c>
      <c r="AR22">
        <v>-0.257185</v>
      </c>
      <c r="AS22">
        <v>-1.6629433333333334</v>
      </c>
      <c r="AT22">
        <v>-0.24851283333333332</v>
      </c>
      <c r="AU22">
        <v>-1.5216816666666666</v>
      </c>
      <c r="AV22">
        <v>-0.26256683333333336</v>
      </c>
      <c r="AW22">
        <v>-1.3211433333333333</v>
      </c>
      <c r="AX22">
        <v>-0.25870700000000002</v>
      </c>
      <c r="AY22">
        <v>-1.1435949999999999</v>
      </c>
      <c r="AZ22">
        <v>-0.25903149999999997</v>
      </c>
    </row>
    <row r="23" spans="1:52" x14ac:dyDescent="0.2">
      <c r="A23" t="s">
        <v>1987</v>
      </c>
      <c r="B23" t="s">
        <v>1484</v>
      </c>
      <c r="C23">
        <v>5</v>
      </c>
      <c r="D23" s="5">
        <v>42412</v>
      </c>
      <c r="E23">
        <v>-1.0798883333333333</v>
      </c>
      <c r="F23">
        <v>-0.23618650000000002</v>
      </c>
      <c r="G23">
        <v>-1.0303083333333332</v>
      </c>
      <c r="H23">
        <v>-0.23114516666666665</v>
      </c>
      <c r="I23">
        <v>-1.0043941666666667</v>
      </c>
      <c r="J23">
        <v>-0.22905283333333332</v>
      </c>
      <c r="K23">
        <v>-0.98583599999999993</v>
      </c>
      <c r="L23">
        <v>-0.2274383333333333</v>
      </c>
      <c r="M23">
        <v>-0.98116816666666673</v>
      </c>
      <c r="N23">
        <v>-0.22423683333333336</v>
      </c>
      <c r="O23">
        <v>-0.99586533333333327</v>
      </c>
      <c r="P23">
        <v>-0.22117966666666666</v>
      </c>
      <c r="Q23">
        <v>-1.1026750000000001</v>
      </c>
      <c r="R23">
        <v>-0.22357466666666664</v>
      </c>
      <c r="S23">
        <v>-1.0874849999999998</v>
      </c>
      <c r="T23">
        <v>-0.29361066666666663</v>
      </c>
      <c r="U23">
        <v>-1.0976933333333334</v>
      </c>
      <c r="V23">
        <v>-0.43066433333333332</v>
      </c>
      <c r="W23">
        <v>-1.0268833333333331</v>
      </c>
      <c r="X23">
        <v>-0.39802416666666662</v>
      </c>
      <c r="Y23">
        <v>-0.98868916666666662</v>
      </c>
      <c r="Z23">
        <v>-0.35786916666666668</v>
      </c>
      <c r="AA23">
        <v>-1.0096235</v>
      </c>
      <c r="AB23">
        <v>-0.36675916666666664</v>
      </c>
      <c r="AC23">
        <v>-1.0509633333333335</v>
      </c>
      <c r="AD23">
        <v>-0.39789533333333332</v>
      </c>
      <c r="AE23">
        <v>-1.0913216666666665</v>
      </c>
      <c r="AF23">
        <v>-0.41485050000000001</v>
      </c>
      <c r="AG23">
        <v>-1.1244816666666666</v>
      </c>
      <c r="AH23">
        <v>-0.42644066666666663</v>
      </c>
      <c r="AI23">
        <v>-1.1432616666666671</v>
      </c>
      <c r="AJ23">
        <v>-0.44437633333333337</v>
      </c>
      <c r="AK23">
        <v>-1.1432466666666667</v>
      </c>
      <c r="AL23">
        <v>-0.45621099999999998</v>
      </c>
      <c r="AM23">
        <v>-1.1235850000000001</v>
      </c>
      <c r="AN23">
        <v>-0.43058799999999997</v>
      </c>
      <c r="AO23">
        <v>-1.1475533333333332</v>
      </c>
      <c r="AP23">
        <v>-0.36344933333333329</v>
      </c>
      <c r="AQ23">
        <v>-1.6372016666666667</v>
      </c>
      <c r="AR23">
        <v>-0.28602366666666668</v>
      </c>
      <c r="AS23">
        <v>-1.7135499999999999</v>
      </c>
      <c r="AT23">
        <v>-0.27161133333333332</v>
      </c>
      <c r="AU23">
        <v>-1.5868566666666666</v>
      </c>
      <c r="AV23">
        <v>-0.28240466666666664</v>
      </c>
      <c r="AW23">
        <v>-1.3881166666666669</v>
      </c>
      <c r="AX23">
        <v>-0.29598983333333334</v>
      </c>
      <c r="AY23">
        <v>-1.1954066666666667</v>
      </c>
      <c r="AZ23">
        <v>-0.2672411666666667</v>
      </c>
    </row>
    <row r="24" spans="1:52" x14ac:dyDescent="0.2">
      <c r="A24" t="s">
        <v>1987</v>
      </c>
      <c r="B24" t="s">
        <v>1484</v>
      </c>
      <c r="C24">
        <v>5</v>
      </c>
      <c r="D24" s="5">
        <v>42419</v>
      </c>
      <c r="E24">
        <v>-1.1281000000000001</v>
      </c>
      <c r="F24">
        <v>-0.28847633333333333</v>
      </c>
      <c r="G24">
        <v>-1.0778266666666665</v>
      </c>
      <c r="H24">
        <v>-0.28495916666666671</v>
      </c>
      <c r="I24">
        <v>-1.0444516666666666</v>
      </c>
      <c r="J24">
        <v>-0.27214083333333333</v>
      </c>
      <c r="K24">
        <v>-1.0256133333333333</v>
      </c>
      <c r="L24">
        <v>-0.26482450000000002</v>
      </c>
      <c r="M24">
        <v>-1.01698</v>
      </c>
      <c r="N24">
        <v>-0.26508133333333328</v>
      </c>
      <c r="O24">
        <v>-1.0327550000000001</v>
      </c>
      <c r="P24">
        <v>-0.25688833333333333</v>
      </c>
      <c r="Q24">
        <v>-1.1368549999999997</v>
      </c>
      <c r="R24">
        <v>-0.24931816666666667</v>
      </c>
      <c r="S24">
        <v>-1.1109899999999999</v>
      </c>
      <c r="T24">
        <v>-0.31763649999999999</v>
      </c>
      <c r="U24">
        <v>-1.1092383333333333</v>
      </c>
      <c r="V24">
        <v>-0.4356828333333333</v>
      </c>
      <c r="W24">
        <v>-1.05443</v>
      </c>
      <c r="X24">
        <v>-0.39580283333333333</v>
      </c>
      <c r="Y24">
        <v>-1.0281333333333333</v>
      </c>
      <c r="Z24">
        <v>-0.36461149999999998</v>
      </c>
      <c r="AA24">
        <v>-1.0340166666666666</v>
      </c>
      <c r="AB24">
        <v>-0.36013916666666668</v>
      </c>
      <c r="AC24">
        <v>-1.0840883333333333</v>
      </c>
      <c r="AD24">
        <v>-0.4035439999999999</v>
      </c>
      <c r="AE24">
        <v>-1.1236666666666668</v>
      </c>
      <c r="AF24">
        <v>-0.40908583333333332</v>
      </c>
      <c r="AG24">
        <v>-1.1611066666666667</v>
      </c>
      <c r="AH24">
        <v>-0.41969000000000001</v>
      </c>
      <c r="AI24">
        <v>-1.1658266666666666</v>
      </c>
      <c r="AJ24">
        <v>-0.42570749999999996</v>
      </c>
      <c r="AK24">
        <v>-1.1780016666666668</v>
      </c>
      <c r="AL24">
        <v>-0.45222316666666668</v>
      </c>
      <c r="AM24">
        <v>-1.1620933333333332</v>
      </c>
      <c r="AN24">
        <v>-0.43206099999999997</v>
      </c>
      <c r="AO24">
        <v>-1.1685366666666666</v>
      </c>
      <c r="AP24">
        <v>-0.3777456666666667</v>
      </c>
      <c r="AQ24">
        <v>-1.6505783333333337</v>
      </c>
      <c r="AR24">
        <v>-0.31212183333333338</v>
      </c>
      <c r="AS24">
        <v>-1.7613599999999998</v>
      </c>
      <c r="AT24">
        <v>-0.30705533333333329</v>
      </c>
      <c r="AU24">
        <v>-1.6675000000000002</v>
      </c>
      <c r="AV24">
        <v>-0.3103785</v>
      </c>
      <c r="AW24">
        <v>-1.4591283333333334</v>
      </c>
      <c r="AX24">
        <v>-0.29162400000000005</v>
      </c>
      <c r="AY24">
        <v>-1.2500649999999998</v>
      </c>
      <c r="AZ24">
        <v>-0.28319949999999994</v>
      </c>
    </row>
    <row r="25" spans="1:52" x14ac:dyDescent="0.2">
      <c r="A25" t="s">
        <v>1987</v>
      </c>
      <c r="B25" t="s">
        <v>1484</v>
      </c>
      <c r="C25">
        <v>5</v>
      </c>
      <c r="D25" s="5">
        <v>42426</v>
      </c>
      <c r="E25">
        <v>-1.1224966666666667</v>
      </c>
      <c r="F25">
        <v>-0.25483250000000002</v>
      </c>
      <c r="G25">
        <v>-1.0680650000000003</v>
      </c>
      <c r="H25">
        <v>-0.24671899999999997</v>
      </c>
      <c r="I25">
        <v>-1.0407850000000001</v>
      </c>
      <c r="J25">
        <v>-0.24476333333333333</v>
      </c>
      <c r="K25">
        <v>-1.0296383333333332</v>
      </c>
      <c r="L25">
        <v>-0.24995500000000001</v>
      </c>
      <c r="M25">
        <v>-1.0259750000000001</v>
      </c>
      <c r="N25">
        <v>-0.2470161666666667</v>
      </c>
      <c r="O25">
        <v>-1.0322166666666668</v>
      </c>
      <c r="P25">
        <v>-0.23746766666666666</v>
      </c>
      <c r="Q25">
        <v>-1.1094150000000003</v>
      </c>
      <c r="R25">
        <v>-0.24088099999999998</v>
      </c>
      <c r="S25">
        <v>-1.0715016666666668</v>
      </c>
      <c r="T25">
        <v>-0.30582383333333329</v>
      </c>
      <c r="U25">
        <v>-1.1180383333333337</v>
      </c>
      <c r="V25">
        <v>-0.41954200000000008</v>
      </c>
      <c r="W25">
        <v>-1.08155</v>
      </c>
      <c r="X25">
        <v>-0.38712383333333333</v>
      </c>
      <c r="Y25">
        <v>-1.0506316666666666</v>
      </c>
      <c r="Z25">
        <v>-0.34740816666666668</v>
      </c>
      <c r="AA25">
        <v>-1.0633066666666666</v>
      </c>
      <c r="AB25">
        <v>-0.34465483333333335</v>
      </c>
      <c r="AC25">
        <v>-1.0887783333333334</v>
      </c>
      <c r="AD25">
        <v>-0.36177566666666666</v>
      </c>
      <c r="AE25">
        <v>-1.1093</v>
      </c>
      <c r="AF25">
        <v>-0.37072600000000006</v>
      </c>
      <c r="AG25">
        <v>-1.1269133333333332</v>
      </c>
      <c r="AH25">
        <v>-0.37514416666666672</v>
      </c>
      <c r="AI25">
        <v>-1.1377000000000002</v>
      </c>
      <c r="AJ25">
        <v>-0.38920316666666666</v>
      </c>
      <c r="AK25">
        <v>-1.1442666666666665</v>
      </c>
      <c r="AL25">
        <v>-0.40182366666666669</v>
      </c>
      <c r="AM25">
        <v>-1.130325</v>
      </c>
      <c r="AN25">
        <v>-0.39069366666666672</v>
      </c>
      <c r="AO25">
        <v>-1.1976316666666666</v>
      </c>
      <c r="AP25">
        <v>-0.33923016666666667</v>
      </c>
      <c r="AQ25">
        <v>-1.6546483333333333</v>
      </c>
      <c r="AR25">
        <v>-0.29461599999999999</v>
      </c>
      <c r="AS25">
        <v>-1.7442983333333335</v>
      </c>
      <c r="AT25">
        <v>-0.30044033333333331</v>
      </c>
      <c r="AU25">
        <v>-1.6256599999999999</v>
      </c>
      <c r="AV25">
        <v>-0.28521649999999998</v>
      </c>
      <c r="AW25">
        <v>-1.4351766666666665</v>
      </c>
      <c r="AX25">
        <v>-0.2722236666666667</v>
      </c>
      <c r="AY25">
        <v>-1.257735</v>
      </c>
      <c r="AZ25">
        <v>-0.26516333333333336</v>
      </c>
    </row>
    <row r="26" spans="1:52" x14ac:dyDescent="0.2">
      <c r="D26" s="5"/>
    </row>
    <row r="27" spans="1:52" x14ac:dyDescent="0.2">
      <c r="D27" s="5"/>
    </row>
    <row r="28" spans="1:52" x14ac:dyDescent="0.2">
      <c r="D28" s="18"/>
    </row>
    <row r="29" spans="1:52" x14ac:dyDescent="0.2">
      <c r="D29" s="18"/>
    </row>
    <row r="30" spans="1:52" x14ac:dyDescent="0.2">
      <c r="D30" s="18"/>
    </row>
    <row r="31" spans="1:52" x14ac:dyDescent="0.2">
      <c r="D31" s="18"/>
    </row>
    <row r="32" spans="1:52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</sheetData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4" priority="5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3" priority="3" operator="between">
      <formula>-0.0001</formula>
      <formula>0</formula>
    </cfRule>
    <cfRule type="cellIs" dxfId="2" priority="4" operator="between">
      <formula>-0.0001</formula>
      <formula>0</formula>
    </cfRule>
  </conditionalFormatting>
  <conditionalFormatting sqref="AY1:AY1048576 AW1:AW1048576 AU1:AU1048576 AS1:AS1048576 AQ1:AQ1048576 AO1:AO1048576 AM1:AM1048576 AK1:AK1048576 AI1:AI1048576 AG1:AG1048576 AE1:AE1048576 AC1:AC1048576 AA1:AA1048576 Y1:Y1048576 W1:W1048576 U1:U1048576 S1:S1048576 Q1:Q1048576 O1:O1048576 M1:M1048576 K1:K1048576 I1:I1048576 G1:G1048576 E1:E1048576">
    <cfRule type="cellIs" dxfId="1" priority="1" operator="lessThan">
      <formula>0</formula>
    </cfRule>
    <cfRule type="cellIs" dxfId="0" priority="2" operator="between">
      <formula>0</formula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 enableFormatConditionsCalculation="0"/>
  <dimension ref="A1:Z161"/>
  <sheetViews>
    <sheetView workbookViewId="0">
      <selection activeCell="A15" sqref="A15"/>
    </sheetView>
  </sheetViews>
  <sheetFormatPr baseColWidth="10" defaultColWidth="11.5" defaultRowHeight="15" x14ac:dyDescent="0.2"/>
  <cols>
    <col min="5" max="5" width="14.6640625" bestFit="1" customWidth="1"/>
    <col min="8" max="9" width="11.5" style="16"/>
  </cols>
  <sheetData>
    <row r="1" spans="1:26" x14ac:dyDescent="0.2">
      <c r="A1" t="s">
        <v>1266</v>
      </c>
      <c r="H1" s="16" t="s">
        <v>1537</v>
      </c>
      <c r="M1" t="s">
        <v>1267</v>
      </c>
      <c r="R1" t="s">
        <v>1265</v>
      </c>
      <c r="X1" t="s">
        <v>1484</v>
      </c>
    </row>
    <row r="2" spans="1:26" x14ac:dyDescent="0.2">
      <c r="A2">
        <v>1</v>
      </c>
      <c r="B2" t="s">
        <v>13</v>
      </c>
      <c r="C2" t="s">
        <v>431</v>
      </c>
      <c r="E2" t="s">
        <v>3</v>
      </c>
      <c r="F2">
        <v>1</v>
      </c>
      <c r="H2" s="16">
        <v>1</v>
      </c>
      <c r="I2" s="16" t="s">
        <v>1838</v>
      </c>
      <c r="M2">
        <v>1</v>
      </c>
      <c r="N2" t="s">
        <v>859</v>
      </c>
      <c r="O2" t="s">
        <v>860</v>
      </c>
      <c r="R2">
        <v>1</v>
      </c>
      <c r="S2" t="s">
        <v>1127</v>
      </c>
      <c r="T2" t="s">
        <v>1195</v>
      </c>
      <c r="X2">
        <v>1</v>
      </c>
      <c r="Y2" t="s">
        <v>1268</v>
      </c>
      <c r="Z2" t="s">
        <v>1269</v>
      </c>
    </row>
    <row r="3" spans="1:26" x14ac:dyDescent="0.2">
      <c r="A3">
        <v>1</v>
      </c>
      <c r="B3" t="s">
        <v>14</v>
      </c>
      <c r="C3" t="s">
        <v>432</v>
      </c>
      <c r="E3" t="s">
        <v>4</v>
      </c>
      <c r="F3">
        <v>2</v>
      </c>
      <c r="H3" s="16">
        <v>1</v>
      </c>
      <c r="I3" s="16" t="s">
        <v>1839</v>
      </c>
      <c r="M3">
        <v>1</v>
      </c>
      <c r="N3" t="s">
        <v>861</v>
      </c>
      <c r="O3" t="s">
        <v>862</v>
      </c>
      <c r="R3">
        <v>1</v>
      </c>
      <c r="S3" t="s">
        <v>1128</v>
      </c>
      <c r="T3" t="s">
        <v>1196</v>
      </c>
      <c r="X3">
        <v>1</v>
      </c>
      <c r="Y3" t="s">
        <v>1270</v>
      </c>
      <c r="Z3" t="s">
        <v>1271</v>
      </c>
    </row>
    <row r="4" spans="1:26" x14ac:dyDescent="0.2">
      <c r="A4">
        <v>1</v>
      </c>
      <c r="B4" t="s">
        <v>15</v>
      </c>
      <c r="C4" t="s">
        <v>433</v>
      </c>
      <c r="E4" t="s">
        <v>2</v>
      </c>
      <c r="F4">
        <v>3</v>
      </c>
      <c r="H4" s="16">
        <v>1</v>
      </c>
      <c r="I4" s="16" t="s">
        <v>1840</v>
      </c>
      <c r="M4">
        <v>1</v>
      </c>
      <c r="N4" t="s">
        <v>863</v>
      </c>
      <c r="O4" t="s">
        <v>864</v>
      </c>
      <c r="R4">
        <v>1</v>
      </c>
      <c r="S4" t="s">
        <v>1129</v>
      </c>
      <c r="T4" t="s">
        <v>1197</v>
      </c>
      <c r="X4">
        <v>1</v>
      </c>
      <c r="Y4" t="s">
        <v>1272</v>
      </c>
      <c r="Z4" t="s">
        <v>1273</v>
      </c>
    </row>
    <row r="5" spans="1:26" x14ac:dyDescent="0.2">
      <c r="A5">
        <v>1</v>
      </c>
      <c r="B5" t="s">
        <v>261</v>
      </c>
      <c r="C5" t="s">
        <v>434</v>
      </c>
      <c r="E5" t="s">
        <v>5</v>
      </c>
      <c r="F5">
        <v>4</v>
      </c>
      <c r="H5" s="16">
        <v>1</v>
      </c>
      <c r="I5" s="16" t="s">
        <v>1841</v>
      </c>
      <c r="M5">
        <v>1</v>
      </c>
      <c r="N5" t="s">
        <v>865</v>
      </c>
      <c r="O5" t="s">
        <v>866</v>
      </c>
      <c r="R5">
        <v>1</v>
      </c>
      <c r="S5" t="s">
        <v>1130</v>
      </c>
      <c r="T5" t="s">
        <v>1198</v>
      </c>
      <c r="X5">
        <v>1</v>
      </c>
      <c r="Y5" t="s">
        <v>1274</v>
      </c>
      <c r="Z5" t="s">
        <v>1275</v>
      </c>
    </row>
    <row r="6" spans="1:26" x14ac:dyDescent="0.2">
      <c r="A6">
        <v>1</v>
      </c>
      <c r="B6" t="s">
        <v>262</v>
      </c>
      <c r="C6" t="s">
        <v>435</v>
      </c>
      <c r="E6" t="s">
        <v>6</v>
      </c>
      <c r="F6">
        <v>5</v>
      </c>
      <c r="H6" s="16">
        <v>1</v>
      </c>
      <c r="I6" s="16" t="s">
        <v>1842</v>
      </c>
      <c r="M6">
        <v>1</v>
      </c>
      <c r="N6" t="s">
        <v>261</v>
      </c>
      <c r="O6" t="s">
        <v>867</v>
      </c>
      <c r="R6">
        <v>1</v>
      </c>
      <c r="S6" t="s">
        <v>1131</v>
      </c>
      <c r="T6" t="s">
        <v>1199</v>
      </c>
      <c r="X6">
        <v>1</v>
      </c>
      <c r="Y6" t="s">
        <v>1276</v>
      </c>
      <c r="Z6" t="s">
        <v>1277</v>
      </c>
    </row>
    <row r="7" spans="1:26" x14ac:dyDescent="0.2">
      <c r="A7">
        <v>1</v>
      </c>
      <c r="B7" t="s">
        <v>263</v>
      </c>
      <c r="C7" t="s">
        <v>436</v>
      </c>
      <c r="E7" t="s">
        <v>7</v>
      </c>
      <c r="F7">
        <v>6</v>
      </c>
      <c r="H7" s="16">
        <v>1</v>
      </c>
      <c r="I7" s="16" t="s">
        <v>1843</v>
      </c>
      <c r="M7">
        <v>1</v>
      </c>
      <c r="N7" t="s">
        <v>868</v>
      </c>
      <c r="O7" t="s">
        <v>869</v>
      </c>
      <c r="R7">
        <v>1</v>
      </c>
      <c r="S7" t="s">
        <v>1132</v>
      </c>
      <c r="T7" t="s">
        <v>1200</v>
      </c>
      <c r="X7">
        <v>1</v>
      </c>
      <c r="Y7" t="s">
        <v>1278</v>
      </c>
      <c r="Z7" t="s">
        <v>1279</v>
      </c>
    </row>
    <row r="8" spans="1:26" x14ac:dyDescent="0.2">
      <c r="A8">
        <v>1</v>
      </c>
      <c r="B8" t="s">
        <v>264</v>
      </c>
      <c r="C8" t="s">
        <v>437</v>
      </c>
      <c r="E8" t="s">
        <v>8</v>
      </c>
      <c r="F8">
        <v>7</v>
      </c>
      <c r="H8" s="16">
        <v>1</v>
      </c>
      <c r="I8" s="16" t="s">
        <v>1844</v>
      </c>
      <c r="M8">
        <v>1</v>
      </c>
      <c r="N8" t="s">
        <v>870</v>
      </c>
      <c r="O8" t="s">
        <v>871</v>
      </c>
      <c r="R8">
        <v>1</v>
      </c>
      <c r="S8" t="s">
        <v>1133</v>
      </c>
      <c r="T8" t="s">
        <v>1201</v>
      </c>
      <c r="X8">
        <v>1</v>
      </c>
      <c r="Y8" t="s">
        <v>1280</v>
      </c>
      <c r="Z8" t="s">
        <v>1281</v>
      </c>
    </row>
    <row r="9" spans="1:26" x14ac:dyDescent="0.2">
      <c r="A9">
        <v>1</v>
      </c>
      <c r="B9" t="s">
        <v>265</v>
      </c>
      <c r="C9" t="s">
        <v>438</v>
      </c>
      <c r="E9" t="s">
        <v>9</v>
      </c>
      <c r="F9">
        <v>8</v>
      </c>
      <c r="H9" s="16">
        <v>1</v>
      </c>
      <c r="I9" s="16" t="s">
        <v>1845</v>
      </c>
      <c r="M9">
        <v>1</v>
      </c>
      <c r="N9" t="s">
        <v>872</v>
      </c>
      <c r="O9" t="s">
        <v>873</v>
      </c>
      <c r="R9">
        <v>1</v>
      </c>
      <c r="S9" t="s">
        <v>1134</v>
      </c>
      <c r="T9" t="s">
        <v>1202</v>
      </c>
      <c r="X9">
        <v>1</v>
      </c>
      <c r="Y9" t="s">
        <v>1282</v>
      </c>
      <c r="Z9" t="s">
        <v>1283</v>
      </c>
    </row>
    <row r="10" spans="1:26" x14ac:dyDescent="0.2">
      <c r="A10">
        <v>1</v>
      </c>
      <c r="B10" t="s">
        <v>266</v>
      </c>
      <c r="C10" t="s">
        <v>439</v>
      </c>
      <c r="E10" t="s">
        <v>10</v>
      </c>
      <c r="F10">
        <v>9</v>
      </c>
      <c r="H10" s="16">
        <v>1</v>
      </c>
      <c r="I10" s="16" t="s">
        <v>1372</v>
      </c>
      <c r="M10">
        <v>1</v>
      </c>
      <c r="N10" t="s">
        <v>874</v>
      </c>
      <c r="O10" t="s">
        <v>875</v>
      </c>
      <c r="R10">
        <v>1</v>
      </c>
      <c r="S10" t="s">
        <v>1135</v>
      </c>
      <c r="T10" t="s">
        <v>1203</v>
      </c>
      <c r="X10">
        <v>1</v>
      </c>
      <c r="Y10" t="s">
        <v>1284</v>
      </c>
      <c r="Z10" t="s">
        <v>1285</v>
      </c>
    </row>
    <row r="11" spans="1:26" x14ac:dyDescent="0.2">
      <c r="A11">
        <v>1</v>
      </c>
      <c r="B11" t="s">
        <v>267</v>
      </c>
      <c r="C11" t="s">
        <v>440</v>
      </c>
      <c r="E11" t="s">
        <v>11</v>
      </c>
      <c r="F11">
        <v>10</v>
      </c>
      <c r="H11" s="16">
        <v>1</v>
      </c>
      <c r="I11" s="16" t="s">
        <v>1846</v>
      </c>
      <c r="M11">
        <v>1</v>
      </c>
      <c r="N11" t="s">
        <v>876</v>
      </c>
      <c r="O11" t="s">
        <v>877</v>
      </c>
      <c r="R11">
        <v>1</v>
      </c>
      <c r="S11" t="s">
        <v>1136</v>
      </c>
      <c r="T11" t="s">
        <v>1204</v>
      </c>
      <c r="X11">
        <v>1</v>
      </c>
      <c r="Y11" t="s">
        <v>1286</v>
      </c>
      <c r="Z11" t="s">
        <v>1287</v>
      </c>
    </row>
    <row r="12" spans="1:26" x14ac:dyDescent="0.2">
      <c r="A12">
        <v>1</v>
      </c>
      <c r="B12" t="s">
        <v>268</v>
      </c>
      <c r="C12" t="s">
        <v>441</v>
      </c>
      <c r="H12" s="16">
        <v>1</v>
      </c>
      <c r="I12" s="16" t="s">
        <v>1847</v>
      </c>
      <c r="M12">
        <v>1</v>
      </c>
      <c r="N12" t="s">
        <v>878</v>
      </c>
      <c r="O12" t="s">
        <v>879</v>
      </c>
      <c r="R12">
        <v>1</v>
      </c>
      <c r="S12" t="s">
        <v>1137</v>
      </c>
      <c r="T12" t="s">
        <v>1205</v>
      </c>
      <c r="X12">
        <v>1</v>
      </c>
      <c r="Y12" t="s">
        <v>1288</v>
      </c>
      <c r="Z12" t="s">
        <v>1289</v>
      </c>
    </row>
    <row r="13" spans="1:26" x14ac:dyDescent="0.2">
      <c r="A13">
        <v>1</v>
      </c>
      <c r="B13" t="s">
        <v>260</v>
      </c>
      <c r="C13" t="s">
        <v>442</v>
      </c>
      <c r="H13" s="16">
        <v>1</v>
      </c>
      <c r="I13" s="16" t="s">
        <v>1848</v>
      </c>
      <c r="M13">
        <v>1</v>
      </c>
      <c r="N13" t="s">
        <v>880</v>
      </c>
      <c r="O13" t="s">
        <v>881</v>
      </c>
      <c r="R13">
        <v>1</v>
      </c>
      <c r="S13" t="s">
        <v>1138</v>
      </c>
      <c r="T13" t="s">
        <v>1206</v>
      </c>
      <c r="X13">
        <v>2</v>
      </c>
      <c r="Y13" t="s">
        <v>1290</v>
      </c>
      <c r="Z13" t="s">
        <v>1291</v>
      </c>
    </row>
    <row r="14" spans="1:26" x14ac:dyDescent="0.2">
      <c r="A14">
        <v>1</v>
      </c>
      <c r="B14" t="s">
        <v>269</v>
      </c>
      <c r="C14" t="s">
        <v>443</v>
      </c>
      <c r="H14" s="16">
        <v>1</v>
      </c>
      <c r="I14" s="16" t="s">
        <v>1849</v>
      </c>
      <c r="M14">
        <v>1</v>
      </c>
      <c r="N14" t="s">
        <v>882</v>
      </c>
      <c r="O14" t="s">
        <v>883</v>
      </c>
      <c r="R14">
        <v>1</v>
      </c>
      <c r="S14" t="s">
        <v>1139</v>
      </c>
      <c r="T14" t="s">
        <v>1207</v>
      </c>
      <c r="X14">
        <v>2</v>
      </c>
      <c r="Y14" t="s">
        <v>1292</v>
      </c>
      <c r="Z14" t="s">
        <v>1293</v>
      </c>
    </row>
    <row r="15" spans="1:26" x14ac:dyDescent="0.2">
      <c r="A15">
        <v>1</v>
      </c>
      <c r="B15" t="s">
        <v>270</v>
      </c>
      <c r="C15" t="s">
        <v>444</v>
      </c>
      <c r="H15" s="16">
        <v>1</v>
      </c>
      <c r="I15" s="16" t="s">
        <v>1850</v>
      </c>
      <c r="M15">
        <v>1</v>
      </c>
      <c r="N15" t="s">
        <v>884</v>
      </c>
      <c r="O15" t="s">
        <v>885</v>
      </c>
      <c r="R15">
        <v>2</v>
      </c>
      <c r="S15" t="s">
        <v>1140</v>
      </c>
      <c r="T15" t="s">
        <v>1208</v>
      </c>
      <c r="X15">
        <v>2</v>
      </c>
      <c r="Y15" t="s">
        <v>1294</v>
      </c>
      <c r="Z15" t="s">
        <v>1295</v>
      </c>
    </row>
    <row r="16" spans="1:26" x14ac:dyDescent="0.2">
      <c r="A16">
        <v>1</v>
      </c>
      <c r="B16" t="s">
        <v>271</v>
      </c>
      <c r="C16" t="s">
        <v>445</v>
      </c>
      <c r="H16" s="16">
        <v>1</v>
      </c>
      <c r="I16" s="16" t="s">
        <v>1851</v>
      </c>
      <c r="M16">
        <v>1</v>
      </c>
      <c r="N16" t="s">
        <v>886</v>
      </c>
      <c r="O16" t="s">
        <v>887</v>
      </c>
      <c r="R16">
        <v>2</v>
      </c>
      <c r="S16" t="s">
        <v>1141</v>
      </c>
      <c r="T16" t="s">
        <v>1209</v>
      </c>
      <c r="X16">
        <v>3</v>
      </c>
      <c r="Y16" t="s">
        <v>1296</v>
      </c>
      <c r="Z16" t="s">
        <v>1297</v>
      </c>
    </row>
    <row r="17" spans="1:26" x14ac:dyDescent="0.2">
      <c r="A17">
        <v>1</v>
      </c>
      <c r="B17" t="s">
        <v>272</v>
      </c>
      <c r="C17" t="s">
        <v>446</v>
      </c>
      <c r="H17" s="16">
        <v>1</v>
      </c>
      <c r="I17" s="16" t="s">
        <v>1852</v>
      </c>
      <c r="M17">
        <v>1</v>
      </c>
      <c r="N17" t="s">
        <v>888</v>
      </c>
      <c r="O17" t="s">
        <v>889</v>
      </c>
      <c r="R17">
        <v>2</v>
      </c>
      <c r="S17" t="s">
        <v>1142</v>
      </c>
      <c r="T17" t="s">
        <v>1210</v>
      </c>
      <c r="X17">
        <v>3</v>
      </c>
      <c r="Y17" t="s">
        <v>1298</v>
      </c>
      <c r="Z17" t="s">
        <v>1299</v>
      </c>
    </row>
    <row r="18" spans="1:26" x14ac:dyDescent="0.2">
      <c r="A18">
        <v>1</v>
      </c>
      <c r="B18" t="s">
        <v>273</v>
      </c>
      <c r="C18" t="s">
        <v>447</v>
      </c>
      <c r="H18" s="16">
        <v>1</v>
      </c>
      <c r="I18" s="16" t="s">
        <v>1853</v>
      </c>
      <c r="M18">
        <v>1</v>
      </c>
      <c r="N18" t="s">
        <v>890</v>
      </c>
      <c r="O18" t="s">
        <v>891</v>
      </c>
      <c r="R18">
        <v>2</v>
      </c>
      <c r="S18" t="s">
        <v>1143</v>
      </c>
      <c r="T18" t="s">
        <v>1211</v>
      </c>
      <c r="X18">
        <v>3</v>
      </c>
      <c r="Y18" t="s">
        <v>1300</v>
      </c>
      <c r="Z18" t="s">
        <v>1301</v>
      </c>
    </row>
    <row r="19" spans="1:26" x14ac:dyDescent="0.2">
      <c r="A19">
        <v>1</v>
      </c>
      <c r="B19" t="s">
        <v>274</v>
      </c>
      <c r="C19" t="s">
        <v>448</v>
      </c>
      <c r="H19" s="16">
        <v>1</v>
      </c>
      <c r="I19" s="16" t="s">
        <v>1854</v>
      </c>
      <c r="M19">
        <v>1</v>
      </c>
      <c r="N19" t="s">
        <v>892</v>
      </c>
      <c r="O19" t="s">
        <v>893</v>
      </c>
      <c r="R19">
        <v>3</v>
      </c>
      <c r="S19" t="s">
        <v>1144</v>
      </c>
      <c r="T19" t="s">
        <v>1212</v>
      </c>
      <c r="X19">
        <v>3</v>
      </c>
      <c r="Y19" t="s">
        <v>1302</v>
      </c>
      <c r="Z19" t="s">
        <v>1303</v>
      </c>
    </row>
    <row r="20" spans="1:26" x14ac:dyDescent="0.2">
      <c r="A20">
        <v>1</v>
      </c>
      <c r="B20" t="s">
        <v>275</v>
      </c>
      <c r="C20" t="s">
        <v>449</v>
      </c>
      <c r="H20" s="16">
        <v>1</v>
      </c>
      <c r="I20" s="16" t="s">
        <v>1855</v>
      </c>
      <c r="M20">
        <v>1</v>
      </c>
      <c r="N20" t="s">
        <v>894</v>
      </c>
      <c r="O20" t="s">
        <v>895</v>
      </c>
      <c r="R20">
        <v>3</v>
      </c>
      <c r="S20" t="s">
        <v>1145</v>
      </c>
      <c r="T20" t="s">
        <v>1213</v>
      </c>
      <c r="X20">
        <v>3</v>
      </c>
      <c r="Y20" t="s">
        <v>1304</v>
      </c>
      <c r="Z20" t="s">
        <v>1305</v>
      </c>
    </row>
    <row r="21" spans="1:26" x14ac:dyDescent="0.2">
      <c r="A21">
        <v>1</v>
      </c>
      <c r="B21" t="s">
        <v>276</v>
      </c>
      <c r="C21" t="s">
        <v>450</v>
      </c>
      <c r="H21" s="16">
        <v>1</v>
      </c>
      <c r="I21" s="16" t="s">
        <v>1856</v>
      </c>
      <c r="M21">
        <v>1</v>
      </c>
      <c r="N21" t="s">
        <v>896</v>
      </c>
      <c r="O21" t="s">
        <v>897</v>
      </c>
      <c r="R21">
        <v>3</v>
      </c>
      <c r="S21" t="s">
        <v>1146</v>
      </c>
      <c r="T21" t="s">
        <v>1214</v>
      </c>
      <c r="X21">
        <v>3</v>
      </c>
      <c r="Y21" t="s">
        <v>1306</v>
      </c>
      <c r="Z21" t="s">
        <v>1307</v>
      </c>
    </row>
    <row r="22" spans="1:26" x14ac:dyDescent="0.2">
      <c r="A22">
        <v>1</v>
      </c>
      <c r="B22" t="s">
        <v>277</v>
      </c>
      <c r="C22" t="s">
        <v>451</v>
      </c>
      <c r="H22" s="16">
        <v>1</v>
      </c>
      <c r="I22" s="16" t="s">
        <v>1857</v>
      </c>
      <c r="M22">
        <v>2</v>
      </c>
      <c r="N22" t="s">
        <v>898</v>
      </c>
      <c r="O22" t="s">
        <v>899</v>
      </c>
      <c r="R22">
        <v>3</v>
      </c>
      <c r="S22" t="s">
        <v>1147</v>
      </c>
      <c r="T22" t="s">
        <v>1215</v>
      </c>
      <c r="X22">
        <v>3</v>
      </c>
      <c r="Y22" t="s">
        <v>1308</v>
      </c>
      <c r="Z22" t="s">
        <v>1309</v>
      </c>
    </row>
    <row r="23" spans="1:26" x14ac:dyDescent="0.2">
      <c r="A23">
        <v>1</v>
      </c>
      <c r="B23" t="s">
        <v>278</v>
      </c>
      <c r="C23" t="s">
        <v>452</v>
      </c>
      <c r="H23" s="16">
        <v>1</v>
      </c>
      <c r="I23" s="16" t="s">
        <v>1858</v>
      </c>
      <c r="M23">
        <v>2</v>
      </c>
      <c r="N23" t="s">
        <v>900</v>
      </c>
      <c r="O23" t="s">
        <v>901</v>
      </c>
      <c r="R23">
        <v>3</v>
      </c>
      <c r="S23" t="s">
        <v>1148</v>
      </c>
      <c r="T23" t="s">
        <v>1216</v>
      </c>
      <c r="X23">
        <v>3</v>
      </c>
      <c r="Y23" t="s">
        <v>1310</v>
      </c>
      <c r="Z23" t="s">
        <v>1311</v>
      </c>
    </row>
    <row r="24" spans="1:26" x14ac:dyDescent="0.2">
      <c r="A24">
        <v>1</v>
      </c>
      <c r="B24" t="s">
        <v>279</v>
      </c>
      <c r="C24" t="s">
        <v>453</v>
      </c>
      <c r="H24" s="16">
        <v>1</v>
      </c>
      <c r="I24" s="16" t="s">
        <v>1859</v>
      </c>
      <c r="M24">
        <v>2</v>
      </c>
      <c r="N24" t="s">
        <v>282</v>
      </c>
      <c r="O24" t="s">
        <v>902</v>
      </c>
      <c r="R24">
        <v>3</v>
      </c>
      <c r="S24" t="s">
        <v>1149</v>
      </c>
      <c r="T24" t="s">
        <v>1217</v>
      </c>
      <c r="X24">
        <v>3</v>
      </c>
      <c r="Y24" t="s">
        <v>1312</v>
      </c>
      <c r="Z24" t="s">
        <v>1313</v>
      </c>
    </row>
    <row r="25" spans="1:26" x14ac:dyDescent="0.2">
      <c r="A25">
        <v>2</v>
      </c>
      <c r="B25" t="s">
        <v>280</v>
      </c>
      <c r="C25" t="s">
        <v>454</v>
      </c>
      <c r="H25" s="16">
        <v>1</v>
      </c>
      <c r="I25" s="16" t="s">
        <v>1860</v>
      </c>
      <c r="M25">
        <v>2</v>
      </c>
      <c r="N25" t="s">
        <v>903</v>
      </c>
      <c r="O25" t="s">
        <v>904</v>
      </c>
      <c r="R25">
        <v>3</v>
      </c>
      <c r="S25" t="s">
        <v>1150</v>
      </c>
      <c r="T25" t="s">
        <v>1218</v>
      </c>
      <c r="X25">
        <v>3</v>
      </c>
      <c r="Y25" t="s">
        <v>1314</v>
      </c>
      <c r="Z25" t="s">
        <v>1315</v>
      </c>
    </row>
    <row r="26" spans="1:26" x14ac:dyDescent="0.2">
      <c r="A26">
        <v>2</v>
      </c>
      <c r="B26" t="s">
        <v>281</v>
      </c>
      <c r="C26" t="s">
        <v>455</v>
      </c>
      <c r="H26" s="16">
        <v>1</v>
      </c>
      <c r="I26" s="16" t="s">
        <v>1861</v>
      </c>
      <c r="M26">
        <v>2</v>
      </c>
      <c r="N26" t="s">
        <v>905</v>
      </c>
      <c r="O26" t="s">
        <v>906</v>
      </c>
      <c r="R26">
        <v>4</v>
      </c>
      <c r="S26" t="s">
        <v>1151</v>
      </c>
      <c r="T26" t="s">
        <v>1219</v>
      </c>
      <c r="X26">
        <v>4</v>
      </c>
      <c r="Y26" t="s">
        <v>1316</v>
      </c>
      <c r="Z26" t="s">
        <v>1317</v>
      </c>
    </row>
    <row r="27" spans="1:26" x14ac:dyDescent="0.2">
      <c r="A27">
        <v>2</v>
      </c>
      <c r="B27" t="s">
        <v>282</v>
      </c>
      <c r="C27" t="s">
        <v>456</v>
      </c>
      <c r="H27" s="16">
        <v>1</v>
      </c>
      <c r="I27" s="16" t="s">
        <v>1862</v>
      </c>
      <c r="M27">
        <v>2</v>
      </c>
      <c r="N27" t="s">
        <v>907</v>
      </c>
      <c r="O27" t="s">
        <v>908</v>
      </c>
      <c r="R27">
        <v>4</v>
      </c>
      <c r="S27" t="s">
        <v>1152</v>
      </c>
      <c r="T27" t="s">
        <v>1220</v>
      </c>
      <c r="X27">
        <v>4</v>
      </c>
      <c r="Y27" t="s">
        <v>1318</v>
      </c>
      <c r="Z27" t="s">
        <v>1319</v>
      </c>
    </row>
    <row r="28" spans="1:26" x14ac:dyDescent="0.2">
      <c r="A28">
        <v>2</v>
      </c>
      <c r="B28" t="s">
        <v>283</v>
      </c>
      <c r="C28" t="s">
        <v>457</v>
      </c>
      <c r="H28" s="16">
        <v>1</v>
      </c>
      <c r="I28" s="16" t="s">
        <v>1863</v>
      </c>
      <c r="M28">
        <v>2</v>
      </c>
      <c r="N28" t="s">
        <v>909</v>
      </c>
      <c r="O28" t="s">
        <v>910</v>
      </c>
      <c r="R28">
        <v>4</v>
      </c>
      <c r="S28" t="s">
        <v>267</v>
      </c>
      <c r="T28" t="s">
        <v>1221</v>
      </c>
      <c r="X28">
        <v>4</v>
      </c>
      <c r="Y28" t="s">
        <v>262</v>
      </c>
      <c r="Z28" t="s">
        <v>1320</v>
      </c>
    </row>
    <row r="29" spans="1:26" x14ac:dyDescent="0.2">
      <c r="A29">
        <v>2</v>
      </c>
      <c r="B29" t="s">
        <v>284</v>
      </c>
      <c r="C29" t="s">
        <v>458</v>
      </c>
      <c r="H29" s="16">
        <v>1</v>
      </c>
      <c r="I29" s="16" t="s">
        <v>1864</v>
      </c>
      <c r="M29">
        <v>2</v>
      </c>
      <c r="N29" t="s">
        <v>911</v>
      </c>
      <c r="O29" t="s">
        <v>912</v>
      </c>
      <c r="R29">
        <v>4</v>
      </c>
      <c r="S29" t="s">
        <v>348</v>
      </c>
      <c r="T29" t="s">
        <v>1222</v>
      </c>
      <c r="X29">
        <v>4</v>
      </c>
      <c r="Y29" t="s">
        <v>1321</v>
      </c>
      <c r="Z29" t="s">
        <v>1322</v>
      </c>
    </row>
    <row r="30" spans="1:26" x14ac:dyDescent="0.2">
      <c r="A30">
        <v>2</v>
      </c>
      <c r="B30" t="s">
        <v>285</v>
      </c>
      <c r="C30" t="s">
        <v>459</v>
      </c>
      <c r="H30" s="16">
        <v>1</v>
      </c>
      <c r="I30" s="16" t="s">
        <v>1865</v>
      </c>
      <c r="M30">
        <v>3</v>
      </c>
      <c r="N30" t="s">
        <v>913</v>
      </c>
      <c r="O30" t="s">
        <v>914</v>
      </c>
      <c r="R30">
        <v>5</v>
      </c>
      <c r="S30" t="s">
        <v>1153</v>
      </c>
      <c r="T30" t="s">
        <v>1223</v>
      </c>
      <c r="X30">
        <v>4</v>
      </c>
      <c r="Y30" t="s">
        <v>1323</v>
      </c>
      <c r="Z30" t="s">
        <v>1324</v>
      </c>
    </row>
    <row r="31" spans="1:26" x14ac:dyDescent="0.2">
      <c r="A31">
        <v>2</v>
      </c>
      <c r="B31" t="s">
        <v>286</v>
      </c>
      <c r="C31" t="s">
        <v>460</v>
      </c>
      <c r="H31" s="16">
        <v>1</v>
      </c>
      <c r="I31" s="16" t="s">
        <v>1866</v>
      </c>
      <c r="M31">
        <v>3</v>
      </c>
      <c r="N31" t="s">
        <v>915</v>
      </c>
      <c r="O31" t="s">
        <v>916</v>
      </c>
      <c r="R31">
        <v>5</v>
      </c>
      <c r="S31" t="s">
        <v>1154</v>
      </c>
      <c r="T31" t="s">
        <v>1224</v>
      </c>
      <c r="X31">
        <v>4</v>
      </c>
      <c r="Y31" t="s">
        <v>1325</v>
      </c>
      <c r="Z31" t="s">
        <v>1326</v>
      </c>
    </row>
    <row r="32" spans="1:26" x14ac:dyDescent="0.2">
      <c r="A32">
        <v>2</v>
      </c>
      <c r="B32" t="s">
        <v>287</v>
      </c>
      <c r="C32" t="s">
        <v>461</v>
      </c>
      <c r="H32" s="16">
        <v>1</v>
      </c>
      <c r="I32" s="16" t="s">
        <v>1867</v>
      </c>
      <c r="M32">
        <v>3</v>
      </c>
      <c r="N32" t="s">
        <v>917</v>
      </c>
      <c r="O32" t="s">
        <v>918</v>
      </c>
      <c r="R32">
        <v>5</v>
      </c>
      <c r="S32" t="s">
        <v>1155</v>
      </c>
      <c r="T32" t="s">
        <v>1225</v>
      </c>
      <c r="X32">
        <v>4</v>
      </c>
      <c r="Y32" t="s">
        <v>399</v>
      </c>
      <c r="Z32" t="s">
        <v>1327</v>
      </c>
    </row>
    <row r="33" spans="1:26" x14ac:dyDescent="0.2">
      <c r="A33">
        <v>2</v>
      </c>
      <c r="B33" t="s">
        <v>288</v>
      </c>
      <c r="C33" t="s">
        <v>462</v>
      </c>
      <c r="H33" s="16">
        <v>1</v>
      </c>
      <c r="I33" s="16" t="s">
        <v>1868</v>
      </c>
      <c r="M33">
        <v>3</v>
      </c>
      <c r="N33" t="s">
        <v>919</v>
      </c>
      <c r="O33" t="s">
        <v>920</v>
      </c>
      <c r="R33">
        <v>5</v>
      </c>
      <c r="S33" t="s">
        <v>1156</v>
      </c>
      <c r="T33" t="s">
        <v>1226</v>
      </c>
      <c r="X33">
        <v>4</v>
      </c>
      <c r="Y33" t="s">
        <v>1328</v>
      </c>
      <c r="Z33" t="s">
        <v>1329</v>
      </c>
    </row>
    <row r="34" spans="1:26" x14ac:dyDescent="0.2">
      <c r="A34">
        <v>2</v>
      </c>
      <c r="B34" t="s">
        <v>289</v>
      </c>
      <c r="C34" t="s">
        <v>463</v>
      </c>
      <c r="H34" s="16">
        <v>1</v>
      </c>
      <c r="I34" s="16" t="s">
        <v>1869</v>
      </c>
      <c r="M34">
        <v>3</v>
      </c>
      <c r="N34" t="s">
        <v>921</v>
      </c>
      <c r="O34" t="s">
        <v>922</v>
      </c>
      <c r="R34">
        <v>5</v>
      </c>
      <c r="S34" t="s">
        <v>1157</v>
      </c>
      <c r="T34" t="s">
        <v>1227</v>
      </c>
      <c r="X34">
        <v>5</v>
      </c>
      <c r="Y34" t="s">
        <v>1330</v>
      </c>
      <c r="Z34" t="s">
        <v>1331</v>
      </c>
    </row>
    <row r="35" spans="1:26" x14ac:dyDescent="0.2">
      <c r="A35">
        <v>2</v>
      </c>
      <c r="B35" t="s">
        <v>290</v>
      </c>
      <c r="C35" t="s">
        <v>464</v>
      </c>
      <c r="H35" s="16">
        <v>1</v>
      </c>
      <c r="I35" s="16" t="s">
        <v>1870</v>
      </c>
      <c r="M35">
        <v>3</v>
      </c>
      <c r="N35" t="s">
        <v>923</v>
      </c>
      <c r="O35" t="s">
        <v>924</v>
      </c>
      <c r="R35">
        <v>5</v>
      </c>
      <c r="S35" t="s">
        <v>1158</v>
      </c>
      <c r="T35" t="s">
        <v>1228</v>
      </c>
      <c r="X35">
        <v>5</v>
      </c>
      <c r="Y35" t="s">
        <v>1332</v>
      </c>
      <c r="Z35" t="s">
        <v>1333</v>
      </c>
    </row>
    <row r="36" spans="1:26" x14ac:dyDescent="0.2">
      <c r="A36">
        <v>2</v>
      </c>
      <c r="B36" t="s">
        <v>291</v>
      </c>
      <c r="C36" t="s">
        <v>465</v>
      </c>
      <c r="H36" s="16">
        <v>1</v>
      </c>
      <c r="I36" s="16" t="s">
        <v>1871</v>
      </c>
      <c r="M36">
        <v>3</v>
      </c>
      <c r="N36" t="s">
        <v>925</v>
      </c>
      <c r="O36" t="s">
        <v>926</v>
      </c>
      <c r="R36">
        <v>5</v>
      </c>
      <c r="S36" t="s">
        <v>1159</v>
      </c>
      <c r="T36" t="s">
        <v>1229</v>
      </c>
      <c r="X36">
        <v>5</v>
      </c>
      <c r="Y36" t="s">
        <v>1334</v>
      </c>
      <c r="Z36" t="s">
        <v>1335</v>
      </c>
    </row>
    <row r="37" spans="1:26" x14ac:dyDescent="0.2">
      <c r="A37">
        <v>2</v>
      </c>
      <c r="B37" t="s">
        <v>292</v>
      </c>
      <c r="C37" t="s">
        <v>466</v>
      </c>
      <c r="H37" s="16">
        <v>2</v>
      </c>
      <c r="I37" s="16" t="s">
        <v>1872</v>
      </c>
      <c r="M37">
        <v>3</v>
      </c>
      <c r="N37" t="s">
        <v>927</v>
      </c>
      <c r="O37" t="s">
        <v>928</v>
      </c>
      <c r="R37">
        <v>5</v>
      </c>
      <c r="S37" t="s">
        <v>398</v>
      </c>
      <c r="T37" t="s">
        <v>1230</v>
      </c>
      <c r="X37">
        <v>5</v>
      </c>
      <c r="Y37" t="s">
        <v>1336</v>
      </c>
      <c r="Z37" t="s">
        <v>1337</v>
      </c>
    </row>
    <row r="38" spans="1:26" x14ac:dyDescent="0.2">
      <c r="A38">
        <v>2</v>
      </c>
      <c r="B38" t="s">
        <v>293</v>
      </c>
      <c r="C38" t="s">
        <v>467</v>
      </c>
      <c r="H38" s="16">
        <v>2</v>
      </c>
      <c r="I38" s="16" t="s">
        <v>1873</v>
      </c>
      <c r="M38">
        <v>3</v>
      </c>
      <c r="N38" t="s">
        <v>929</v>
      </c>
      <c r="O38" t="s">
        <v>930</v>
      </c>
      <c r="R38">
        <v>6</v>
      </c>
      <c r="S38" t="s">
        <v>1160</v>
      </c>
      <c r="T38" t="s">
        <v>1231</v>
      </c>
      <c r="X38">
        <v>5</v>
      </c>
      <c r="Y38" t="s">
        <v>408</v>
      </c>
      <c r="Z38" t="s">
        <v>1338</v>
      </c>
    </row>
    <row r="39" spans="1:26" x14ac:dyDescent="0.2">
      <c r="A39">
        <v>2</v>
      </c>
      <c r="B39" t="s">
        <v>309</v>
      </c>
      <c r="C39" t="s">
        <v>468</v>
      </c>
      <c r="H39" s="16">
        <v>2</v>
      </c>
      <c r="I39" s="16" t="s">
        <v>1874</v>
      </c>
      <c r="M39">
        <v>3</v>
      </c>
      <c r="N39" t="s">
        <v>931</v>
      </c>
      <c r="O39" t="s">
        <v>932</v>
      </c>
      <c r="R39">
        <v>6</v>
      </c>
      <c r="S39" t="s">
        <v>1161</v>
      </c>
      <c r="T39" t="s">
        <v>1232</v>
      </c>
      <c r="X39">
        <v>5</v>
      </c>
      <c r="Y39" t="s">
        <v>1339</v>
      </c>
      <c r="Z39" t="s">
        <v>1340</v>
      </c>
    </row>
    <row r="40" spans="1:26" x14ac:dyDescent="0.2">
      <c r="A40">
        <v>2</v>
      </c>
      <c r="B40" t="s">
        <v>310</v>
      </c>
      <c r="C40" t="s">
        <v>469</v>
      </c>
      <c r="H40" s="16">
        <v>2</v>
      </c>
      <c r="I40" s="16" t="s">
        <v>1875</v>
      </c>
      <c r="M40">
        <v>3</v>
      </c>
      <c r="N40" t="s">
        <v>933</v>
      </c>
      <c r="O40" t="s">
        <v>934</v>
      </c>
      <c r="R40">
        <v>6</v>
      </c>
      <c r="S40" t="s">
        <v>1162</v>
      </c>
      <c r="T40" t="s">
        <v>1233</v>
      </c>
      <c r="X40">
        <v>5</v>
      </c>
      <c r="Y40" t="s">
        <v>1341</v>
      </c>
      <c r="Z40" t="s">
        <v>1342</v>
      </c>
    </row>
    <row r="41" spans="1:26" x14ac:dyDescent="0.2">
      <c r="A41">
        <v>2</v>
      </c>
      <c r="B41" t="s">
        <v>311</v>
      </c>
      <c r="C41" t="s">
        <v>470</v>
      </c>
      <c r="H41" s="16">
        <v>2</v>
      </c>
      <c r="I41" s="16" t="s">
        <v>1876</v>
      </c>
      <c r="M41">
        <v>3</v>
      </c>
      <c r="N41" t="s">
        <v>935</v>
      </c>
      <c r="O41" t="s">
        <v>936</v>
      </c>
      <c r="R41">
        <v>6</v>
      </c>
      <c r="S41" t="s">
        <v>1163</v>
      </c>
      <c r="T41" t="s">
        <v>1234</v>
      </c>
      <c r="X41">
        <v>5</v>
      </c>
      <c r="Y41" t="s">
        <v>1343</v>
      </c>
      <c r="Z41" t="s">
        <v>1344</v>
      </c>
    </row>
    <row r="42" spans="1:26" x14ac:dyDescent="0.2">
      <c r="A42">
        <v>2</v>
      </c>
      <c r="B42" t="s">
        <v>312</v>
      </c>
      <c r="C42" t="s">
        <v>471</v>
      </c>
      <c r="H42" s="16">
        <v>2</v>
      </c>
      <c r="I42" s="16" t="s">
        <v>1877</v>
      </c>
      <c r="M42">
        <v>3</v>
      </c>
      <c r="N42" t="s">
        <v>937</v>
      </c>
      <c r="O42" t="s">
        <v>938</v>
      </c>
      <c r="R42">
        <v>6</v>
      </c>
      <c r="S42" t="s">
        <v>1164</v>
      </c>
      <c r="T42" t="s">
        <v>1235</v>
      </c>
      <c r="X42">
        <v>5</v>
      </c>
      <c r="Y42" t="s">
        <v>1345</v>
      </c>
      <c r="Z42" t="s">
        <v>1346</v>
      </c>
    </row>
    <row r="43" spans="1:26" x14ac:dyDescent="0.2">
      <c r="A43">
        <v>2</v>
      </c>
      <c r="B43" t="s">
        <v>313</v>
      </c>
      <c r="C43" t="s">
        <v>472</v>
      </c>
      <c r="H43" s="16">
        <v>4</v>
      </c>
      <c r="I43" s="16" t="s">
        <v>1878</v>
      </c>
      <c r="M43">
        <v>3</v>
      </c>
      <c r="N43" t="s">
        <v>939</v>
      </c>
      <c r="O43" t="s">
        <v>940</v>
      </c>
      <c r="R43">
        <v>6</v>
      </c>
      <c r="S43" t="s">
        <v>1165</v>
      </c>
      <c r="T43" t="s">
        <v>1236</v>
      </c>
      <c r="X43">
        <v>5</v>
      </c>
      <c r="Y43" t="s">
        <v>1347</v>
      </c>
      <c r="Z43" t="s">
        <v>1348</v>
      </c>
    </row>
    <row r="44" spans="1:26" x14ac:dyDescent="0.2">
      <c r="A44">
        <v>3</v>
      </c>
      <c r="B44" t="s">
        <v>314</v>
      </c>
      <c r="C44" t="s">
        <v>473</v>
      </c>
      <c r="H44" s="16">
        <v>4</v>
      </c>
      <c r="I44" s="16" t="s">
        <v>1879</v>
      </c>
      <c r="M44">
        <v>3</v>
      </c>
      <c r="N44" t="s">
        <v>941</v>
      </c>
      <c r="O44" t="s">
        <v>942</v>
      </c>
      <c r="R44">
        <v>6</v>
      </c>
      <c r="S44" t="s">
        <v>1166</v>
      </c>
      <c r="T44" t="s">
        <v>1237</v>
      </c>
      <c r="X44">
        <v>5</v>
      </c>
      <c r="Y44" t="s">
        <v>1349</v>
      </c>
      <c r="Z44" t="s">
        <v>1350</v>
      </c>
    </row>
    <row r="45" spans="1:26" x14ac:dyDescent="0.2">
      <c r="A45">
        <v>3</v>
      </c>
      <c r="B45" t="s">
        <v>315</v>
      </c>
      <c r="C45" t="s">
        <v>474</v>
      </c>
      <c r="H45" s="16">
        <v>4</v>
      </c>
      <c r="I45" s="16" t="s">
        <v>1880</v>
      </c>
      <c r="M45">
        <v>3</v>
      </c>
      <c r="N45" t="s">
        <v>943</v>
      </c>
      <c r="O45" t="s">
        <v>944</v>
      </c>
      <c r="R45">
        <v>6</v>
      </c>
      <c r="S45" t="s">
        <v>1167</v>
      </c>
      <c r="T45" t="s">
        <v>1238</v>
      </c>
      <c r="X45">
        <v>5</v>
      </c>
      <c r="Y45" t="s">
        <v>1351</v>
      </c>
      <c r="Z45" t="s">
        <v>1352</v>
      </c>
    </row>
    <row r="46" spans="1:26" x14ac:dyDescent="0.2">
      <c r="A46">
        <v>3</v>
      </c>
      <c r="B46" t="s">
        <v>316</v>
      </c>
      <c r="C46" t="s">
        <v>475</v>
      </c>
      <c r="H46" s="16">
        <v>4</v>
      </c>
      <c r="I46" s="16" t="s">
        <v>1881</v>
      </c>
      <c r="M46">
        <v>3</v>
      </c>
      <c r="N46" t="s">
        <v>945</v>
      </c>
      <c r="O46" t="s">
        <v>946</v>
      </c>
      <c r="R46">
        <v>6</v>
      </c>
      <c r="S46" t="s">
        <v>1168</v>
      </c>
      <c r="T46" t="s">
        <v>1239</v>
      </c>
      <c r="X46">
        <v>6</v>
      </c>
      <c r="Y46" t="s">
        <v>14</v>
      </c>
      <c r="Z46" t="s">
        <v>1353</v>
      </c>
    </row>
    <row r="47" spans="1:26" x14ac:dyDescent="0.2">
      <c r="A47">
        <v>3</v>
      </c>
      <c r="B47" t="s">
        <v>317</v>
      </c>
      <c r="C47" t="s">
        <v>476</v>
      </c>
      <c r="H47" s="16">
        <v>4</v>
      </c>
      <c r="I47" s="16" t="s">
        <v>1882</v>
      </c>
      <c r="M47">
        <v>3</v>
      </c>
      <c r="N47" t="s">
        <v>947</v>
      </c>
      <c r="O47" t="s">
        <v>948</v>
      </c>
      <c r="R47">
        <v>6</v>
      </c>
      <c r="S47" t="s">
        <v>1169</v>
      </c>
      <c r="T47" t="s">
        <v>1240</v>
      </c>
      <c r="X47">
        <v>6</v>
      </c>
      <c r="Y47" t="s">
        <v>1354</v>
      </c>
      <c r="Z47" t="s">
        <v>1355</v>
      </c>
    </row>
    <row r="48" spans="1:26" x14ac:dyDescent="0.2">
      <c r="A48">
        <v>3</v>
      </c>
      <c r="B48" t="s">
        <v>318</v>
      </c>
      <c r="C48" t="s">
        <v>477</v>
      </c>
      <c r="H48" s="16">
        <v>4</v>
      </c>
      <c r="I48" s="16" t="s">
        <v>1883</v>
      </c>
      <c r="M48">
        <v>3</v>
      </c>
      <c r="N48" t="s">
        <v>949</v>
      </c>
      <c r="O48" t="s">
        <v>950</v>
      </c>
      <c r="R48">
        <v>6</v>
      </c>
      <c r="S48" t="s">
        <v>1170</v>
      </c>
      <c r="T48" t="s">
        <v>1241</v>
      </c>
      <c r="X48">
        <v>6</v>
      </c>
      <c r="Y48" t="s">
        <v>1356</v>
      </c>
      <c r="Z48" t="s">
        <v>1357</v>
      </c>
    </row>
    <row r="49" spans="1:26" x14ac:dyDescent="0.2">
      <c r="A49">
        <v>3</v>
      </c>
      <c r="B49" t="s">
        <v>319</v>
      </c>
      <c r="C49" t="s">
        <v>478</v>
      </c>
      <c r="H49" s="16">
        <v>4</v>
      </c>
      <c r="I49" s="16" t="s">
        <v>1884</v>
      </c>
      <c r="M49">
        <v>3</v>
      </c>
      <c r="N49" t="s">
        <v>951</v>
      </c>
      <c r="O49" t="s">
        <v>952</v>
      </c>
      <c r="R49">
        <v>6</v>
      </c>
      <c r="S49" t="s">
        <v>1171</v>
      </c>
      <c r="T49" t="s">
        <v>1242</v>
      </c>
      <c r="X49">
        <v>6</v>
      </c>
      <c r="Y49" t="s">
        <v>1358</v>
      </c>
      <c r="Z49" t="s">
        <v>1359</v>
      </c>
    </row>
    <row r="50" spans="1:26" x14ac:dyDescent="0.2">
      <c r="A50">
        <v>3</v>
      </c>
      <c r="B50" t="s">
        <v>320</v>
      </c>
      <c r="C50" t="s">
        <v>479</v>
      </c>
      <c r="H50" s="16">
        <v>4</v>
      </c>
      <c r="I50" s="16" t="s">
        <v>1885</v>
      </c>
      <c r="M50">
        <v>3</v>
      </c>
      <c r="N50" t="s">
        <v>953</v>
      </c>
      <c r="O50" t="s">
        <v>954</v>
      </c>
      <c r="R50">
        <v>7</v>
      </c>
      <c r="S50" t="s">
        <v>1172</v>
      </c>
      <c r="T50" t="s">
        <v>1243</v>
      </c>
      <c r="X50">
        <v>6</v>
      </c>
      <c r="Y50" t="s">
        <v>1360</v>
      </c>
      <c r="Z50" t="s">
        <v>1361</v>
      </c>
    </row>
    <row r="51" spans="1:26" x14ac:dyDescent="0.2">
      <c r="A51">
        <v>3</v>
      </c>
      <c r="B51" t="s">
        <v>321</v>
      </c>
      <c r="C51" t="s">
        <v>480</v>
      </c>
      <c r="H51" s="16">
        <v>4</v>
      </c>
      <c r="I51" s="16" t="s">
        <v>1886</v>
      </c>
      <c r="M51">
        <v>3</v>
      </c>
      <c r="N51" t="s">
        <v>955</v>
      </c>
      <c r="O51" t="s">
        <v>956</v>
      </c>
      <c r="R51">
        <v>7</v>
      </c>
      <c r="S51" t="s">
        <v>1173</v>
      </c>
      <c r="T51" t="s">
        <v>1244</v>
      </c>
      <c r="X51">
        <v>6</v>
      </c>
      <c r="Y51" t="s">
        <v>1362</v>
      </c>
      <c r="Z51" t="s">
        <v>1363</v>
      </c>
    </row>
    <row r="52" spans="1:26" x14ac:dyDescent="0.2">
      <c r="A52">
        <v>3</v>
      </c>
      <c r="B52" t="s">
        <v>322</v>
      </c>
      <c r="C52" t="s">
        <v>481</v>
      </c>
      <c r="H52" s="16">
        <v>4</v>
      </c>
      <c r="I52" s="16" t="s">
        <v>1887</v>
      </c>
      <c r="M52">
        <v>3</v>
      </c>
      <c r="N52" t="s">
        <v>957</v>
      </c>
      <c r="O52" t="s">
        <v>958</v>
      </c>
      <c r="R52">
        <v>7</v>
      </c>
      <c r="S52" t="s">
        <v>1174</v>
      </c>
      <c r="T52" t="s">
        <v>1245</v>
      </c>
      <c r="X52">
        <v>6</v>
      </c>
      <c r="Y52" t="s">
        <v>1364</v>
      </c>
      <c r="Z52" t="s">
        <v>1365</v>
      </c>
    </row>
    <row r="53" spans="1:26" x14ac:dyDescent="0.2">
      <c r="A53">
        <v>3</v>
      </c>
      <c r="B53" t="s">
        <v>323</v>
      </c>
      <c r="C53" t="s">
        <v>482</v>
      </c>
      <c r="H53" s="16">
        <v>4</v>
      </c>
      <c r="I53" s="16" t="s">
        <v>1888</v>
      </c>
      <c r="M53">
        <v>4</v>
      </c>
      <c r="N53" t="s">
        <v>959</v>
      </c>
      <c r="O53" t="s">
        <v>960</v>
      </c>
      <c r="R53">
        <v>7</v>
      </c>
      <c r="S53" t="s">
        <v>1175</v>
      </c>
      <c r="T53" t="s">
        <v>1246</v>
      </c>
      <c r="X53">
        <v>6</v>
      </c>
      <c r="Y53" t="s">
        <v>1366</v>
      </c>
      <c r="Z53" t="s">
        <v>1367</v>
      </c>
    </row>
    <row r="54" spans="1:26" x14ac:dyDescent="0.2">
      <c r="A54">
        <v>3</v>
      </c>
      <c r="B54" t="s">
        <v>324</v>
      </c>
      <c r="C54" t="s">
        <v>483</v>
      </c>
      <c r="H54" s="16">
        <v>4</v>
      </c>
      <c r="I54" s="16" t="s">
        <v>1889</v>
      </c>
      <c r="M54">
        <v>4</v>
      </c>
      <c r="N54" t="s">
        <v>961</v>
      </c>
      <c r="O54" t="s">
        <v>962</v>
      </c>
      <c r="R54">
        <v>7</v>
      </c>
      <c r="S54" t="s">
        <v>1176</v>
      </c>
      <c r="T54" t="s">
        <v>1247</v>
      </c>
      <c r="X54">
        <v>6</v>
      </c>
      <c r="Y54" t="s">
        <v>1368</v>
      </c>
      <c r="Z54" t="s">
        <v>1369</v>
      </c>
    </row>
    <row r="55" spans="1:26" x14ac:dyDescent="0.2">
      <c r="A55">
        <v>3</v>
      </c>
      <c r="B55" t="s">
        <v>325</v>
      </c>
      <c r="C55" t="s">
        <v>484</v>
      </c>
      <c r="H55" s="16">
        <v>4</v>
      </c>
      <c r="I55" s="16" t="s">
        <v>1890</v>
      </c>
      <c r="M55">
        <v>4</v>
      </c>
      <c r="N55" t="s">
        <v>963</v>
      </c>
      <c r="O55" t="s">
        <v>964</v>
      </c>
      <c r="R55">
        <v>7</v>
      </c>
      <c r="S55" t="s">
        <v>1177</v>
      </c>
      <c r="T55" t="s">
        <v>1248</v>
      </c>
      <c r="X55">
        <v>6</v>
      </c>
      <c r="Y55" t="s">
        <v>1370</v>
      </c>
      <c r="Z55" t="s">
        <v>1371</v>
      </c>
    </row>
    <row r="56" spans="1:26" x14ac:dyDescent="0.2">
      <c r="A56">
        <v>3</v>
      </c>
      <c r="B56" t="s">
        <v>326</v>
      </c>
      <c r="C56" t="s">
        <v>485</v>
      </c>
      <c r="H56" s="16">
        <v>4</v>
      </c>
      <c r="I56" s="16" t="s">
        <v>1891</v>
      </c>
      <c r="M56">
        <v>4</v>
      </c>
      <c r="N56" t="s">
        <v>965</v>
      </c>
      <c r="O56" t="s">
        <v>966</v>
      </c>
      <c r="R56">
        <v>7</v>
      </c>
      <c r="S56" t="s">
        <v>1178</v>
      </c>
      <c r="T56" t="s">
        <v>1249</v>
      </c>
      <c r="X56">
        <v>7</v>
      </c>
      <c r="Y56" t="s">
        <v>1372</v>
      </c>
      <c r="Z56" t="s">
        <v>1373</v>
      </c>
    </row>
    <row r="57" spans="1:26" x14ac:dyDescent="0.2">
      <c r="A57">
        <v>3</v>
      </c>
      <c r="B57" t="s">
        <v>327</v>
      </c>
      <c r="C57" t="s">
        <v>486</v>
      </c>
      <c r="H57" s="16">
        <v>4</v>
      </c>
      <c r="I57" s="16" t="s">
        <v>1892</v>
      </c>
      <c r="M57">
        <v>4</v>
      </c>
      <c r="N57" t="s">
        <v>967</v>
      </c>
      <c r="O57" t="s">
        <v>968</v>
      </c>
      <c r="R57">
        <v>7</v>
      </c>
      <c r="S57" t="s">
        <v>1179</v>
      </c>
      <c r="T57" t="s">
        <v>1250</v>
      </c>
      <c r="X57">
        <v>7</v>
      </c>
      <c r="Y57" t="s">
        <v>1374</v>
      </c>
      <c r="Z57" t="s">
        <v>1375</v>
      </c>
    </row>
    <row r="58" spans="1:26" x14ac:dyDescent="0.2">
      <c r="A58">
        <v>3</v>
      </c>
      <c r="B58" t="s">
        <v>328</v>
      </c>
      <c r="C58" t="s">
        <v>487</v>
      </c>
      <c r="H58" s="16">
        <v>4</v>
      </c>
      <c r="I58" s="16" t="s">
        <v>1893</v>
      </c>
      <c r="M58">
        <v>4</v>
      </c>
      <c r="N58" t="s">
        <v>969</v>
      </c>
      <c r="O58" t="s">
        <v>970</v>
      </c>
      <c r="R58">
        <v>7</v>
      </c>
      <c r="S58" t="s">
        <v>1180</v>
      </c>
      <c r="T58" t="s">
        <v>1251</v>
      </c>
      <c r="X58">
        <v>7</v>
      </c>
      <c r="Y58" t="s">
        <v>1376</v>
      </c>
      <c r="Z58" t="s">
        <v>1377</v>
      </c>
    </row>
    <row r="59" spans="1:26" x14ac:dyDescent="0.2">
      <c r="A59">
        <v>3</v>
      </c>
      <c r="B59" t="s">
        <v>329</v>
      </c>
      <c r="C59" t="s">
        <v>488</v>
      </c>
      <c r="H59" s="16">
        <v>5</v>
      </c>
      <c r="I59" s="16" t="s">
        <v>1894</v>
      </c>
      <c r="M59">
        <v>4</v>
      </c>
      <c r="N59" t="s">
        <v>971</v>
      </c>
      <c r="O59" t="s">
        <v>972</v>
      </c>
      <c r="R59">
        <v>7</v>
      </c>
      <c r="S59" t="s">
        <v>1181</v>
      </c>
      <c r="T59" t="s">
        <v>1252</v>
      </c>
      <c r="X59">
        <v>7</v>
      </c>
      <c r="Y59" t="s">
        <v>1378</v>
      </c>
      <c r="Z59" t="s">
        <v>1379</v>
      </c>
    </row>
    <row r="60" spans="1:26" x14ac:dyDescent="0.2">
      <c r="A60">
        <v>3</v>
      </c>
      <c r="B60" t="s">
        <v>330</v>
      </c>
      <c r="C60" t="s">
        <v>489</v>
      </c>
      <c r="H60" s="16">
        <v>5</v>
      </c>
      <c r="I60" s="16" t="s">
        <v>1895</v>
      </c>
      <c r="M60">
        <v>4</v>
      </c>
      <c r="N60" t="s">
        <v>973</v>
      </c>
      <c r="O60" t="s">
        <v>974</v>
      </c>
      <c r="R60">
        <v>7</v>
      </c>
      <c r="S60" t="s">
        <v>1182</v>
      </c>
      <c r="T60" t="s">
        <v>1253</v>
      </c>
      <c r="X60">
        <v>8</v>
      </c>
      <c r="Y60" t="s">
        <v>1380</v>
      </c>
      <c r="Z60" t="s">
        <v>1381</v>
      </c>
    </row>
    <row r="61" spans="1:26" x14ac:dyDescent="0.2">
      <c r="A61">
        <v>3</v>
      </c>
      <c r="B61" t="s">
        <v>331</v>
      </c>
      <c r="C61" t="s">
        <v>490</v>
      </c>
      <c r="H61" s="16">
        <v>5</v>
      </c>
      <c r="I61" s="16" t="s">
        <v>1896</v>
      </c>
      <c r="M61">
        <v>4</v>
      </c>
      <c r="N61" t="s">
        <v>975</v>
      </c>
      <c r="O61" t="s">
        <v>976</v>
      </c>
      <c r="R61">
        <v>7</v>
      </c>
      <c r="S61" t="s">
        <v>1183</v>
      </c>
      <c r="T61" t="s">
        <v>1254</v>
      </c>
      <c r="X61">
        <v>8</v>
      </c>
      <c r="Y61" t="s">
        <v>1382</v>
      </c>
      <c r="Z61" t="s">
        <v>1383</v>
      </c>
    </row>
    <row r="62" spans="1:26" x14ac:dyDescent="0.2">
      <c r="A62">
        <v>4</v>
      </c>
      <c r="B62" t="s">
        <v>332</v>
      </c>
      <c r="C62" t="s">
        <v>491</v>
      </c>
      <c r="H62" s="16">
        <v>5</v>
      </c>
      <c r="I62" s="16" t="s">
        <v>1897</v>
      </c>
      <c r="M62">
        <v>4</v>
      </c>
      <c r="N62" t="s">
        <v>977</v>
      </c>
      <c r="O62" t="s">
        <v>978</v>
      </c>
      <c r="R62">
        <v>8</v>
      </c>
      <c r="S62" t="s">
        <v>1184</v>
      </c>
      <c r="T62" t="s">
        <v>899</v>
      </c>
      <c r="X62">
        <v>8</v>
      </c>
      <c r="Y62" t="s">
        <v>1384</v>
      </c>
      <c r="Z62" t="s">
        <v>1385</v>
      </c>
    </row>
    <row r="63" spans="1:26" x14ac:dyDescent="0.2">
      <c r="A63">
        <v>4</v>
      </c>
      <c r="B63" t="s">
        <v>333</v>
      </c>
      <c r="C63" t="s">
        <v>492</v>
      </c>
      <c r="H63" s="16">
        <v>5</v>
      </c>
      <c r="I63" s="16" t="s">
        <v>1898</v>
      </c>
      <c r="M63">
        <v>4</v>
      </c>
      <c r="N63" t="s">
        <v>979</v>
      </c>
      <c r="O63" t="s">
        <v>980</v>
      </c>
      <c r="R63">
        <v>8</v>
      </c>
      <c r="S63" t="s">
        <v>1185</v>
      </c>
      <c r="T63" t="s">
        <v>1255</v>
      </c>
      <c r="X63">
        <v>8</v>
      </c>
      <c r="Y63" t="s">
        <v>1386</v>
      </c>
      <c r="Z63" t="s">
        <v>1387</v>
      </c>
    </row>
    <row r="64" spans="1:26" x14ac:dyDescent="0.2">
      <c r="A64">
        <v>4</v>
      </c>
      <c r="B64" t="s">
        <v>334</v>
      </c>
      <c r="C64" t="s">
        <v>493</v>
      </c>
      <c r="H64" s="16">
        <v>5</v>
      </c>
      <c r="I64" s="16" t="s">
        <v>1899</v>
      </c>
      <c r="M64">
        <v>4</v>
      </c>
      <c r="N64" t="s">
        <v>981</v>
      </c>
      <c r="O64" t="s">
        <v>982</v>
      </c>
      <c r="R64">
        <v>8</v>
      </c>
      <c r="S64" t="s">
        <v>1186</v>
      </c>
      <c r="T64" t="s">
        <v>1256</v>
      </c>
      <c r="X64">
        <v>8</v>
      </c>
      <c r="Y64" t="s">
        <v>1388</v>
      </c>
      <c r="Z64" t="s">
        <v>1389</v>
      </c>
    </row>
    <row r="65" spans="1:26" x14ac:dyDescent="0.2">
      <c r="A65">
        <v>4</v>
      </c>
      <c r="B65" t="s">
        <v>335</v>
      </c>
      <c r="C65" t="s">
        <v>494</v>
      </c>
      <c r="H65" s="16">
        <v>5</v>
      </c>
      <c r="I65" s="16" t="s">
        <v>1900</v>
      </c>
      <c r="M65">
        <v>4</v>
      </c>
      <c r="N65" t="s">
        <v>983</v>
      </c>
      <c r="O65" t="s">
        <v>984</v>
      </c>
      <c r="R65">
        <v>8</v>
      </c>
      <c r="S65" t="s">
        <v>1187</v>
      </c>
      <c r="T65" t="s">
        <v>1257</v>
      </c>
      <c r="X65">
        <v>8</v>
      </c>
      <c r="Y65" t="s">
        <v>1390</v>
      </c>
      <c r="Z65" t="s">
        <v>1391</v>
      </c>
    </row>
    <row r="66" spans="1:26" x14ac:dyDescent="0.2">
      <c r="A66">
        <v>4</v>
      </c>
      <c r="B66" t="s">
        <v>336</v>
      </c>
      <c r="C66" t="s">
        <v>495</v>
      </c>
      <c r="H66" s="16">
        <v>6</v>
      </c>
      <c r="I66" s="16" t="s">
        <v>1901</v>
      </c>
      <c r="M66">
        <v>4</v>
      </c>
      <c r="N66" t="s">
        <v>985</v>
      </c>
      <c r="O66" t="s">
        <v>986</v>
      </c>
      <c r="R66">
        <v>8</v>
      </c>
      <c r="S66" t="s">
        <v>1188</v>
      </c>
      <c r="T66" t="s">
        <v>1258</v>
      </c>
      <c r="X66">
        <v>8</v>
      </c>
      <c r="Y66" t="s">
        <v>1392</v>
      </c>
      <c r="Z66" t="s">
        <v>1393</v>
      </c>
    </row>
    <row r="67" spans="1:26" x14ac:dyDescent="0.2">
      <c r="A67">
        <v>4</v>
      </c>
      <c r="B67" t="s">
        <v>337</v>
      </c>
      <c r="C67" t="s">
        <v>496</v>
      </c>
      <c r="H67" s="16">
        <v>6</v>
      </c>
      <c r="I67" s="16" t="s">
        <v>1902</v>
      </c>
      <c r="M67">
        <v>4</v>
      </c>
      <c r="N67" t="s">
        <v>987</v>
      </c>
      <c r="O67" t="s">
        <v>988</v>
      </c>
      <c r="R67">
        <v>9</v>
      </c>
      <c r="S67" t="s">
        <v>1189</v>
      </c>
      <c r="T67" t="s">
        <v>1259</v>
      </c>
      <c r="X67">
        <v>8</v>
      </c>
      <c r="Y67" t="s">
        <v>1394</v>
      </c>
      <c r="Z67" t="s">
        <v>1395</v>
      </c>
    </row>
    <row r="68" spans="1:26" x14ac:dyDescent="0.2">
      <c r="A68">
        <v>4</v>
      </c>
      <c r="B68" t="s">
        <v>338</v>
      </c>
      <c r="C68" t="s">
        <v>497</v>
      </c>
      <c r="H68" s="16">
        <v>6</v>
      </c>
      <c r="I68" s="16" t="s">
        <v>1903</v>
      </c>
      <c r="M68">
        <v>4</v>
      </c>
      <c r="N68" t="s">
        <v>989</v>
      </c>
      <c r="O68" t="s">
        <v>990</v>
      </c>
      <c r="R68">
        <v>9</v>
      </c>
      <c r="S68" t="s">
        <v>1190</v>
      </c>
      <c r="T68" t="s">
        <v>1260</v>
      </c>
      <c r="X68">
        <v>8</v>
      </c>
      <c r="Y68" t="s">
        <v>1396</v>
      </c>
      <c r="Z68" t="s">
        <v>1397</v>
      </c>
    </row>
    <row r="69" spans="1:26" x14ac:dyDescent="0.2">
      <c r="A69">
        <v>5</v>
      </c>
      <c r="B69" t="s">
        <v>339</v>
      </c>
      <c r="C69" t="s">
        <v>498</v>
      </c>
      <c r="H69" s="16">
        <v>6</v>
      </c>
      <c r="I69" s="16" t="s">
        <v>1904</v>
      </c>
      <c r="M69">
        <v>4</v>
      </c>
      <c r="N69" t="s">
        <v>991</v>
      </c>
      <c r="O69" t="s">
        <v>992</v>
      </c>
      <c r="R69">
        <v>9</v>
      </c>
      <c r="S69" t="s">
        <v>1191</v>
      </c>
      <c r="T69" t="s">
        <v>1261</v>
      </c>
      <c r="X69">
        <v>8</v>
      </c>
      <c r="Y69" t="s">
        <v>1398</v>
      </c>
      <c r="Z69" t="s">
        <v>1399</v>
      </c>
    </row>
    <row r="70" spans="1:26" x14ac:dyDescent="0.2">
      <c r="A70">
        <v>5</v>
      </c>
      <c r="B70" t="s">
        <v>340</v>
      </c>
      <c r="C70" t="s">
        <v>499</v>
      </c>
      <c r="H70" s="16">
        <v>6</v>
      </c>
      <c r="I70" s="16" t="s">
        <v>1905</v>
      </c>
      <c r="M70">
        <v>4</v>
      </c>
      <c r="N70" t="s">
        <v>993</v>
      </c>
      <c r="O70" t="s">
        <v>994</v>
      </c>
      <c r="R70">
        <v>10</v>
      </c>
      <c r="S70" t="s">
        <v>1192</v>
      </c>
      <c r="T70" t="s">
        <v>1262</v>
      </c>
      <c r="X70">
        <v>8</v>
      </c>
      <c r="Y70" t="s">
        <v>1400</v>
      </c>
      <c r="Z70" t="s">
        <v>1401</v>
      </c>
    </row>
    <row r="71" spans="1:26" x14ac:dyDescent="0.2">
      <c r="A71">
        <v>5</v>
      </c>
      <c r="B71" t="s">
        <v>341</v>
      </c>
      <c r="C71" t="s">
        <v>500</v>
      </c>
      <c r="H71" s="16">
        <v>6</v>
      </c>
      <c r="I71" s="16" t="s">
        <v>1906</v>
      </c>
      <c r="M71">
        <v>4</v>
      </c>
      <c r="N71" t="s">
        <v>995</v>
      </c>
      <c r="O71" t="s">
        <v>996</v>
      </c>
      <c r="R71">
        <v>10</v>
      </c>
      <c r="S71" t="s">
        <v>1193</v>
      </c>
      <c r="T71" t="s">
        <v>1263</v>
      </c>
      <c r="X71">
        <v>8</v>
      </c>
      <c r="Y71" t="s">
        <v>1402</v>
      </c>
      <c r="Z71" t="s">
        <v>1403</v>
      </c>
    </row>
    <row r="72" spans="1:26" x14ac:dyDescent="0.2">
      <c r="A72">
        <v>5</v>
      </c>
      <c r="B72" t="s">
        <v>342</v>
      </c>
      <c r="C72" t="s">
        <v>501</v>
      </c>
      <c r="H72" s="16">
        <v>6</v>
      </c>
      <c r="I72" s="16" t="s">
        <v>1907</v>
      </c>
      <c r="M72">
        <v>4</v>
      </c>
      <c r="N72" t="s">
        <v>997</v>
      </c>
      <c r="O72" t="s">
        <v>998</v>
      </c>
      <c r="R72">
        <v>10</v>
      </c>
      <c r="S72" t="s">
        <v>1194</v>
      </c>
      <c r="T72" t="s">
        <v>1264</v>
      </c>
      <c r="X72">
        <v>8</v>
      </c>
      <c r="Y72" t="s">
        <v>1404</v>
      </c>
      <c r="Z72" t="s">
        <v>1405</v>
      </c>
    </row>
    <row r="73" spans="1:26" x14ac:dyDescent="0.2">
      <c r="A73">
        <v>5</v>
      </c>
      <c r="B73" t="s">
        <v>343</v>
      </c>
      <c r="C73" t="s">
        <v>502</v>
      </c>
      <c r="H73" s="16">
        <v>6</v>
      </c>
      <c r="I73" s="16" t="s">
        <v>1908</v>
      </c>
      <c r="M73">
        <v>4</v>
      </c>
      <c r="N73" t="s">
        <v>999</v>
      </c>
      <c r="O73" t="s">
        <v>1000</v>
      </c>
      <c r="X73">
        <v>8</v>
      </c>
      <c r="Y73" t="s">
        <v>1406</v>
      </c>
      <c r="Z73" t="s">
        <v>1407</v>
      </c>
    </row>
    <row r="74" spans="1:26" x14ac:dyDescent="0.2">
      <c r="A74">
        <v>5</v>
      </c>
      <c r="B74" t="s">
        <v>344</v>
      </c>
      <c r="C74" t="s">
        <v>503</v>
      </c>
      <c r="H74" s="16">
        <v>7</v>
      </c>
      <c r="I74" s="16" t="s">
        <v>1909</v>
      </c>
      <c r="M74">
        <v>4</v>
      </c>
      <c r="N74" t="s">
        <v>1001</v>
      </c>
      <c r="O74" t="s">
        <v>1002</v>
      </c>
      <c r="X74">
        <v>8</v>
      </c>
      <c r="Y74" t="s">
        <v>1408</v>
      </c>
      <c r="Z74" t="s">
        <v>1409</v>
      </c>
    </row>
    <row r="75" spans="1:26" x14ac:dyDescent="0.2">
      <c r="A75">
        <v>5</v>
      </c>
      <c r="B75" t="s">
        <v>345</v>
      </c>
      <c r="C75" t="s">
        <v>504</v>
      </c>
      <c r="H75" s="16">
        <v>7</v>
      </c>
      <c r="I75" s="16" t="s">
        <v>1910</v>
      </c>
      <c r="M75">
        <v>5</v>
      </c>
      <c r="N75" t="s">
        <v>1003</v>
      </c>
      <c r="O75" t="s">
        <v>1004</v>
      </c>
      <c r="X75">
        <v>8</v>
      </c>
      <c r="Y75" t="s">
        <v>1410</v>
      </c>
      <c r="Z75" t="s">
        <v>1411</v>
      </c>
    </row>
    <row r="76" spans="1:26" x14ac:dyDescent="0.2">
      <c r="A76">
        <v>5</v>
      </c>
      <c r="B76" t="s">
        <v>346</v>
      </c>
      <c r="C76" t="s">
        <v>505</v>
      </c>
      <c r="H76" s="16">
        <v>7</v>
      </c>
      <c r="I76" s="16" t="s">
        <v>1911</v>
      </c>
      <c r="M76">
        <v>5</v>
      </c>
      <c r="N76" t="s">
        <v>1005</v>
      </c>
      <c r="O76" t="s">
        <v>1006</v>
      </c>
      <c r="X76">
        <v>8</v>
      </c>
      <c r="Y76" t="s">
        <v>1412</v>
      </c>
      <c r="Z76" t="s">
        <v>1413</v>
      </c>
    </row>
    <row r="77" spans="1:26" x14ac:dyDescent="0.2">
      <c r="A77">
        <v>5</v>
      </c>
      <c r="B77" t="s">
        <v>347</v>
      </c>
      <c r="C77" t="s">
        <v>506</v>
      </c>
      <c r="H77" s="16">
        <v>7</v>
      </c>
      <c r="I77" s="16" t="s">
        <v>1912</v>
      </c>
      <c r="M77">
        <v>5</v>
      </c>
      <c r="N77" t="s">
        <v>1007</v>
      </c>
      <c r="O77" t="s">
        <v>1008</v>
      </c>
      <c r="X77">
        <v>8</v>
      </c>
      <c r="Y77" t="s">
        <v>1414</v>
      </c>
      <c r="Z77" t="s">
        <v>1415</v>
      </c>
    </row>
    <row r="78" spans="1:26" x14ac:dyDescent="0.2">
      <c r="A78">
        <v>5</v>
      </c>
      <c r="B78" t="s">
        <v>348</v>
      </c>
      <c r="C78" t="s">
        <v>507</v>
      </c>
      <c r="H78" s="16">
        <v>7</v>
      </c>
      <c r="I78" s="16" t="s">
        <v>1913</v>
      </c>
      <c r="M78">
        <v>5</v>
      </c>
      <c r="N78" t="s">
        <v>1009</v>
      </c>
      <c r="O78" t="s">
        <v>1010</v>
      </c>
      <c r="X78">
        <v>8</v>
      </c>
      <c r="Y78" t="s">
        <v>1416</v>
      </c>
      <c r="Z78" t="s">
        <v>1417</v>
      </c>
    </row>
    <row r="79" spans="1:26" x14ac:dyDescent="0.2">
      <c r="A79">
        <v>5</v>
      </c>
      <c r="B79" t="s">
        <v>349</v>
      </c>
      <c r="C79" t="s">
        <v>508</v>
      </c>
      <c r="H79" s="16">
        <v>7</v>
      </c>
      <c r="I79" s="16" t="s">
        <v>1914</v>
      </c>
      <c r="M79">
        <v>5</v>
      </c>
      <c r="N79" t="s">
        <v>1011</v>
      </c>
      <c r="O79" t="s">
        <v>1012</v>
      </c>
      <c r="X79">
        <v>8</v>
      </c>
      <c r="Y79" t="s">
        <v>1418</v>
      </c>
      <c r="Z79" t="s">
        <v>1419</v>
      </c>
    </row>
    <row r="80" spans="1:26" x14ac:dyDescent="0.2">
      <c r="A80">
        <v>5</v>
      </c>
      <c r="B80" t="s">
        <v>350</v>
      </c>
      <c r="C80" t="s">
        <v>509</v>
      </c>
      <c r="H80" s="16">
        <v>7</v>
      </c>
      <c r="I80" s="16" t="s">
        <v>1915</v>
      </c>
      <c r="M80">
        <v>5</v>
      </c>
      <c r="N80" t="s">
        <v>1013</v>
      </c>
      <c r="O80" t="s">
        <v>1014</v>
      </c>
      <c r="X80">
        <v>9</v>
      </c>
      <c r="Y80" t="s">
        <v>1420</v>
      </c>
      <c r="Z80" t="s">
        <v>1421</v>
      </c>
    </row>
    <row r="81" spans="1:26" x14ac:dyDescent="0.2">
      <c r="A81">
        <v>5</v>
      </c>
      <c r="B81" t="s">
        <v>351</v>
      </c>
      <c r="C81" t="s">
        <v>510</v>
      </c>
      <c r="H81" s="16">
        <v>7</v>
      </c>
      <c r="I81" s="16" t="s">
        <v>1916</v>
      </c>
      <c r="M81">
        <v>5</v>
      </c>
      <c r="N81" t="s">
        <v>1015</v>
      </c>
      <c r="O81" t="s">
        <v>1016</v>
      </c>
      <c r="X81">
        <v>9</v>
      </c>
      <c r="Y81" t="s">
        <v>1422</v>
      </c>
      <c r="Z81" t="s">
        <v>1423</v>
      </c>
    </row>
    <row r="82" spans="1:26" x14ac:dyDescent="0.2">
      <c r="A82">
        <v>5</v>
      </c>
      <c r="B82" t="s">
        <v>352</v>
      </c>
      <c r="C82" t="s">
        <v>511</v>
      </c>
      <c r="H82" s="16">
        <v>7</v>
      </c>
      <c r="I82" s="16" t="s">
        <v>1917</v>
      </c>
      <c r="M82">
        <v>5</v>
      </c>
      <c r="N82" t="s">
        <v>1017</v>
      </c>
      <c r="O82" t="s">
        <v>1018</v>
      </c>
      <c r="X82">
        <v>9</v>
      </c>
      <c r="Y82" t="s">
        <v>1424</v>
      </c>
      <c r="Z82" t="s">
        <v>1425</v>
      </c>
    </row>
    <row r="83" spans="1:26" x14ac:dyDescent="0.2">
      <c r="A83">
        <v>5</v>
      </c>
      <c r="B83" t="s">
        <v>353</v>
      </c>
      <c r="C83" t="s">
        <v>512</v>
      </c>
      <c r="H83" s="16">
        <v>7</v>
      </c>
      <c r="I83" s="16" t="s">
        <v>1918</v>
      </c>
      <c r="M83">
        <v>5</v>
      </c>
      <c r="N83" t="s">
        <v>1019</v>
      </c>
      <c r="O83" t="s">
        <v>1020</v>
      </c>
      <c r="X83">
        <v>9</v>
      </c>
      <c r="Y83" t="s">
        <v>1426</v>
      </c>
      <c r="Z83" t="s">
        <v>1427</v>
      </c>
    </row>
    <row r="84" spans="1:26" x14ac:dyDescent="0.2">
      <c r="A84">
        <v>5</v>
      </c>
      <c r="B84" t="s">
        <v>354</v>
      </c>
      <c r="C84" t="s">
        <v>513</v>
      </c>
      <c r="H84" s="16">
        <v>7</v>
      </c>
      <c r="I84" s="16" t="s">
        <v>1919</v>
      </c>
      <c r="M84">
        <v>5</v>
      </c>
      <c r="N84" t="s">
        <v>1021</v>
      </c>
      <c r="O84" t="s">
        <v>1022</v>
      </c>
      <c r="X84">
        <v>9</v>
      </c>
      <c r="Y84" t="s">
        <v>1428</v>
      </c>
      <c r="Z84" t="s">
        <v>1429</v>
      </c>
    </row>
    <row r="85" spans="1:26" x14ac:dyDescent="0.2">
      <c r="A85">
        <v>5</v>
      </c>
      <c r="B85" t="s">
        <v>355</v>
      </c>
      <c r="C85" t="s">
        <v>514</v>
      </c>
      <c r="H85" s="16">
        <v>7</v>
      </c>
      <c r="I85" s="16" t="s">
        <v>1920</v>
      </c>
      <c r="M85">
        <v>5</v>
      </c>
      <c r="N85" t="s">
        <v>1023</v>
      </c>
      <c r="O85" t="s">
        <v>1024</v>
      </c>
      <c r="X85">
        <v>9</v>
      </c>
      <c r="Y85" t="s">
        <v>1430</v>
      </c>
      <c r="Z85" t="s">
        <v>1431</v>
      </c>
    </row>
    <row r="86" spans="1:26" x14ac:dyDescent="0.2">
      <c r="A86">
        <v>5</v>
      </c>
      <c r="B86" t="s">
        <v>356</v>
      </c>
      <c r="C86" t="s">
        <v>515</v>
      </c>
      <c r="H86" s="16">
        <v>7</v>
      </c>
      <c r="I86" s="16" t="s">
        <v>1921</v>
      </c>
      <c r="M86">
        <v>5</v>
      </c>
      <c r="N86" t="s">
        <v>1025</v>
      </c>
      <c r="O86" t="s">
        <v>1026</v>
      </c>
      <c r="X86">
        <v>9</v>
      </c>
      <c r="Y86" t="s">
        <v>1432</v>
      </c>
      <c r="Z86" t="s">
        <v>1433</v>
      </c>
    </row>
    <row r="87" spans="1:26" x14ac:dyDescent="0.2">
      <c r="A87">
        <v>6</v>
      </c>
      <c r="B87" t="s">
        <v>357</v>
      </c>
      <c r="C87" t="s">
        <v>516</v>
      </c>
      <c r="H87" s="16">
        <v>7</v>
      </c>
      <c r="I87" s="16" t="s">
        <v>1922</v>
      </c>
      <c r="M87">
        <v>5</v>
      </c>
      <c r="N87" t="s">
        <v>1027</v>
      </c>
      <c r="O87" t="s">
        <v>1028</v>
      </c>
      <c r="X87">
        <v>9</v>
      </c>
      <c r="Y87" t="s">
        <v>1434</v>
      </c>
      <c r="Z87" t="s">
        <v>1435</v>
      </c>
    </row>
    <row r="88" spans="1:26" x14ac:dyDescent="0.2">
      <c r="A88">
        <v>6</v>
      </c>
      <c r="B88" t="s">
        <v>358</v>
      </c>
      <c r="C88" t="s">
        <v>517</v>
      </c>
      <c r="H88" s="16">
        <v>7</v>
      </c>
      <c r="I88" s="16" t="s">
        <v>1923</v>
      </c>
      <c r="M88">
        <v>5</v>
      </c>
      <c r="N88" t="s">
        <v>1029</v>
      </c>
      <c r="O88" t="s">
        <v>1030</v>
      </c>
      <c r="X88">
        <v>9</v>
      </c>
      <c r="Y88" t="s">
        <v>1436</v>
      </c>
      <c r="Z88" t="s">
        <v>1437</v>
      </c>
    </row>
    <row r="89" spans="1:26" x14ac:dyDescent="0.2">
      <c r="A89">
        <v>6</v>
      </c>
      <c r="B89" t="s">
        <v>359</v>
      </c>
      <c r="C89" t="s">
        <v>518</v>
      </c>
      <c r="H89" s="16">
        <v>7</v>
      </c>
      <c r="I89" s="16" t="s">
        <v>1924</v>
      </c>
      <c r="M89">
        <v>5</v>
      </c>
      <c r="N89" t="s">
        <v>1031</v>
      </c>
      <c r="O89" t="s">
        <v>1032</v>
      </c>
      <c r="X89">
        <v>9</v>
      </c>
      <c r="Y89" t="s">
        <v>1438</v>
      </c>
      <c r="Z89" t="s">
        <v>1439</v>
      </c>
    </row>
    <row r="90" spans="1:26" x14ac:dyDescent="0.2">
      <c r="A90">
        <v>6</v>
      </c>
      <c r="B90" t="s">
        <v>360</v>
      </c>
      <c r="C90" t="s">
        <v>519</v>
      </c>
      <c r="H90" s="16">
        <v>7</v>
      </c>
      <c r="I90" s="16" t="s">
        <v>1925</v>
      </c>
      <c r="M90">
        <v>5</v>
      </c>
      <c r="N90" t="s">
        <v>1033</v>
      </c>
      <c r="O90" t="s">
        <v>1034</v>
      </c>
      <c r="X90">
        <v>9</v>
      </c>
      <c r="Y90" t="s">
        <v>1440</v>
      </c>
      <c r="Z90" t="s">
        <v>1441</v>
      </c>
    </row>
    <row r="91" spans="1:26" x14ac:dyDescent="0.2">
      <c r="A91">
        <v>6</v>
      </c>
      <c r="B91" t="s">
        <v>361</v>
      </c>
      <c r="C91" t="s">
        <v>520</v>
      </c>
      <c r="H91" s="16">
        <v>7</v>
      </c>
      <c r="I91" s="16" t="s">
        <v>1926</v>
      </c>
      <c r="M91">
        <v>5</v>
      </c>
      <c r="N91" t="s">
        <v>1035</v>
      </c>
      <c r="O91" t="s">
        <v>1036</v>
      </c>
      <c r="X91">
        <v>9</v>
      </c>
      <c r="Y91" t="s">
        <v>1442</v>
      </c>
      <c r="Z91" t="s">
        <v>1443</v>
      </c>
    </row>
    <row r="92" spans="1:26" x14ac:dyDescent="0.2">
      <c r="A92">
        <v>6</v>
      </c>
      <c r="B92" t="s">
        <v>362</v>
      </c>
      <c r="C92" t="s">
        <v>521</v>
      </c>
      <c r="H92" s="16">
        <v>7</v>
      </c>
      <c r="I92" s="16" t="s">
        <v>1927</v>
      </c>
      <c r="M92">
        <v>5</v>
      </c>
      <c r="N92" t="s">
        <v>1037</v>
      </c>
      <c r="O92" t="s">
        <v>1038</v>
      </c>
      <c r="X92">
        <v>9</v>
      </c>
      <c r="Y92" t="s">
        <v>1444</v>
      </c>
      <c r="Z92" t="s">
        <v>1445</v>
      </c>
    </row>
    <row r="93" spans="1:26" x14ac:dyDescent="0.2">
      <c r="A93">
        <v>6</v>
      </c>
      <c r="B93" t="s">
        <v>363</v>
      </c>
      <c r="C93" t="s">
        <v>522</v>
      </c>
      <c r="H93" s="16">
        <v>7</v>
      </c>
      <c r="I93" s="16" t="s">
        <v>1928</v>
      </c>
      <c r="M93">
        <v>5</v>
      </c>
      <c r="N93" t="s">
        <v>1039</v>
      </c>
      <c r="O93" t="s">
        <v>1040</v>
      </c>
      <c r="X93">
        <v>9</v>
      </c>
      <c r="Y93" t="s">
        <v>1446</v>
      </c>
      <c r="Z93" t="s">
        <v>1447</v>
      </c>
    </row>
    <row r="94" spans="1:26" x14ac:dyDescent="0.2">
      <c r="A94">
        <v>6</v>
      </c>
      <c r="B94" t="s">
        <v>364</v>
      </c>
      <c r="C94" t="s">
        <v>523</v>
      </c>
      <c r="H94" s="16">
        <v>7</v>
      </c>
      <c r="I94" s="16" t="s">
        <v>1929</v>
      </c>
      <c r="M94">
        <v>6</v>
      </c>
      <c r="N94" t="s">
        <v>1041</v>
      </c>
      <c r="O94" t="s">
        <v>1042</v>
      </c>
      <c r="X94">
        <v>9</v>
      </c>
      <c r="Y94" t="s">
        <v>1448</v>
      </c>
      <c r="Z94" t="s">
        <v>1449</v>
      </c>
    </row>
    <row r="95" spans="1:26" x14ac:dyDescent="0.2">
      <c r="A95">
        <v>6</v>
      </c>
      <c r="B95" t="s">
        <v>365</v>
      </c>
      <c r="C95" t="s">
        <v>524</v>
      </c>
      <c r="H95" s="16">
        <v>7</v>
      </c>
      <c r="I95" s="16" t="s">
        <v>1414</v>
      </c>
      <c r="M95">
        <v>6</v>
      </c>
      <c r="N95" t="s">
        <v>1043</v>
      </c>
      <c r="O95" t="s">
        <v>1044</v>
      </c>
      <c r="X95">
        <v>9</v>
      </c>
      <c r="Y95" t="s">
        <v>1450</v>
      </c>
      <c r="Z95" t="s">
        <v>1451</v>
      </c>
    </row>
    <row r="96" spans="1:26" x14ac:dyDescent="0.2">
      <c r="A96">
        <v>6</v>
      </c>
      <c r="B96" t="s">
        <v>366</v>
      </c>
      <c r="C96" t="s">
        <v>525</v>
      </c>
      <c r="H96" s="16">
        <v>7</v>
      </c>
      <c r="I96" s="16" t="s">
        <v>1930</v>
      </c>
      <c r="M96">
        <v>6</v>
      </c>
      <c r="N96" t="s">
        <v>1045</v>
      </c>
      <c r="O96" t="s">
        <v>1046</v>
      </c>
      <c r="X96">
        <v>10</v>
      </c>
      <c r="Y96" t="s">
        <v>1452</v>
      </c>
      <c r="Z96" t="s">
        <v>1453</v>
      </c>
    </row>
    <row r="97" spans="1:26" x14ac:dyDescent="0.2">
      <c r="A97">
        <v>6</v>
      </c>
      <c r="B97" t="s">
        <v>367</v>
      </c>
      <c r="C97" t="s">
        <v>526</v>
      </c>
      <c r="H97" s="16">
        <v>8</v>
      </c>
      <c r="I97" s="16" t="s">
        <v>1931</v>
      </c>
      <c r="M97">
        <v>6</v>
      </c>
      <c r="N97" t="s">
        <v>1047</v>
      </c>
      <c r="O97" t="s">
        <v>1048</v>
      </c>
      <c r="X97">
        <v>10</v>
      </c>
      <c r="Y97" t="s">
        <v>1454</v>
      </c>
      <c r="Z97" t="s">
        <v>1455</v>
      </c>
    </row>
    <row r="98" spans="1:26" x14ac:dyDescent="0.2">
      <c r="A98">
        <v>6</v>
      </c>
      <c r="B98" t="s">
        <v>368</v>
      </c>
      <c r="C98" t="s">
        <v>527</v>
      </c>
      <c r="H98" s="16">
        <v>8</v>
      </c>
      <c r="I98" s="16" t="s">
        <v>1932</v>
      </c>
      <c r="M98">
        <v>6</v>
      </c>
      <c r="N98" t="s">
        <v>1049</v>
      </c>
      <c r="O98" t="s">
        <v>1050</v>
      </c>
      <c r="X98">
        <v>10</v>
      </c>
      <c r="Y98" t="s">
        <v>1456</v>
      </c>
      <c r="Z98" t="s">
        <v>1457</v>
      </c>
    </row>
    <row r="99" spans="1:26" x14ac:dyDescent="0.2">
      <c r="A99">
        <v>6</v>
      </c>
      <c r="B99" t="s">
        <v>369</v>
      </c>
      <c r="C99" t="s">
        <v>528</v>
      </c>
      <c r="H99" s="16">
        <v>8</v>
      </c>
      <c r="I99" s="16" t="s">
        <v>1933</v>
      </c>
      <c r="M99">
        <v>7</v>
      </c>
      <c r="N99" t="s">
        <v>1051</v>
      </c>
      <c r="O99" t="s">
        <v>1052</v>
      </c>
      <c r="X99">
        <v>10</v>
      </c>
      <c r="Y99" t="s">
        <v>1458</v>
      </c>
      <c r="Z99" t="s">
        <v>1459</v>
      </c>
    </row>
    <row r="100" spans="1:26" x14ac:dyDescent="0.2">
      <c r="A100">
        <v>6</v>
      </c>
      <c r="B100" t="s">
        <v>370</v>
      </c>
      <c r="C100" t="s">
        <v>529</v>
      </c>
      <c r="H100" s="16">
        <v>8</v>
      </c>
      <c r="I100" s="16" t="s">
        <v>1934</v>
      </c>
      <c r="M100">
        <v>7</v>
      </c>
      <c r="N100" t="s">
        <v>1053</v>
      </c>
      <c r="O100" t="s">
        <v>1054</v>
      </c>
      <c r="X100">
        <v>10</v>
      </c>
      <c r="Y100" t="s">
        <v>1460</v>
      </c>
      <c r="Z100" t="s">
        <v>1461</v>
      </c>
    </row>
    <row r="101" spans="1:26" x14ac:dyDescent="0.2">
      <c r="A101">
        <v>6</v>
      </c>
      <c r="B101" t="s">
        <v>371</v>
      </c>
      <c r="C101" t="s">
        <v>530</v>
      </c>
      <c r="H101" s="16">
        <v>8</v>
      </c>
      <c r="I101" s="16" t="s">
        <v>1935</v>
      </c>
      <c r="M101">
        <v>7</v>
      </c>
      <c r="N101" t="s">
        <v>1055</v>
      </c>
      <c r="O101" t="s">
        <v>1056</v>
      </c>
      <c r="X101">
        <v>10</v>
      </c>
      <c r="Y101" t="s">
        <v>1462</v>
      </c>
      <c r="Z101" t="s">
        <v>1463</v>
      </c>
    </row>
    <row r="102" spans="1:26" x14ac:dyDescent="0.2">
      <c r="A102">
        <v>6</v>
      </c>
      <c r="B102" t="s">
        <v>372</v>
      </c>
      <c r="C102" t="s">
        <v>531</v>
      </c>
      <c r="H102" s="16">
        <v>8</v>
      </c>
      <c r="I102" s="16" t="s">
        <v>1936</v>
      </c>
      <c r="M102">
        <v>7</v>
      </c>
      <c r="N102" t="s">
        <v>1057</v>
      </c>
      <c r="O102" t="s">
        <v>1058</v>
      </c>
      <c r="X102">
        <v>10</v>
      </c>
      <c r="Y102" t="s">
        <v>1464</v>
      </c>
      <c r="Z102" t="s">
        <v>1465</v>
      </c>
    </row>
    <row r="103" spans="1:26" x14ac:dyDescent="0.2">
      <c r="A103">
        <v>6</v>
      </c>
      <c r="B103" t="s">
        <v>373</v>
      </c>
      <c r="C103" t="s">
        <v>532</v>
      </c>
      <c r="H103" s="16">
        <v>8</v>
      </c>
      <c r="I103" s="16" t="s">
        <v>1937</v>
      </c>
      <c r="M103">
        <v>7</v>
      </c>
      <c r="N103" t="s">
        <v>1059</v>
      </c>
      <c r="O103" t="s">
        <v>1060</v>
      </c>
      <c r="X103">
        <v>11</v>
      </c>
      <c r="Y103" t="s">
        <v>1466</v>
      </c>
      <c r="Z103" t="s">
        <v>1467</v>
      </c>
    </row>
    <row r="104" spans="1:26" x14ac:dyDescent="0.2">
      <c r="A104">
        <v>6</v>
      </c>
      <c r="B104" t="s">
        <v>374</v>
      </c>
      <c r="C104" t="s">
        <v>533</v>
      </c>
      <c r="H104" s="16">
        <v>8</v>
      </c>
      <c r="I104" s="16" t="s">
        <v>290</v>
      </c>
      <c r="M104">
        <v>7</v>
      </c>
      <c r="N104" t="s">
        <v>1061</v>
      </c>
      <c r="O104" t="s">
        <v>1062</v>
      </c>
      <c r="X104">
        <v>11</v>
      </c>
      <c r="Y104" t="s">
        <v>1468</v>
      </c>
      <c r="Z104" t="s">
        <v>1469</v>
      </c>
    </row>
    <row r="105" spans="1:26" x14ac:dyDescent="0.2">
      <c r="A105">
        <v>7</v>
      </c>
      <c r="B105" t="s">
        <v>375</v>
      </c>
      <c r="C105" t="s">
        <v>534</v>
      </c>
      <c r="H105" s="16">
        <v>8</v>
      </c>
      <c r="I105" s="16" t="s">
        <v>1938</v>
      </c>
      <c r="M105">
        <v>7</v>
      </c>
      <c r="N105" t="s">
        <v>1063</v>
      </c>
      <c r="O105" t="s">
        <v>1064</v>
      </c>
      <c r="X105">
        <v>11</v>
      </c>
      <c r="Y105" t="s">
        <v>1470</v>
      </c>
      <c r="Z105" t="s">
        <v>1471</v>
      </c>
    </row>
    <row r="106" spans="1:26" x14ac:dyDescent="0.2">
      <c r="A106">
        <v>7</v>
      </c>
      <c r="B106" t="s">
        <v>376</v>
      </c>
      <c r="C106" t="s">
        <v>535</v>
      </c>
      <c r="H106" s="16">
        <v>8</v>
      </c>
      <c r="I106" s="16" t="s">
        <v>1939</v>
      </c>
      <c r="M106">
        <v>7</v>
      </c>
      <c r="N106" t="s">
        <v>1065</v>
      </c>
      <c r="O106" t="s">
        <v>1066</v>
      </c>
      <c r="X106">
        <v>11</v>
      </c>
      <c r="Y106" t="s">
        <v>1472</v>
      </c>
      <c r="Z106" t="s">
        <v>1473</v>
      </c>
    </row>
    <row r="107" spans="1:26" x14ac:dyDescent="0.2">
      <c r="A107">
        <v>7</v>
      </c>
      <c r="B107" t="s">
        <v>377</v>
      </c>
      <c r="C107" t="s">
        <v>536</v>
      </c>
      <c r="H107" s="16">
        <v>8</v>
      </c>
      <c r="I107" s="16" t="s">
        <v>1940</v>
      </c>
      <c r="M107">
        <v>7</v>
      </c>
      <c r="N107" t="s">
        <v>1067</v>
      </c>
      <c r="O107" t="s">
        <v>1068</v>
      </c>
      <c r="X107">
        <v>11</v>
      </c>
      <c r="Y107" t="s">
        <v>1474</v>
      </c>
      <c r="Z107" t="s">
        <v>1475</v>
      </c>
    </row>
    <row r="108" spans="1:26" x14ac:dyDescent="0.2">
      <c r="A108">
        <v>7</v>
      </c>
      <c r="B108" t="s">
        <v>378</v>
      </c>
      <c r="C108" t="s">
        <v>537</v>
      </c>
      <c r="H108" s="16">
        <v>8</v>
      </c>
      <c r="I108" s="16" t="s">
        <v>1941</v>
      </c>
      <c r="M108">
        <v>7</v>
      </c>
      <c r="N108" t="s">
        <v>1069</v>
      </c>
      <c r="O108" t="s">
        <v>1070</v>
      </c>
      <c r="X108">
        <v>11</v>
      </c>
      <c r="Y108" t="s">
        <v>1476</v>
      </c>
      <c r="Z108" t="s">
        <v>1477</v>
      </c>
    </row>
    <row r="109" spans="1:26" x14ac:dyDescent="0.2">
      <c r="A109">
        <v>7</v>
      </c>
      <c r="B109" t="s">
        <v>379</v>
      </c>
      <c r="C109" t="s">
        <v>538</v>
      </c>
      <c r="H109" s="16">
        <v>9</v>
      </c>
      <c r="I109" s="16" t="s">
        <v>1942</v>
      </c>
      <c r="M109">
        <v>7</v>
      </c>
      <c r="N109" t="s">
        <v>1071</v>
      </c>
      <c r="O109" t="s">
        <v>1072</v>
      </c>
      <c r="X109">
        <v>11</v>
      </c>
      <c r="Y109" t="s">
        <v>1478</v>
      </c>
      <c r="Z109" t="s">
        <v>1479</v>
      </c>
    </row>
    <row r="110" spans="1:26" x14ac:dyDescent="0.2">
      <c r="A110">
        <v>7</v>
      </c>
      <c r="B110" t="s">
        <v>380</v>
      </c>
      <c r="C110" t="s">
        <v>539</v>
      </c>
      <c r="H110" s="16">
        <v>9</v>
      </c>
      <c r="I110" s="16" t="s">
        <v>1943</v>
      </c>
      <c r="M110">
        <v>7</v>
      </c>
      <c r="N110" t="s">
        <v>1073</v>
      </c>
      <c r="O110" t="s">
        <v>1074</v>
      </c>
      <c r="X110">
        <v>11</v>
      </c>
      <c r="Y110" t="s">
        <v>1480</v>
      </c>
      <c r="Z110" t="s">
        <v>1481</v>
      </c>
    </row>
    <row r="111" spans="1:26" x14ac:dyDescent="0.2">
      <c r="A111">
        <v>7</v>
      </c>
      <c r="B111" t="s">
        <v>381</v>
      </c>
      <c r="C111" t="s">
        <v>540</v>
      </c>
      <c r="H111" s="16">
        <v>9</v>
      </c>
      <c r="I111" s="16" t="s">
        <v>1944</v>
      </c>
      <c r="M111">
        <v>7</v>
      </c>
      <c r="N111" t="s">
        <v>1075</v>
      </c>
      <c r="O111" t="s">
        <v>1076</v>
      </c>
      <c r="X111">
        <v>11</v>
      </c>
      <c r="Y111" t="s">
        <v>1482</v>
      </c>
      <c r="Z111" t="s">
        <v>1483</v>
      </c>
    </row>
    <row r="112" spans="1:26" x14ac:dyDescent="0.2">
      <c r="A112">
        <v>7</v>
      </c>
      <c r="B112" t="s">
        <v>382</v>
      </c>
      <c r="C112" t="s">
        <v>541</v>
      </c>
      <c r="H112" s="16">
        <v>9</v>
      </c>
      <c r="I112" s="16" t="s">
        <v>1945</v>
      </c>
      <c r="M112">
        <v>7</v>
      </c>
      <c r="N112" t="s">
        <v>1077</v>
      </c>
      <c r="O112" t="s">
        <v>1078</v>
      </c>
    </row>
    <row r="113" spans="1:15" x14ac:dyDescent="0.2">
      <c r="A113">
        <v>7</v>
      </c>
      <c r="B113" t="s">
        <v>383</v>
      </c>
      <c r="C113" t="s">
        <v>542</v>
      </c>
      <c r="H113" s="16">
        <v>9</v>
      </c>
      <c r="I113" s="16" t="s">
        <v>1946</v>
      </c>
      <c r="M113">
        <v>7</v>
      </c>
      <c r="N113" t="s">
        <v>1079</v>
      </c>
      <c r="O113" t="s">
        <v>1080</v>
      </c>
    </row>
    <row r="114" spans="1:15" x14ac:dyDescent="0.2">
      <c r="A114">
        <v>8</v>
      </c>
      <c r="B114" t="s">
        <v>16</v>
      </c>
      <c r="C114" t="s">
        <v>543</v>
      </c>
      <c r="H114" s="16">
        <v>9</v>
      </c>
      <c r="I114" s="16" t="s">
        <v>1947</v>
      </c>
      <c r="M114">
        <v>7</v>
      </c>
      <c r="N114" t="s">
        <v>1081</v>
      </c>
      <c r="O114" t="s">
        <v>1082</v>
      </c>
    </row>
    <row r="115" spans="1:15" x14ac:dyDescent="0.2">
      <c r="A115">
        <v>8</v>
      </c>
      <c r="B115" t="s">
        <v>384</v>
      </c>
      <c r="C115" t="s">
        <v>544</v>
      </c>
      <c r="H115" s="16">
        <v>9</v>
      </c>
      <c r="I115" s="16" t="s">
        <v>1948</v>
      </c>
      <c r="M115">
        <v>7</v>
      </c>
      <c r="N115" t="s">
        <v>1083</v>
      </c>
      <c r="O115" t="s">
        <v>1084</v>
      </c>
    </row>
    <row r="116" spans="1:15" x14ac:dyDescent="0.2">
      <c r="A116">
        <v>8</v>
      </c>
      <c r="B116" t="s">
        <v>385</v>
      </c>
      <c r="C116" t="s">
        <v>545</v>
      </c>
      <c r="H116" s="16">
        <v>9</v>
      </c>
      <c r="I116" s="16" t="s">
        <v>1949</v>
      </c>
      <c r="M116">
        <v>7</v>
      </c>
      <c r="N116" t="s">
        <v>1085</v>
      </c>
      <c r="O116" t="s">
        <v>1086</v>
      </c>
    </row>
    <row r="117" spans="1:15" x14ac:dyDescent="0.2">
      <c r="A117">
        <v>8</v>
      </c>
      <c r="B117" t="s">
        <v>386</v>
      </c>
      <c r="C117" t="s">
        <v>546</v>
      </c>
      <c r="H117" s="16">
        <v>9</v>
      </c>
      <c r="I117" s="16" t="s">
        <v>1950</v>
      </c>
      <c r="M117">
        <v>7</v>
      </c>
      <c r="N117" t="s">
        <v>1087</v>
      </c>
      <c r="O117" t="s">
        <v>1088</v>
      </c>
    </row>
    <row r="118" spans="1:15" x14ac:dyDescent="0.2">
      <c r="A118">
        <v>8</v>
      </c>
      <c r="B118" t="s">
        <v>387</v>
      </c>
      <c r="C118" t="s">
        <v>547</v>
      </c>
      <c r="H118" s="16">
        <v>9</v>
      </c>
      <c r="I118" s="16" t="s">
        <v>1951</v>
      </c>
      <c r="M118">
        <v>7</v>
      </c>
      <c r="N118" t="s">
        <v>1089</v>
      </c>
      <c r="O118" t="s">
        <v>1090</v>
      </c>
    </row>
    <row r="119" spans="1:15" x14ac:dyDescent="0.2">
      <c r="A119">
        <v>8</v>
      </c>
      <c r="B119" t="s">
        <v>388</v>
      </c>
      <c r="C119" t="s">
        <v>548</v>
      </c>
      <c r="H119" s="16">
        <v>9</v>
      </c>
      <c r="I119" s="16" t="s">
        <v>1952</v>
      </c>
      <c r="M119">
        <v>7</v>
      </c>
      <c r="N119" t="s">
        <v>1091</v>
      </c>
      <c r="O119" t="s">
        <v>1092</v>
      </c>
    </row>
    <row r="120" spans="1:15" x14ac:dyDescent="0.2">
      <c r="A120">
        <v>8</v>
      </c>
      <c r="B120" t="s">
        <v>389</v>
      </c>
      <c r="C120" t="s">
        <v>549</v>
      </c>
      <c r="H120" s="16">
        <v>10</v>
      </c>
      <c r="I120" s="16" t="s">
        <v>1953</v>
      </c>
      <c r="M120">
        <v>8</v>
      </c>
      <c r="N120" t="s">
        <v>1093</v>
      </c>
      <c r="O120" t="s">
        <v>1094</v>
      </c>
    </row>
    <row r="121" spans="1:15" x14ac:dyDescent="0.2">
      <c r="A121">
        <v>8</v>
      </c>
      <c r="B121" t="s">
        <v>390</v>
      </c>
      <c r="C121" t="s">
        <v>550</v>
      </c>
      <c r="H121" s="16">
        <v>10</v>
      </c>
      <c r="I121" s="16" t="s">
        <v>1954</v>
      </c>
      <c r="M121">
        <v>8</v>
      </c>
      <c r="N121" t="s">
        <v>1095</v>
      </c>
      <c r="O121" t="s">
        <v>1096</v>
      </c>
    </row>
    <row r="122" spans="1:15" x14ac:dyDescent="0.2">
      <c r="A122">
        <v>8</v>
      </c>
      <c r="B122" t="s">
        <v>391</v>
      </c>
      <c r="C122" t="s">
        <v>551</v>
      </c>
      <c r="H122" s="16">
        <v>10</v>
      </c>
      <c r="I122" s="16" t="s">
        <v>1955</v>
      </c>
      <c r="M122">
        <v>8</v>
      </c>
      <c r="N122" t="s">
        <v>1097</v>
      </c>
      <c r="O122" t="s">
        <v>1098</v>
      </c>
    </row>
    <row r="123" spans="1:15" x14ac:dyDescent="0.2">
      <c r="A123">
        <v>8</v>
      </c>
      <c r="B123" t="s">
        <v>392</v>
      </c>
      <c r="C123" t="s">
        <v>552</v>
      </c>
      <c r="H123" s="16">
        <v>10</v>
      </c>
      <c r="I123" s="16" t="s">
        <v>1956</v>
      </c>
      <c r="M123">
        <v>8</v>
      </c>
      <c r="N123" t="s">
        <v>1099</v>
      </c>
      <c r="O123" t="s">
        <v>1100</v>
      </c>
    </row>
    <row r="124" spans="1:15" x14ac:dyDescent="0.2">
      <c r="A124">
        <v>8</v>
      </c>
      <c r="B124" t="s">
        <v>393</v>
      </c>
      <c r="C124" t="s">
        <v>553</v>
      </c>
      <c r="H124" s="16">
        <v>10</v>
      </c>
      <c r="I124" s="16" t="s">
        <v>1957</v>
      </c>
      <c r="M124">
        <v>8</v>
      </c>
      <c r="N124" t="s">
        <v>1101</v>
      </c>
      <c r="O124" t="s">
        <v>1102</v>
      </c>
    </row>
    <row r="125" spans="1:15" x14ac:dyDescent="0.2">
      <c r="A125">
        <v>8</v>
      </c>
      <c r="B125" t="s">
        <v>394</v>
      </c>
      <c r="C125" t="s">
        <v>554</v>
      </c>
      <c r="H125" s="16">
        <v>10</v>
      </c>
      <c r="I125" s="16" t="s">
        <v>1958</v>
      </c>
      <c r="M125">
        <v>8</v>
      </c>
      <c r="N125" t="s">
        <v>1103</v>
      </c>
      <c r="O125" t="s">
        <v>1104</v>
      </c>
    </row>
    <row r="126" spans="1:15" x14ac:dyDescent="0.2">
      <c r="A126">
        <v>8</v>
      </c>
      <c r="B126" t="s">
        <v>395</v>
      </c>
      <c r="C126" t="s">
        <v>555</v>
      </c>
      <c r="H126" s="16">
        <v>10</v>
      </c>
      <c r="I126" s="16" t="s">
        <v>1959</v>
      </c>
      <c r="M126">
        <v>8</v>
      </c>
      <c r="N126" t="s">
        <v>1105</v>
      </c>
      <c r="O126" t="s">
        <v>1106</v>
      </c>
    </row>
    <row r="127" spans="1:15" x14ac:dyDescent="0.2">
      <c r="A127">
        <v>8</v>
      </c>
      <c r="B127" t="s">
        <v>396</v>
      </c>
      <c r="C127" t="s">
        <v>556</v>
      </c>
      <c r="H127" s="16">
        <v>10</v>
      </c>
      <c r="I127" s="16" t="s">
        <v>1960</v>
      </c>
      <c r="M127">
        <v>8</v>
      </c>
      <c r="N127" t="s">
        <v>1107</v>
      </c>
      <c r="O127" t="s">
        <v>1108</v>
      </c>
    </row>
    <row r="128" spans="1:15" x14ac:dyDescent="0.2">
      <c r="A128">
        <v>8</v>
      </c>
      <c r="B128" t="s">
        <v>397</v>
      </c>
      <c r="C128" t="s">
        <v>557</v>
      </c>
      <c r="H128" s="16">
        <v>10</v>
      </c>
      <c r="I128" s="16" t="s">
        <v>1961</v>
      </c>
      <c r="M128">
        <v>9</v>
      </c>
      <c r="N128" t="s">
        <v>1109</v>
      </c>
      <c r="O128" t="s">
        <v>1110</v>
      </c>
    </row>
    <row r="129" spans="1:15" x14ac:dyDescent="0.2">
      <c r="A129">
        <v>8</v>
      </c>
      <c r="B129" t="s">
        <v>398</v>
      </c>
      <c r="C129" t="s">
        <v>558</v>
      </c>
      <c r="H129" s="16">
        <v>10</v>
      </c>
      <c r="I129" s="16" t="s">
        <v>1962</v>
      </c>
      <c r="M129">
        <v>9</v>
      </c>
      <c r="N129" t="s">
        <v>1111</v>
      </c>
      <c r="O129" t="s">
        <v>1112</v>
      </c>
    </row>
    <row r="130" spans="1:15" x14ac:dyDescent="0.2">
      <c r="A130">
        <v>8</v>
      </c>
      <c r="B130" t="s">
        <v>399</v>
      </c>
      <c r="C130" t="s">
        <v>559</v>
      </c>
      <c r="H130" s="16">
        <v>10</v>
      </c>
      <c r="I130" s="16" t="s">
        <v>1963</v>
      </c>
      <c r="M130">
        <v>9</v>
      </c>
      <c r="N130" t="s">
        <v>1113</v>
      </c>
      <c r="O130" t="s">
        <v>1114</v>
      </c>
    </row>
    <row r="131" spans="1:15" x14ac:dyDescent="0.2">
      <c r="A131">
        <v>8</v>
      </c>
      <c r="B131" t="s">
        <v>400</v>
      </c>
      <c r="C131" t="s">
        <v>560</v>
      </c>
      <c r="H131" s="16">
        <v>10</v>
      </c>
      <c r="I131" s="16" t="s">
        <v>1964</v>
      </c>
      <c r="M131">
        <v>9</v>
      </c>
      <c r="N131" t="s">
        <v>1115</v>
      </c>
      <c r="O131" t="s">
        <v>1116</v>
      </c>
    </row>
    <row r="132" spans="1:15" x14ac:dyDescent="0.2">
      <c r="A132">
        <v>8</v>
      </c>
      <c r="B132" t="s">
        <v>401</v>
      </c>
      <c r="C132" t="s">
        <v>561</v>
      </c>
      <c r="H132" s="16">
        <v>10</v>
      </c>
      <c r="I132" s="16" t="s">
        <v>1965</v>
      </c>
      <c r="M132">
        <v>9</v>
      </c>
      <c r="N132" t="s">
        <v>1117</v>
      </c>
      <c r="O132" t="s">
        <v>1118</v>
      </c>
    </row>
    <row r="133" spans="1:15" x14ac:dyDescent="0.2">
      <c r="A133">
        <v>8</v>
      </c>
      <c r="B133" t="s">
        <v>402</v>
      </c>
      <c r="C133" t="s">
        <v>562</v>
      </c>
      <c r="H133" s="16">
        <v>10</v>
      </c>
      <c r="I133" s="16" t="s">
        <v>1966</v>
      </c>
      <c r="M133">
        <v>9</v>
      </c>
      <c r="N133" t="s">
        <v>1119</v>
      </c>
      <c r="O133" t="s">
        <v>1120</v>
      </c>
    </row>
    <row r="134" spans="1:15" x14ac:dyDescent="0.2">
      <c r="A134">
        <v>8</v>
      </c>
      <c r="B134" t="s">
        <v>403</v>
      </c>
      <c r="C134" t="s">
        <v>563</v>
      </c>
      <c r="H134" s="16">
        <v>10</v>
      </c>
      <c r="I134" s="16" t="s">
        <v>1967</v>
      </c>
      <c r="M134">
        <v>9</v>
      </c>
      <c r="N134" t="s">
        <v>1121</v>
      </c>
      <c r="O134" t="s">
        <v>1122</v>
      </c>
    </row>
    <row r="135" spans="1:15" x14ac:dyDescent="0.2">
      <c r="A135">
        <v>8</v>
      </c>
      <c r="B135" t="s">
        <v>404</v>
      </c>
      <c r="C135" t="s">
        <v>564</v>
      </c>
      <c r="H135" s="16">
        <v>10</v>
      </c>
      <c r="I135" s="16" t="s">
        <v>1968</v>
      </c>
      <c r="M135">
        <v>9</v>
      </c>
      <c r="N135" t="s">
        <v>1123</v>
      </c>
      <c r="O135" t="s">
        <v>1124</v>
      </c>
    </row>
    <row r="136" spans="1:15" x14ac:dyDescent="0.2">
      <c r="A136">
        <v>9</v>
      </c>
      <c r="B136" t="s">
        <v>405</v>
      </c>
      <c r="C136" t="s">
        <v>565</v>
      </c>
      <c r="H136" s="16">
        <v>10</v>
      </c>
      <c r="I136" s="16" t="s">
        <v>1969</v>
      </c>
      <c r="M136">
        <v>9</v>
      </c>
      <c r="N136" t="s">
        <v>1125</v>
      </c>
      <c r="O136" t="s">
        <v>1126</v>
      </c>
    </row>
    <row r="137" spans="1:15" x14ac:dyDescent="0.2">
      <c r="A137">
        <v>9</v>
      </c>
      <c r="B137" t="s">
        <v>406</v>
      </c>
      <c r="C137" t="s">
        <v>566</v>
      </c>
      <c r="H137" s="16">
        <v>10</v>
      </c>
      <c r="I137" s="16" t="s">
        <v>1970</v>
      </c>
    </row>
    <row r="138" spans="1:15" x14ac:dyDescent="0.2">
      <c r="A138">
        <v>9</v>
      </c>
      <c r="B138" t="s">
        <v>407</v>
      </c>
      <c r="C138" t="s">
        <v>567</v>
      </c>
      <c r="H138" s="16">
        <v>10</v>
      </c>
      <c r="I138" s="16" t="s">
        <v>1027</v>
      </c>
    </row>
    <row r="139" spans="1:15" x14ac:dyDescent="0.2">
      <c r="A139">
        <v>9</v>
      </c>
      <c r="B139" t="s">
        <v>408</v>
      </c>
      <c r="C139" t="s">
        <v>568</v>
      </c>
      <c r="H139" s="16">
        <v>10</v>
      </c>
      <c r="I139" s="16" t="s">
        <v>1971</v>
      </c>
    </row>
    <row r="140" spans="1:15" x14ac:dyDescent="0.2">
      <c r="A140">
        <v>9</v>
      </c>
      <c r="B140" t="s">
        <v>409</v>
      </c>
      <c r="C140" t="s">
        <v>569</v>
      </c>
    </row>
    <row r="141" spans="1:15" x14ac:dyDescent="0.2">
      <c r="A141">
        <v>9</v>
      </c>
      <c r="B141" t="s">
        <v>410</v>
      </c>
      <c r="C141" t="s">
        <v>570</v>
      </c>
    </row>
    <row r="142" spans="1:15" x14ac:dyDescent="0.2">
      <c r="A142">
        <v>9</v>
      </c>
      <c r="B142" t="s">
        <v>411</v>
      </c>
      <c r="C142" t="s">
        <v>571</v>
      </c>
    </row>
    <row r="143" spans="1:15" x14ac:dyDescent="0.2">
      <c r="A143">
        <v>9</v>
      </c>
      <c r="B143" t="s">
        <v>412</v>
      </c>
      <c r="C143" t="s">
        <v>572</v>
      </c>
    </row>
    <row r="144" spans="1:15" x14ac:dyDescent="0.2">
      <c r="A144">
        <v>9</v>
      </c>
      <c r="B144" t="s">
        <v>413</v>
      </c>
      <c r="C144" t="s">
        <v>573</v>
      </c>
    </row>
    <row r="145" spans="1:3" x14ac:dyDescent="0.2">
      <c r="A145">
        <v>9</v>
      </c>
      <c r="B145" t="s">
        <v>414</v>
      </c>
      <c r="C145" t="s">
        <v>574</v>
      </c>
    </row>
    <row r="146" spans="1:3" x14ac:dyDescent="0.2">
      <c r="A146">
        <v>9</v>
      </c>
      <c r="B146" t="s">
        <v>415</v>
      </c>
      <c r="C146" t="s">
        <v>575</v>
      </c>
    </row>
    <row r="147" spans="1:3" x14ac:dyDescent="0.2">
      <c r="A147">
        <v>9</v>
      </c>
      <c r="B147" t="s">
        <v>416</v>
      </c>
      <c r="C147" t="s">
        <v>576</v>
      </c>
    </row>
    <row r="148" spans="1:3" x14ac:dyDescent="0.2">
      <c r="A148">
        <v>9</v>
      </c>
      <c r="B148" t="s">
        <v>417</v>
      </c>
      <c r="C148" t="s">
        <v>577</v>
      </c>
    </row>
    <row r="149" spans="1:3" x14ac:dyDescent="0.2">
      <c r="A149">
        <v>9</v>
      </c>
      <c r="B149" t="s">
        <v>418</v>
      </c>
      <c r="C149" t="s">
        <v>578</v>
      </c>
    </row>
    <row r="150" spans="1:3" x14ac:dyDescent="0.2">
      <c r="A150">
        <v>9</v>
      </c>
      <c r="B150" t="s">
        <v>419</v>
      </c>
      <c r="C150" t="s">
        <v>579</v>
      </c>
    </row>
    <row r="151" spans="1:3" x14ac:dyDescent="0.2">
      <c r="A151">
        <v>10</v>
      </c>
      <c r="B151" t="s">
        <v>420</v>
      </c>
      <c r="C151" t="s">
        <v>580</v>
      </c>
    </row>
    <row r="152" spans="1:3" x14ac:dyDescent="0.2">
      <c r="A152">
        <v>10</v>
      </c>
      <c r="B152" t="s">
        <v>421</v>
      </c>
      <c r="C152" t="s">
        <v>581</v>
      </c>
    </row>
    <row r="153" spans="1:3" x14ac:dyDescent="0.2">
      <c r="A153">
        <v>10</v>
      </c>
      <c r="B153" t="s">
        <v>422</v>
      </c>
      <c r="C153" t="s">
        <v>582</v>
      </c>
    </row>
    <row r="154" spans="1:3" x14ac:dyDescent="0.2">
      <c r="A154">
        <v>10</v>
      </c>
      <c r="B154" t="s">
        <v>423</v>
      </c>
      <c r="C154" t="s">
        <v>583</v>
      </c>
    </row>
    <row r="155" spans="1:3" x14ac:dyDescent="0.2">
      <c r="A155">
        <v>10</v>
      </c>
      <c r="B155" t="s">
        <v>424</v>
      </c>
      <c r="C155" t="s">
        <v>584</v>
      </c>
    </row>
    <row r="156" spans="1:3" x14ac:dyDescent="0.2">
      <c r="A156">
        <v>10</v>
      </c>
      <c r="B156" t="s">
        <v>425</v>
      </c>
      <c r="C156" t="s">
        <v>585</v>
      </c>
    </row>
    <row r="157" spans="1:3" x14ac:dyDescent="0.2">
      <c r="A157">
        <v>10</v>
      </c>
      <c r="B157" t="s">
        <v>426</v>
      </c>
      <c r="C157" t="s">
        <v>586</v>
      </c>
    </row>
    <row r="158" spans="1:3" x14ac:dyDescent="0.2">
      <c r="A158">
        <v>10</v>
      </c>
      <c r="B158" t="s">
        <v>427</v>
      </c>
      <c r="C158" t="s">
        <v>587</v>
      </c>
    </row>
    <row r="159" spans="1:3" x14ac:dyDescent="0.2">
      <c r="A159">
        <v>10</v>
      </c>
      <c r="B159" t="s">
        <v>428</v>
      </c>
      <c r="C159" t="s">
        <v>588</v>
      </c>
    </row>
    <row r="160" spans="1:3" x14ac:dyDescent="0.2">
      <c r="A160">
        <v>10</v>
      </c>
      <c r="B160" t="s">
        <v>429</v>
      </c>
      <c r="C160" t="s">
        <v>589</v>
      </c>
    </row>
    <row r="161" spans="1:3" x14ac:dyDescent="0.2">
      <c r="A161">
        <v>10</v>
      </c>
      <c r="B161" t="s">
        <v>430</v>
      </c>
      <c r="C161" t="s">
        <v>590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 enableFormatConditionsCalculation="0"/>
  <dimension ref="A1:M1073"/>
  <sheetViews>
    <sheetView workbookViewId="0">
      <selection activeCell="O158" sqref="O158"/>
    </sheetView>
  </sheetViews>
  <sheetFormatPr baseColWidth="10" defaultColWidth="11.5" defaultRowHeight="15" x14ac:dyDescent="0.2"/>
  <sheetData>
    <row r="1" spans="1:13" x14ac:dyDescent="0.2">
      <c r="A1" s="13"/>
      <c r="B1" s="14"/>
      <c r="C1" s="13"/>
      <c r="D1" s="14"/>
      <c r="F1" s="14"/>
      <c r="G1" s="14"/>
      <c r="H1" s="14"/>
      <c r="I1" s="14"/>
      <c r="J1" s="14"/>
      <c r="K1" s="14"/>
    </row>
    <row r="2" spans="1:13" hidden="1" x14ac:dyDescent="0.2">
      <c r="A2" s="12"/>
      <c r="C2" s="12"/>
      <c r="D2" s="14"/>
      <c r="F2" s="14"/>
      <c r="G2" s="14"/>
      <c r="H2" s="14"/>
      <c r="I2" s="14"/>
      <c r="J2" s="14"/>
      <c r="K2" s="14"/>
      <c r="L2" s="14"/>
    </row>
    <row r="3" spans="1:13" hidden="1" x14ac:dyDescent="0.2">
      <c r="C3" t="s">
        <v>294</v>
      </c>
      <c r="E3" s="13"/>
      <c r="F3" t="s">
        <v>296</v>
      </c>
      <c r="M3" s="14"/>
    </row>
    <row r="4" spans="1:13" x14ac:dyDescent="0.2">
      <c r="E4" s="14" t="s">
        <v>295</v>
      </c>
      <c r="F4" t="s">
        <v>1538</v>
      </c>
      <c r="L4" t="str">
        <f>MID(E4,10,2)</f>
        <v xml:space="preserve"> 1</v>
      </c>
      <c r="M4" t="str">
        <f>MID(F4,24,3)</f>
        <v>AEP</v>
      </c>
    </row>
    <row r="5" spans="1:13" hidden="1" x14ac:dyDescent="0.2">
      <c r="F5" t="s">
        <v>592</v>
      </c>
      <c r="L5" t="str">
        <f t="shared" ref="L5:L68" si="0">MID(E5,10,2)</f>
        <v/>
      </c>
      <c r="M5" t="str">
        <f t="shared" ref="M5:M68" si="1">MID(F5,24,3)</f>
        <v>ERO</v>
      </c>
    </row>
    <row r="6" spans="1:13" hidden="1" x14ac:dyDescent="0.2">
      <c r="F6" t="s">
        <v>297</v>
      </c>
      <c r="L6" t="str">
        <f t="shared" si="0"/>
        <v/>
      </c>
      <c r="M6" t="str">
        <f t="shared" si="1"/>
        <v>pti</v>
      </c>
    </row>
    <row r="7" spans="1:13" hidden="1" x14ac:dyDescent="0.2">
      <c r="L7" t="str">
        <f t="shared" si="0"/>
        <v/>
      </c>
      <c r="M7" t="str">
        <f t="shared" si="1"/>
        <v/>
      </c>
    </row>
    <row r="8" spans="1:13" ht="16" hidden="1" x14ac:dyDescent="0.2">
      <c r="A8" s="15"/>
      <c r="B8" t="s">
        <v>294</v>
      </c>
      <c r="L8" t="str">
        <f t="shared" si="0"/>
        <v/>
      </c>
      <c r="M8" t="str">
        <f t="shared" si="1"/>
        <v/>
      </c>
    </row>
    <row r="9" spans="1:13" ht="16" hidden="1" x14ac:dyDescent="0.2">
      <c r="C9" s="15" t="s">
        <v>294</v>
      </c>
      <c r="E9" t="s">
        <v>298</v>
      </c>
      <c r="L9" t="str">
        <f t="shared" si="0"/>
        <v/>
      </c>
      <c r="M9" t="str">
        <f t="shared" si="1"/>
        <v/>
      </c>
    </row>
    <row r="10" spans="1:13" hidden="1" x14ac:dyDescent="0.2">
      <c r="C10" t="s">
        <v>294</v>
      </c>
      <c r="F10" t="s">
        <v>296</v>
      </c>
      <c r="L10" t="str">
        <f t="shared" si="0"/>
        <v/>
      </c>
      <c r="M10" t="str">
        <f t="shared" si="1"/>
        <v>t.c</v>
      </c>
    </row>
    <row r="11" spans="1:13" x14ac:dyDescent="0.2">
      <c r="E11" t="s">
        <v>295</v>
      </c>
      <c r="F11" t="s">
        <v>1539</v>
      </c>
      <c r="L11" t="str">
        <f>MID(E11,10,2)</f>
        <v xml:space="preserve"> 1</v>
      </c>
      <c r="M11" t="str">
        <f t="shared" si="1"/>
        <v>AZT</v>
      </c>
    </row>
    <row r="12" spans="1:13" hidden="1" x14ac:dyDescent="0.2">
      <c r="F12" t="s">
        <v>1540</v>
      </c>
      <c r="L12" t="str">
        <f t="shared" si="0"/>
        <v/>
      </c>
      <c r="M12" t="str">
        <f t="shared" si="1"/>
        <v>ZTE</v>
      </c>
    </row>
    <row r="13" spans="1:13" hidden="1" x14ac:dyDescent="0.2">
      <c r="F13" t="s">
        <v>297</v>
      </c>
      <c r="L13" t="str">
        <f t="shared" si="0"/>
        <v/>
      </c>
      <c r="M13" t="str">
        <f t="shared" si="1"/>
        <v>pti</v>
      </c>
    </row>
    <row r="14" spans="1:13" hidden="1" x14ac:dyDescent="0.2">
      <c r="L14" t="str">
        <f t="shared" si="0"/>
        <v/>
      </c>
      <c r="M14" t="str">
        <f t="shared" si="1"/>
        <v/>
      </c>
    </row>
    <row r="15" spans="1:13" hidden="1" x14ac:dyDescent="0.2">
      <c r="B15" t="s">
        <v>294</v>
      </c>
      <c r="L15" t="str">
        <f t="shared" si="0"/>
        <v/>
      </c>
      <c r="M15" t="str">
        <f t="shared" si="1"/>
        <v/>
      </c>
    </row>
    <row r="16" spans="1:13" hidden="1" x14ac:dyDescent="0.2">
      <c r="C16" t="s">
        <v>294</v>
      </c>
      <c r="E16" t="s">
        <v>298</v>
      </c>
      <c r="L16" t="str">
        <f t="shared" si="0"/>
        <v/>
      </c>
      <c r="M16" t="str">
        <f t="shared" si="1"/>
        <v/>
      </c>
    </row>
    <row r="17" spans="2:13" hidden="1" x14ac:dyDescent="0.2">
      <c r="C17" t="s">
        <v>294</v>
      </c>
      <c r="F17" t="s">
        <v>296</v>
      </c>
      <c r="L17" t="str">
        <f t="shared" si="0"/>
        <v/>
      </c>
      <c r="M17" t="str">
        <f t="shared" si="1"/>
        <v>t.c</v>
      </c>
    </row>
    <row r="18" spans="2:13" x14ac:dyDescent="0.2">
      <c r="E18" t="s">
        <v>295</v>
      </c>
      <c r="F18" t="s">
        <v>1541</v>
      </c>
      <c r="L18" t="str">
        <f t="shared" si="0"/>
        <v xml:space="preserve"> 1</v>
      </c>
      <c r="M18" t="str">
        <f t="shared" si="1"/>
        <v>BJZ</v>
      </c>
    </row>
    <row r="19" spans="2:13" hidden="1" x14ac:dyDescent="0.2">
      <c r="F19" t="s">
        <v>736</v>
      </c>
      <c r="L19" t="str">
        <f t="shared" si="0"/>
        <v/>
      </c>
      <c r="M19" t="str">
        <f t="shared" si="1"/>
        <v>ENI</v>
      </c>
    </row>
    <row r="20" spans="2:13" hidden="1" x14ac:dyDescent="0.2">
      <c r="F20" t="s">
        <v>297</v>
      </c>
      <c r="L20" t="str">
        <f t="shared" si="0"/>
        <v/>
      </c>
      <c r="M20" t="str">
        <f t="shared" si="1"/>
        <v>pti</v>
      </c>
    </row>
    <row r="21" spans="2:13" hidden="1" x14ac:dyDescent="0.2">
      <c r="L21" t="str">
        <f t="shared" si="0"/>
        <v/>
      </c>
      <c r="M21" t="str">
        <f t="shared" si="1"/>
        <v/>
      </c>
    </row>
    <row r="22" spans="2:13" hidden="1" x14ac:dyDescent="0.2">
      <c r="B22" t="s">
        <v>294</v>
      </c>
      <c r="L22" t="str">
        <f t="shared" si="0"/>
        <v/>
      </c>
      <c r="M22" t="str">
        <f t="shared" si="1"/>
        <v/>
      </c>
    </row>
    <row r="23" spans="2:13" hidden="1" x14ac:dyDescent="0.2">
      <c r="C23" t="s">
        <v>294</v>
      </c>
      <c r="E23" t="s">
        <v>298</v>
      </c>
      <c r="L23" t="str">
        <f t="shared" si="0"/>
        <v/>
      </c>
      <c r="M23" t="str">
        <f t="shared" si="1"/>
        <v/>
      </c>
    </row>
    <row r="24" spans="2:13" hidden="1" x14ac:dyDescent="0.2">
      <c r="C24" t="s">
        <v>294</v>
      </c>
      <c r="F24" t="s">
        <v>296</v>
      </c>
      <c r="L24" t="str">
        <f t="shared" si="0"/>
        <v/>
      </c>
      <c r="M24" t="str">
        <f t="shared" si="1"/>
        <v>t.c</v>
      </c>
    </row>
    <row r="25" spans="2:13" x14ac:dyDescent="0.2">
      <c r="E25" t="s">
        <v>295</v>
      </c>
      <c r="F25" t="s">
        <v>1542</v>
      </c>
      <c r="L25" t="str">
        <f t="shared" si="0"/>
        <v xml:space="preserve"> 1</v>
      </c>
      <c r="M25" t="str">
        <f t="shared" si="1"/>
        <v>CAR</v>
      </c>
    </row>
    <row r="26" spans="2:13" hidden="1" x14ac:dyDescent="0.2">
      <c r="F26" t="s">
        <v>1543</v>
      </c>
      <c r="L26" t="str">
        <f t="shared" si="0"/>
        <v/>
      </c>
      <c r="M26" t="str">
        <f t="shared" si="1"/>
        <v>ART</v>
      </c>
    </row>
    <row r="27" spans="2:13" hidden="1" x14ac:dyDescent="0.2">
      <c r="F27" t="s">
        <v>297</v>
      </c>
      <c r="L27" t="str">
        <f t="shared" si="0"/>
        <v/>
      </c>
      <c r="M27" t="str">
        <f t="shared" si="1"/>
        <v>pti</v>
      </c>
    </row>
    <row r="28" spans="2:13" hidden="1" x14ac:dyDescent="0.2">
      <c r="L28" t="str">
        <f t="shared" si="0"/>
        <v/>
      </c>
      <c r="M28" t="str">
        <f t="shared" si="1"/>
        <v/>
      </c>
    </row>
    <row r="29" spans="2:13" hidden="1" x14ac:dyDescent="0.2">
      <c r="B29" t="s">
        <v>294</v>
      </c>
      <c r="L29" t="str">
        <f t="shared" si="0"/>
        <v/>
      </c>
      <c r="M29" t="str">
        <f t="shared" si="1"/>
        <v/>
      </c>
    </row>
    <row r="30" spans="2:13" hidden="1" x14ac:dyDescent="0.2">
      <c r="C30" t="s">
        <v>294</v>
      </c>
      <c r="E30" t="s">
        <v>298</v>
      </c>
      <c r="L30" t="str">
        <f t="shared" si="0"/>
        <v/>
      </c>
      <c r="M30" t="str">
        <f t="shared" si="1"/>
        <v/>
      </c>
    </row>
    <row r="31" spans="2:13" hidden="1" x14ac:dyDescent="0.2">
      <c r="C31" t="s">
        <v>294</v>
      </c>
      <c r="F31" t="s">
        <v>296</v>
      </c>
      <c r="L31" t="str">
        <f t="shared" si="0"/>
        <v/>
      </c>
      <c r="M31" t="str">
        <f t="shared" si="1"/>
        <v>t.c</v>
      </c>
    </row>
    <row r="32" spans="2:13" x14ac:dyDescent="0.2">
      <c r="E32" t="s">
        <v>295</v>
      </c>
      <c r="F32" t="s">
        <v>1544</v>
      </c>
      <c r="L32" t="str">
        <f t="shared" si="0"/>
        <v xml:space="preserve"> 1</v>
      </c>
      <c r="M32" t="str">
        <f t="shared" si="1"/>
        <v>CZL</v>
      </c>
    </row>
    <row r="33" spans="2:13" hidden="1" x14ac:dyDescent="0.2">
      <c r="F33" t="s">
        <v>1545</v>
      </c>
      <c r="L33" t="str">
        <f t="shared" si="0"/>
        <v/>
      </c>
      <c r="M33" t="str">
        <f t="shared" si="1"/>
        <v>HAM</v>
      </c>
    </row>
    <row r="34" spans="2:13" hidden="1" x14ac:dyDescent="0.2">
      <c r="F34" t="s">
        <v>297</v>
      </c>
      <c r="L34" t="str">
        <f t="shared" si="0"/>
        <v/>
      </c>
      <c r="M34" t="str">
        <f t="shared" si="1"/>
        <v>pti</v>
      </c>
    </row>
    <row r="35" spans="2:13" hidden="1" x14ac:dyDescent="0.2">
      <c r="L35" t="str">
        <f t="shared" si="0"/>
        <v/>
      </c>
      <c r="M35" t="str">
        <f t="shared" si="1"/>
        <v/>
      </c>
    </row>
    <row r="36" spans="2:13" hidden="1" x14ac:dyDescent="0.2">
      <c r="B36" t="s">
        <v>294</v>
      </c>
      <c r="L36" t="str">
        <f t="shared" si="0"/>
        <v/>
      </c>
      <c r="M36" t="str">
        <f t="shared" si="1"/>
        <v/>
      </c>
    </row>
    <row r="37" spans="2:13" hidden="1" x14ac:dyDescent="0.2">
      <c r="C37" t="s">
        <v>294</v>
      </c>
      <c r="E37" t="s">
        <v>298</v>
      </c>
      <c r="L37" t="str">
        <f t="shared" si="0"/>
        <v/>
      </c>
      <c r="M37" t="str">
        <f t="shared" si="1"/>
        <v/>
      </c>
    </row>
    <row r="38" spans="2:13" hidden="1" x14ac:dyDescent="0.2">
      <c r="C38" t="s">
        <v>294</v>
      </c>
      <c r="F38" t="s">
        <v>296</v>
      </c>
      <c r="L38" t="str">
        <f t="shared" si="0"/>
        <v/>
      </c>
      <c r="M38" t="str">
        <f t="shared" si="1"/>
        <v>t.c</v>
      </c>
    </row>
    <row r="39" spans="2:13" x14ac:dyDescent="0.2">
      <c r="E39" t="s">
        <v>295</v>
      </c>
      <c r="F39" t="s">
        <v>1546</v>
      </c>
      <c r="L39" t="str">
        <f t="shared" si="0"/>
        <v xml:space="preserve"> 1</v>
      </c>
      <c r="M39" t="str">
        <f t="shared" si="1"/>
        <v>CVA</v>
      </c>
    </row>
    <row r="40" spans="2:13" hidden="1" x14ac:dyDescent="0.2">
      <c r="F40" t="s">
        <v>1547</v>
      </c>
      <c r="L40" t="str">
        <f t="shared" si="0"/>
        <v/>
      </c>
      <c r="M40" t="str">
        <f t="shared" si="1"/>
        <v>HAV</v>
      </c>
    </row>
    <row r="41" spans="2:13" hidden="1" x14ac:dyDescent="0.2">
      <c r="F41" t="s">
        <v>297</v>
      </c>
      <c r="L41" t="str">
        <f t="shared" si="0"/>
        <v/>
      </c>
      <c r="M41" t="str">
        <f t="shared" si="1"/>
        <v>pti</v>
      </c>
    </row>
    <row r="42" spans="2:13" hidden="1" x14ac:dyDescent="0.2">
      <c r="L42" t="str">
        <f t="shared" si="0"/>
        <v/>
      </c>
      <c r="M42" t="str">
        <f t="shared" si="1"/>
        <v/>
      </c>
    </row>
    <row r="43" spans="2:13" hidden="1" x14ac:dyDescent="0.2">
      <c r="B43" t="s">
        <v>294</v>
      </c>
      <c r="L43" t="str">
        <f t="shared" si="0"/>
        <v/>
      </c>
      <c r="M43" t="str">
        <f t="shared" si="1"/>
        <v/>
      </c>
    </row>
    <row r="44" spans="2:13" hidden="1" x14ac:dyDescent="0.2">
      <c r="C44" t="s">
        <v>294</v>
      </c>
      <c r="E44" t="s">
        <v>298</v>
      </c>
      <c r="L44" t="str">
        <f t="shared" si="0"/>
        <v/>
      </c>
      <c r="M44" t="str">
        <f t="shared" si="1"/>
        <v/>
      </c>
    </row>
    <row r="45" spans="2:13" hidden="1" x14ac:dyDescent="0.2">
      <c r="C45" t="s">
        <v>294</v>
      </c>
      <c r="F45" t="s">
        <v>296</v>
      </c>
      <c r="L45" t="str">
        <f t="shared" si="0"/>
        <v/>
      </c>
      <c r="M45" t="str">
        <f t="shared" si="1"/>
        <v>t.c</v>
      </c>
    </row>
    <row r="46" spans="2:13" x14ac:dyDescent="0.2">
      <c r="E46" t="s">
        <v>295</v>
      </c>
      <c r="F46" t="s">
        <v>1548</v>
      </c>
      <c r="L46" t="str">
        <f t="shared" si="0"/>
        <v xml:space="preserve"> 1</v>
      </c>
      <c r="M46" t="str">
        <f t="shared" si="1"/>
        <v>CLG</v>
      </c>
    </row>
    <row r="47" spans="2:13" hidden="1" x14ac:dyDescent="0.2">
      <c r="F47" t="s">
        <v>1549</v>
      </c>
      <c r="L47" t="str">
        <f t="shared" si="0"/>
        <v/>
      </c>
      <c r="M47" t="str">
        <f t="shared" si="1"/>
        <v>OLE</v>
      </c>
    </row>
    <row r="48" spans="2:13" hidden="1" x14ac:dyDescent="0.2">
      <c r="F48" t="s">
        <v>297</v>
      </c>
      <c r="L48" t="str">
        <f t="shared" si="0"/>
        <v/>
      </c>
      <c r="M48" t="str">
        <f t="shared" si="1"/>
        <v>pti</v>
      </c>
    </row>
    <row r="49" spans="2:13" hidden="1" x14ac:dyDescent="0.2">
      <c r="L49" t="str">
        <f t="shared" si="0"/>
        <v/>
      </c>
      <c r="M49" t="str">
        <f t="shared" si="1"/>
        <v/>
      </c>
    </row>
    <row r="50" spans="2:13" hidden="1" x14ac:dyDescent="0.2">
      <c r="B50" t="s">
        <v>294</v>
      </c>
      <c r="L50" t="str">
        <f t="shared" si="0"/>
        <v/>
      </c>
      <c r="M50" t="str">
        <f t="shared" si="1"/>
        <v/>
      </c>
    </row>
    <row r="51" spans="2:13" hidden="1" x14ac:dyDescent="0.2">
      <c r="C51" t="s">
        <v>294</v>
      </c>
      <c r="E51" t="s">
        <v>298</v>
      </c>
      <c r="L51" t="str">
        <f t="shared" si="0"/>
        <v/>
      </c>
      <c r="M51" t="str">
        <f t="shared" si="1"/>
        <v/>
      </c>
    </row>
    <row r="52" spans="2:13" hidden="1" x14ac:dyDescent="0.2">
      <c r="C52" t="s">
        <v>294</v>
      </c>
      <c r="F52" t="s">
        <v>296</v>
      </c>
      <c r="L52" t="str">
        <f t="shared" si="0"/>
        <v/>
      </c>
      <c r="M52" t="str">
        <f t="shared" si="1"/>
        <v>t.c</v>
      </c>
    </row>
    <row r="53" spans="2:13" x14ac:dyDescent="0.2">
      <c r="E53" t="s">
        <v>295</v>
      </c>
      <c r="F53" t="s">
        <v>1550</v>
      </c>
      <c r="L53" t="str">
        <f t="shared" si="0"/>
        <v xml:space="preserve"> 1</v>
      </c>
      <c r="M53" t="str">
        <f t="shared" si="1"/>
        <v>CJM</v>
      </c>
    </row>
    <row r="54" spans="2:13" hidden="1" x14ac:dyDescent="0.2">
      <c r="F54" t="s">
        <v>1551</v>
      </c>
      <c r="L54" t="str">
        <f t="shared" si="0"/>
        <v/>
      </c>
      <c r="M54" t="str">
        <f t="shared" si="1"/>
        <v>ONE</v>
      </c>
    </row>
    <row r="55" spans="2:13" hidden="1" x14ac:dyDescent="0.2">
      <c r="F55" t="s">
        <v>297</v>
      </c>
      <c r="L55" t="str">
        <f t="shared" si="0"/>
        <v/>
      </c>
      <c r="M55" t="str">
        <f t="shared" si="1"/>
        <v>pti</v>
      </c>
    </row>
    <row r="56" spans="2:13" hidden="1" x14ac:dyDescent="0.2">
      <c r="L56" t="str">
        <f t="shared" si="0"/>
        <v/>
      </c>
      <c r="M56" t="str">
        <f t="shared" si="1"/>
        <v/>
      </c>
    </row>
    <row r="57" spans="2:13" hidden="1" x14ac:dyDescent="0.2">
      <c r="B57" t="s">
        <v>294</v>
      </c>
      <c r="L57" t="str">
        <f t="shared" si="0"/>
        <v/>
      </c>
      <c r="M57" t="str">
        <f t="shared" si="1"/>
        <v/>
      </c>
    </row>
    <row r="58" spans="2:13" hidden="1" x14ac:dyDescent="0.2">
      <c r="C58" t="s">
        <v>294</v>
      </c>
      <c r="E58" t="s">
        <v>298</v>
      </c>
      <c r="L58" t="str">
        <f t="shared" si="0"/>
        <v/>
      </c>
      <c r="M58" t="str">
        <f t="shared" si="1"/>
        <v/>
      </c>
    </row>
    <row r="59" spans="2:13" hidden="1" x14ac:dyDescent="0.2">
      <c r="C59" t="s">
        <v>294</v>
      </c>
      <c r="F59" t="s">
        <v>296</v>
      </c>
      <c r="L59" t="str">
        <f t="shared" si="0"/>
        <v/>
      </c>
      <c r="M59" t="str">
        <f t="shared" si="1"/>
        <v>t.c</v>
      </c>
    </row>
    <row r="60" spans="2:13" x14ac:dyDescent="0.2">
      <c r="E60" t="s">
        <v>295</v>
      </c>
      <c r="F60" t="s">
        <v>1552</v>
      </c>
      <c r="L60" t="str">
        <f t="shared" si="0"/>
        <v xml:space="preserve"> 1</v>
      </c>
      <c r="M60" t="str">
        <f t="shared" si="1"/>
        <v>CUE</v>
      </c>
    </row>
    <row r="61" spans="2:13" hidden="1" x14ac:dyDescent="0.2">
      <c r="F61" t="s">
        <v>1553</v>
      </c>
      <c r="L61" t="str">
        <f t="shared" si="0"/>
        <v/>
      </c>
      <c r="M61" t="str">
        <f t="shared" si="1"/>
        <v>UES</v>
      </c>
    </row>
    <row r="62" spans="2:13" hidden="1" x14ac:dyDescent="0.2">
      <c r="F62" t="s">
        <v>297</v>
      </c>
      <c r="L62" t="str">
        <f t="shared" si="0"/>
        <v/>
      </c>
      <c r="M62" t="str">
        <f t="shared" si="1"/>
        <v>pti</v>
      </c>
    </row>
    <row r="63" spans="2:13" hidden="1" x14ac:dyDescent="0.2">
      <c r="L63" t="str">
        <f t="shared" si="0"/>
        <v/>
      </c>
      <c r="M63" t="str">
        <f t="shared" si="1"/>
        <v/>
      </c>
    </row>
    <row r="64" spans="2:13" hidden="1" x14ac:dyDescent="0.2">
      <c r="B64" t="s">
        <v>294</v>
      </c>
      <c r="L64" t="str">
        <f t="shared" si="0"/>
        <v/>
      </c>
      <c r="M64" t="str">
        <f t="shared" si="1"/>
        <v/>
      </c>
    </row>
    <row r="65" spans="2:13" hidden="1" x14ac:dyDescent="0.2">
      <c r="C65" t="s">
        <v>294</v>
      </c>
      <c r="E65" t="s">
        <v>298</v>
      </c>
      <c r="L65" t="str">
        <f t="shared" si="0"/>
        <v/>
      </c>
      <c r="M65" t="str">
        <f t="shared" si="1"/>
        <v/>
      </c>
    </row>
    <row r="66" spans="2:13" hidden="1" x14ac:dyDescent="0.2">
      <c r="C66" t="s">
        <v>294</v>
      </c>
      <c r="F66" t="s">
        <v>296</v>
      </c>
      <c r="L66" t="str">
        <f t="shared" si="0"/>
        <v/>
      </c>
      <c r="M66" t="str">
        <f t="shared" si="1"/>
        <v>t.c</v>
      </c>
    </row>
    <row r="67" spans="2:13" x14ac:dyDescent="0.2">
      <c r="E67" t="s">
        <v>295</v>
      </c>
      <c r="F67" t="s">
        <v>1554</v>
      </c>
      <c r="L67" t="str">
        <f t="shared" si="0"/>
        <v xml:space="preserve"> 1</v>
      </c>
      <c r="M67" t="str">
        <f t="shared" si="1"/>
        <v>DUN</v>
      </c>
    </row>
    <row r="68" spans="2:13" hidden="1" x14ac:dyDescent="0.2">
      <c r="F68" t="s">
        <v>1555</v>
      </c>
      <c r="L68" t="str">
        <f t="shared" si="0"/>
        <v/>
      </c>
      <c r="M68" t="str">
        <f t="shared" si="1"/>
        <v>UNA</v>
      </c>
    </row>
    <row r="69" spans="2:13" hidden="1" x14ac:dyDescent="0.2">
      <c r="F69" t="s">
        <v>297</v>
      </c>
      <c r="L69" t="str">
        <f t="shared" ref="L69:L132" si="2">MID(E69,10,2)</f>
        <v/>
      </c>
      <c r="M69" t="str">
        <f t="shared" ref="M69:M132" si="3">MID(F69,24,3)</f>
        <v>pti</v>
      </c>
    </row>
    <row r="70" spans="2:13" hidden="1" x14ac:dyDescent="0.2">
      <c r="L70" t="str">
        <f t="shared" si="2"/>
        <v/>
      </c>
      <c r="M70" t="str">
        <f t="shared" si="3"/>
        <v/>
      </c>
    </row>
    <row r="71" spans="2:13" hidden="1" x14ac:dyDescent="0.2">
      <c r="B71" t="s">
        <v>294</v>
      </c>
      <c r="L71" t="str">
        <f t="shared" si="2"/>
        <v/>
      </c>
      <c r="M71" t="str">
        <f t="shared" si="3"/>
        <v/>
      </c>
    </row>
    <row r="72" spans="2:13" hidden="1" x14ac:dyDescent="0.2">
      <c r="C72" t="s">
        <v>294</v>
      </c>
      <c r="E72" t="s">
        <v>298</v>
      </c>
      <c r="L72" t="str">
        <f t="shared" si="2"/>
        <v/>
      </c>
      <c r="M72" t="str">
        <f t="shared" si="3"/>
        <v/>
      </c>
    </row>
    <row r="73" spans="2:13" hidden="1" x14ac:dyDescent="0.2">
      <c r="C73" t="s">
        <v>294</v>
      </c>
      <c r="F73" t="s">
        <v>296</v>
      </c>
      <c r="L73" t="str">
        <f t="shared" si="2"/>
        <v/>
      </c>
      <c r="M73" t="str">
        <f t="shared" si="3"/>
        <v>t.c</v>
      </c>
    </row>
    <row r="74" spans="2:13" x14ac:dyDescent="0.2">
      <c r="E74" t="s">
        <v>295</v>
      </c>
      <c r="F74" t="s">
        <v>1556</v>
      </c>
      <c r="L74" t="str">
        <f t="shared" si="2"/>
        <v xml:space="preserve"> 1</v>
      </c>
      <c r="M74" t="str">
        <f t="shared" si="3"/>
        <v>FNT</v>
      </c>
    </row>
    <row r="75" spans="2:13" hidden="1" x14ac:dyDescent="0.2">
      <c r="F75" t="s">
        <v>1557</v>
      </c>
      <c r="L75" t="str">
        <f t="shared" si="2"/>
        <v/>
      </c>
      <c r="M75" t="str">
        <f t="shared" si="3"/>
        <v>UEN</v>
      </c>
    </row>
    <row r="76" spans="2:13" hidden="1" x14ac:dyDescent="0.2">
      <c r="F76" t="s">
        <v>297</v>
      </c>
      <c r="L76" t="str">
        <f t="shared" si="2"/>
        <v/>
      </c>
      <c r="M76" t="str">
        <f t="shared" si="3"/>
        <v>pti</v>
      </c>
    </row>
    <row r="77" spans="2:13" hidden="1" x14ac:dyDescent="0.2">
      <c r="L77" t="str">
        <f t="shared" si="2"/>
        <v/>
      </c>
      <c r="M77" t="str">
        <f t="shared" si="3"/>
        <v/>
      </c>
    </row>
    <row r="78" spans="2:13" hidden="1" x14ac:dyDescent="0.2">
      <c r="B78" t="s">
        <v>294</v>
      </c>
      <c r="L78" t="str">
        <f t="shared" si="2"/>
        <v/>
      </c>
      <c r="M78" t="str">
        <f t="shared" si="3"/>
        <v/>
      </c>
    </row>
    <row r="79" spans="2:13" hidden="1" x14ac:dyDescent="0.2">
      <c r="C79" t="s">
        <v>294</v>
      </c>
      <c r="E79" t="s">
        <v>298</v>
      </c>
      <c r="L79" t="str">
        <f t="shared" si="2"/>
        <v/>
      </c>
      <c r="M79" t="str">
        <f t="shared" si="3"/>
        <v/>
      </c>
    </row>
    <row r="80" spans="2:13" hidden="1" x14ac:dyDescent="0.2">
      <c r="C80" t="s">
        <v>294</v>
      </c>
      <c r="F80" t="s">
        <v>296</v>
      </c>
      <c r="L80" t="str">
        <f t="shared" si="2"/>
        <v/>
      </c>
      <c r="M80" t="str">
        <f t="shared" si="3"/>
        <v>t.c</v>
      </c>
    </row>
    <row r="81" spans="2:13" x14ac:dyDescent="0.2">
      <c r="E81" t="s">
        <v>295</v>
      </c>
      <c r="F81" t="s">
        <v>1558</v>
      </c>
      <c r="L81" t="str">
        <f t="shared" si="2"/>
        <v xml:space="preserve"> 1</v>
      </c>
      <c r="M81" t="str">
        <f t="shared" si="3"/>
        <v>GEM</v>
      </c>
    </row>
    <row r="82" spans="2:13" hidden="1" x14ac:dyDescent="0.2">
      <c r="F82" t="s">
        <v>1559</v>
      </c>
      <c r="L82" t="str">
        <f t="shared" si="2"/>
        <v/>
      </c>
      <c r="M82" t="str">
        <f t="shared" si="3"/>
        <v>EMI</v>
      </c>
    </row>
    <row r="83" spans="2:13" hidden="1" x14ac:dyDescent="0.2">
      <c r="F83" t="s">
        <v>297</v>
      </c>
      <c r="L83" t="str">
        <f t="shared" si="2"/>
        <v/>
      </c>
      <c r="M83" t="str">
        <f t="shared" si="3"/>
        <v>pti</v>
      </c>
    </row>
    <row r="84" spans="2:13" hidden="1" x14ac:dyDescent="0.2">
      <c r="L84" t="str">
        <f t="shared" si="2"/>
        <v/>
      </c>
      <c r="M84" t="str">
        <f t="shared" si="3"/>
        <v/>
      </c>
    </row>
    <row r="85" spans="2:13" hidden="1" x14ac:dyDescent="0.2">
      <c r="B85" t="s">
        <v>294</v>
      </c>
      <c r="L85" t="str">
        <f t="shared" si="2"/>
        <v/>
      </c>
      <c r="M85" t="str">
        <f t="shared" si="3"/>
        <v/>
      </c>
    </row>
    <row r="86" spans="2:13" hidden="1" x14ac:dyDescent="0.2">
      <c r="C86" t="s">
        <v>294</v>
      </c>
      <c r="E86" t="s">
        <v>298</v>
      </c>
      <c r="L86" t="str">
        <f t="shared" si="2"/>
        <v/>
      </c>
      <c r="M86" t="str">
        <f t="shared" si="3"/>
        <v/>
      </c>
    </row>
    <row r="87" spans="2:13" hidden="1" x14ac:dyDescent="0.2">
      <c r="C87" t="s">
        <v>294</v>
      </c>
      <c r="F87" t="s">
        <v>296</v>
      </c>
      <c r="L87" t="str">
        <f t="shared" si="2"/>
        <v/>
      </c>
      <c r="M87" t="str">
        <f t="shared" si="3"/>
        <v>t.c</v>
      </c>
    </row>
    <row r="88" spans="2:13" x14ac:dyDescent="0.2">
      <c r="E88" t="s">
        <v>295</v>
      </c>
      <c r="F88" t="s">
        <v>1560</v>
      </c>
      <c r="L88" t="str">
        <f t="shared" si="2"/>
        <v xml:space="preserve"> 1</v>
      </c>
      <c r="M88" t="str">
        <f t="shared" si="3"/>
        <v>GJO</v>
      </c>
    </row>
    <row r="89" spans="2:13" hidden="1" x14ac:dyDescent="0.2">
      <c r="F89" t="s">
        <v>1561</v>
      </c>
      <c r="L89" t="str">
        <f t="shared" si="2"/>
        <v/>
      </c>
      <c r="M89" t="str">
        <f t="shared" si="3"/>
        <v>RAN</v>
      </c>
    </row>
    <row r="90" spans="2:13" hidden="1" x14ac:dyDescent="0.2">
      <c r="F90" t="s">
        <v>297</v>
      </c>
      <c r="L90" t="str">
        <f t="shared" si="2"/>
        <v/>
      </c>
      <c r="M90" t="str">
        <f t="shared" si="3"/>
        <v>pti</v>
      </c>
    </row>
    <row r="91" spans="2:13" hidden="1" x14ac:dyDescent="0.2">
      <c r="L91" t="str">
        <f t="shared" si="2"/>
        <v/>
      </c>
      <c r="M91" t="str">
        <f t="shared" si="3"/>
        <v/>
      </c>
    </row>
    <row r="92" spans="2:13" hidden="1" x14ac:dyDescent="0.2">
      <c r="B92" t="s">
        <v>294</v>
      </c>
      <c r="L92" t="str">
        <f t="shared" si="2"/>
        <v/>
      </c>
      <c r="M92" t="str">
        <f t="shared" si="3"/>
        <v/>
      </c>
    </row>
    <row r="93" spans="2:13" hidden="1" x14ac:dyDescent="0.2">
      <c r="C93" t="s">
        <v>294</v>
      </c>
      <c r="E93" t="s">
        <v>298</v>
      </c>
      <c r="L93" t="str">
        <f t="shared" si="2"/>
        <v/>
      </c>
      <c r="M93" t="str">
        <f t="shared" si="3"/>
        <v/>
      </c>
    </row>
    <row r="94" spans="2:13" hidden="1" x14ac:dyDescent="0.2">
      <c r="C94" t="s">
        <v>294</v>
      </c>
      <c r="F94" t="s">
        <v>296</v>
      </c>
      <c r="L94" t="str">
        <f t="shared" si="2"/>
        <v/>
      </c>
      <c r="M94" t="str">
        <f t="shared" si="3"/>
        <v>t.c</v>
      </c>
    </row>
    <row r="95" spans="2:13" x14ac:dyDescent="0.2">
      <c r="E95" t="s">
        <v>295</v>
      </c>
      <c r="F95" t="s">
        <v>1562</v>
      </c>
      <c r="L95" t="str">
        <f t="shared" si="2"/>
        <v xml:space="preserve"> 1</v>
      </c>
      <c r="M95" t="str">
        <f t="shared" si="3"/>
        <v>INJ</v>
      </c>
    </row>
    <row r="96" spans="2:13" hidden="1" x14ac:dyDescent="0.2">
      <c r="F96" t="s">
        <v>1563</v>
      </c>
      <c r="L96" t="str">
        <f t="shared" si="2"/>
        <v/>
      </c>
      <c r="M96" t="str">
        <f t="shared" si="3"/>
        <v>NDU</v>
      </c>
    </row>
    <row r="97" spans="2:13" hidden="1" x14ac:dyDescent="0.2">
      <c r="F97" t="s">
        <v>297</v>
      </c>
      <c r="L97" t="str">
        <f t="shared" si="2"/>
        <v/>
      </c>
      <c r="M97" t="str">
        <f t="shared" si="3"/>
        <v>pti</v>
      </c>
    </row>
    <row r="98" spans="2:13" hidden="1" x14ac:dyDescent="0.2">
      <c r="L98" t="str">
        <f t="shared" si="2"/>
        <v/>
      </c>
      <c r="M98" t="str">
        <f t="shared" si="3"/>
        <v/>
      </c>
    </row>
    <row r="99" spans="2:13" hidden="1" x14ac:dyDescent="0.2">
      <c r="B99" t="s">
        <v>294</v>
      </c>
      <c r="L99" t="str">
        <f t="shared" si="2"/>
        <v/>
      </c>
      <c r="M99" t="str">
        <f t="shared" si="3"/>
        <v/>
      </c>
    </row>
    <row r="100" spans="2:13" hidden="1" x14ac:dyDescent="0.2">
      <c r="C100" t="s">
        <v>294</v>
      </c>
      <c r="E100" t="s">
        <v>298</v>
      </c>
      <c r="L100" t="str">
        <f t="shared" si="2"/>
        <v/>
      </c>
      <c r="M100" t="str">
        <f t="shared" si="3"/>
        <v/>
      </c>
    </row>
    <row r="101" spans="2:13" hidden="1" x14ac:dyDescent="0.2">
      <c r="C101" t="s">
        <v>294</v>
      </c>
      <c r="F101" t="s">
        <v>296</v>
      </c>
      <c r="L101" t="str">
        <f t="shared" si="2"/>
        <v/>
      </c>
      <c r="M101" t="str">
        <f t="shared" si="3"/>
        <v>t.c</v>
      </c>
    </row>
    <row r="102" spans="2:13" x14ac:dyDescent="0.2">
      <c r="E102" t="s">
        <v>295</v>
      </c>
      <c r="F102" t="s">
        <v>1564</v>
      </c>
      <c r="L102" t="str">
        <f t="shared" si="2"/>
        <v xml:space="preserve"> 1</v>
      </c>
      <c r="M102" t="str">
        <f t="shared" si="3"/>
        <v>IGS</v>
      </c>
    </row>
    <row r="103" spans="2:13" hidden="1" x14ac:dyDescent="0.2">
      <c r="F103" t="s">
        <v>1565</v>
      </c>
      <c r="L103" t="str">
        <f t="shared" si="2"/>
        <v/>
      </c>
      <c r="M103" t="str">
        <f t="shared" si="3"/>
        <v>NSU</v>
      </c>
    </row>
    <row r="104" spans="2:13" hidden="1" x14ac:dyDescent="0.2">
      <c r="F104" t="s">
        <v>297</v>
      </c>
      <c r="L104" t="str">
        <f t="shared" si="2"/>
        <v/>
      </c>
      <c r="M104" t="str">
        <f t="shared" si="3"/>
        <v>pti</v>
      </c>
    </row>
    <row r="105" spans="2:13" hidden="1" x14ac:dyDescent="0.2">
      <c r="L105" t="str">
        <f t="shared" si="2"/>
        <v/>
      </c>
      <c r="M105" t="str">
        <f t="shared" si="3"/>
        <v/>
      </c>
    </row>
    <row r="106" spans="2:13" hidden="1" x14ac:dyDescent="0.2">
      <c r="B106" t="s">
        <v>294</v>
      </c>
      <c r="L106" t="str">
        <f t="shared" si="2"/>
        <v/>
      </c>
      <c r="M106" t="str">
        <f t="shared" si="3"/>
        <v/>
      </c>
    </row>
    <row r="107" spans="2:13" hidden="1" x14ac:dyDescent="0.2">
      <c r="C107" t="s">
        <v>294</v>
      </c>
      <c r="E107" t="s">
        <v>298</v>
      </c>
      <c r="L107" t="str">
        <f t="shared" si="2"/>
        <v/>
      </c>
      <c r="M107" t="str">
        <f t="shared" si="3"/>
        <v/>
      </c>
    </row>
    <row r="108" spans="2:13" hidden="1" x14ac:dyDescent="0.2">
      <c r="C108" t="s">
        <v>294</v>
      </c>
      <c r="F108" t="s">
        <v>296</v>
      </c>
      <c r="L108" t="str">
        <f t="shared" si="2"/>
        <v/>
      </c>
      <c r="M108" t="str">
        <f t="shared" si="3"/>
        <v>t.c</v>
      </c>
    </row>
    <row r="109" spans="2:13" x14ac:dyDescent="0.2">
      <c r="E109" t="s">
        <v>295</v>
      </c>
      <c r="F109" t="s">
        <v>1566</v>
      </c>
      <c r="L109" t="str">
        <f t="shared" si="2"/>
        <v xml:space="preserve"> 1</v>
      </c>
      <c r="M109" t="str">
        <f t="shared" si="3"/>
        <v>LAG</v>
      </c>
    </row>
    <row r="110" spans="2:13" hidden="1" x14ac:dyDescent="0.2">
      <c r="F110" t="s">
        <v>1567</v>
      </c>
      <c r="L110" t="str">
        <f t="shared" si="2"/>
        <v/>
      </c>
      <c r="M110" t="str">
        <f t="shared" si="3"/>
        <v>AGO</v>
      </c>
    </row>
    <row r="111" spans="2:13" hidden="1" x14ac:dyDescent="0.2">
      <c r="F111" t="s">
        <v>297</v>
      </c>
      <c r="L111" t="str">
        <f t="shared" si="2"/>
        <v/>
      </c>
      <c r="M111" t="str">
        <f t="shared" si="3"/>
        <v>pti</v>
      </c>
    </row>
    <row r="112" spans="2:13" hidden="1" x14ac:dyDescent="0.2">
      <c r="L112" t="str">
        <f t="shared" si="2"/>
        <v/>
      </c>
      <c r="M112" t="str">
        <f t="shared" si="3"/>
        <v/>
      </c>
    </row>
    <row r="113" spans="2:13" hidden="1" x14ac:dyDescent="0.2">
      <c r="B113" t="s">
        <v>294</v>
      </c>
      <c r="L113" t="str">
        <f t="shared" si="2"/>
        <v/>
      </c>
      <c r="M113" t="str">
        <f t="shared" si="3"/>
        <v/>
      </c>
    </row>
    <row r="114" spans="2:13" hidden="1" x14ac:dyDescent="0.2">
      <c r="C114" t="s">
        <v>294</v>
      </c>
      <c r="E114" t="s">
        <v>298</v>
      </c>
      <c r="L114" t="str">
        <f t="shared" si="2"/>
        <v/>
      </c>
      <c r="M114" t="str">
        <f t="shared" si="3"/>
        <v/>
      </c>
    </row>
    <row r="115" spans="2:13" hidden="1" x14ac:dyDescent="0.2">
      <c r="C115" t="s">
        <v>294</v>
      </c>
      <c r="F115" t="s">
        <v>296</v>
      </c>
      <c r="L115" t="str">
        <f t="shared" si="2"/>
        <v/>
      </c>
      <c r="M115" t="str">
        <f t="shared" si="3"/>
        <v>t.c</v>
      </c>
    </row>
    <row r="116" spans="2:13" x14ac:dyDescent="0.2">
      <c r="E116" t="s">
        <v>295</v>
      </c>
      <c r="F116" t="s">
        <v>1568</v>
      </c>
      <c r="L116" t="str">
        <f t="shared" si="2"/>
        <v xml:space="preserve"> 1</v>
      </c>
      <c r="M116" t="str">
        <f t="shared" si="3"/>
        <v>LTD</v>
      </c>
    </row>
    <row r="117" spans="2:13" hidden="1" x14ac:dyDescent="0.2">
      <c r="F117" t="s">
        <v>1569</v>
      </c>
      <c r="L117" t="str">
        <f t="shared" si="2"/>
        <v/>
      </c>
      <c r="M117" t="str">
        <f t="shared" si="3"/>
        <v>IBE</v>
      </c>
    </row>
    <row r="118" spans="2:13" hidden="1" x14ac:dyDescent="0.2">
      <c r="F118" t="s">
        <v>297</v>
      </c>
      <c r="L118" t="str">
        <f t="shared" si="2"/>
        <v/>
      </c>
      <c r="M118" t="str">
        <f t="shared" si="3"/>
        <v>pti</v>
      </c>
    </row>
    <row r="119" spans="2:13" hidden="1" x14ac:dyDescent="0.2">
      <c r="L119" t="str">
        <f t="shared" si="2"/>
        <v/>
      </c>
      <c r="M119" t="str">
        <f t="shared" si="3"/>
        <v/>
      </c>
    </row>
    <row r="120" spans="2:13" hidden="1" x14ac:dyDescent="0.2">
      <c r="B120" t="s">
        <v>294</v>
      </c>
      <c r="L120" t="str">
        <f t="shared" si="2"/>
        <v/>
      </c>
      <c r="M120" t="str">
        <f t="shared" si="3"/>
        <v/>
      </c>
    </row>
    <row r="121" spans="2:13" hidden="1" x14ac:dyDescent="0.2">
      <c r="C121" t="s">
        <v>294</v>
      </c>
      <c r="E121" t="s">
        <v>298</v>
      </c>
      <c r="L121" t="str">
        <f t="shared" si="2"/>
        <v/>
      </c>
      <c r="M121" t="str">
        <f t="shared" si="3"/>
        <v/>
      </c>
    </row>
    <row r="122" spans="2:13" hidden="1" x14ac:dyDescent="0.2">
      <c r="C122" t="s">
        <v>294</v>
      </c>
      <c r="F122" t="s">
        <v>296</v>
      </c>
      <c r="L122" t="str">
        <f t="shared" si="2"/>
        <v/>
      </c>
      <c r="M122" t="str">
        <f t="shared" si="3"/>
        <v>t.c</v>
      </c>
    </row>
    <row r="123" spans="2:13" x14ac:dyDescent="0.2">
      <c r="E123" t="s">
        <v>295</v>
      </c>
      <c r="F123" t="s">
        <v>1570</v>
      </c>
      <c r="L123" t="str">
        <f t="shared" si="2"/>
        <v xml:space="preserve"> 1</v>
      </c>
      <c r="M123" t="str">
        <f t="shared" si="3"/>
        <v>MED</v>
      </c>
    </row>
    <row r="124" spans="2:13" hidden="1" x14ac:dyDescent="0.2">
      <c r="F124" t="s">
        <v>1571</v>
      </c>
      <c r="L124" t="str">
        <f t="shared" si="2"/>
        <v/>
      </c>
      <c r="M124" t="str">
        <f t="shared" si="3"/>
        <v>EDA</v>
      </c>
    </row>
    <row r="125" spans="2:13" hidden="1" x14ac:dyDescent="0.2">
      <c r="F125" t="s">
        <v>297</v>
      </c>
      <c r="L125" t="str">
        <f t="shared" si="2"/>
        <v/>
      </c>
      <c r="M125" t="str">
        <f t="shared" si="3"/>
        <v>pti</v>
      </c>
    </row>
    <row r="126" spans="2:13" hidden="1" x14ac:dyDescent="0.2">
      <c r="L126" t="str">
        <f t="shared" si="2"/>
        <v/>
      </c>
      <c r="M126" t="str">
        <f t="shared" si="3"/>
        <v/>
      </c>
    </row>
    <row r="127" spans="2:13" hidden="1" x14ac:dyDescent="0.2">
      <c r="B127" t="s">
        <v>294</v>
      </c>
      <c r="L127" t="str">
        <f t="shared" si="2"/>
        <v/>
      </c>
      <c r="M127" t="str">
        <f t="shared" si="3"/>
        <v/>
      </c>
    </row>
    <row r="128" spans="2:13" hidden="1" x14ac:dyDescent="0.2">
      <c r="C128" t="s">
        <v>294</v>
      </c>
      <c r="E128" t="s">
        <v>298</v>
      </c>
      <c r="L128" t="str">
        <f t="shared" si="2"/>
        <v/>
      </c>
      <c r="M128" t="str">
        <f t="shared" si="3"/>
        <v/>
      </c>
    </row>
    <row r="129" spans="2:13" hidden="1" x14ac:dyDescent="0.2">
      <c r="C129" t="s">
        <v>294</v>
      </c>
      <c r="F129" t="s">
        <v>296</v>
      </c>
      <c r="L129" t="str">
        <f t="shared" si="2"/>
        <v/>
      </c>
      <c r="M129" t="str">
        <f t="shared" si="3"/>
        <v>t.c</v>
      </c>
    </row>
    <row r="130" spans="2:13" x14ac:dyDescent="0.2">
      <c r="E130" t="s">
        <v>295</v>
      </c>
      <c r="F130" t="s">
        <v>1572</v>
      </c>
      <c r="L130" t="str">
        <f t="shared" si="2"/>
        <v xml:space="preserve"> 1</v>
      </c>
      <c r="M130" t="str">
        <f t="shared" si="3"/>
        <v>MCZ</v>
      </c>
    </row>
    <row r="131" spans="2:13" hidden="1" x14ac:dyDescent="0.2">
      <c r="F131" t="s">
        <v>1573</v>
      </c>
      <c r="L131" t="str">
        <f t="shared" si="2"/>
        <v/>
      </c>
      <c r="M131" t="str">
        <f t="shared" si="3"/>
        <v>OCT</v>
      </c>
    </row>
    <row r="132" spans="2:13" hidden="1" x14ac:dyDescent="0.2">
      <c r="F132" t="s">
        <v>297</v>
      </c>
      <c r="L132" t="str">
        <f t="shared" si="2"/>
        <v/>
      </c>
      <c r="M132" t="str">
        <f t="shared" si="3"/>
        <v>pti</v>
      </c>
    </row>
    <row r="133" spans="2:13" hidden="1" x14ac:dyDescent="0.2">
      <c r="L133" t="str">
        <f t="shared" ref="L133:L196" si="4">MID(E133,10,2)</f>
        <v/>
      </c>
      <c r="M133" t="str">
        <f t="shared" ref="M133:M196" si="5">MID(F133,24,3)</f>
        <v/>
      </c>
    </row>
    <row r="134" spans="2:13" hidden="1" x14ac:dyDescent="0.2">
      <c r="B134" t="s">
        <v>294</v>
      </c>
      <c r="L134" t="str">
        <f t="shared" si="4"/>
        <v/>
      </c>
      <c r="M134" t="str">
        <f t="shared" si="5"/>
        <v/>
      </c>
    </row>
    <row r="135" spans="2:13" hidden="1" x14ac:dyDescent="0.2">
      <c r="C135" t="s">
        <v>294</v>
      </c>
      <c r="E135" t="s">
        <v>298</v>
      </c>
      <c r="L135" t="str">
        <f t="shared" si="4"/>
        <v/>
      </c>
      <c r="M135" t="str">
        <f t="shared" si="5"/>
        <v/>
      </c>
    </row>
    <row r="136" spans="2:13" hidden="1" x14ac:dyDescent="0.2">
      <c r="C136" t="s">
        <v>294</v>
      </c>
      <c r="F136" t="s">
        <v>296</v>
      </c>
      <c r="L136" t="str">
        <f t="shared" si="4"/>
        <v/>
      </c>
      <c r="M136" t="str">
        <f t="shared" si="5"/>
        <v>t.c</v>
      </c>
    </row>
    <row r="137" spans="2:13" x14ac:dyDescent="0.2">
      <c r="E137" t="s">
        <v>295</v>
      </c>
      <c r="F137" t="s">
        <v>1574</v>
      </c>
      <c r="L137" t="str">
        <f t="shared" si="4"/>
        <v xml:space="preserve"> 1</v>
      </c>
      <c r="M137" t="str">
        <f t="shared" si="5"/>
        <v>OTE</v>
      </c>
    </row>
    <row r="138" spans="2:13" hidden="1" x14ac:dyDescent="0.2">
      <c r="F138" t="s">
        <v>1575</v>
      </c>
      <c r="L138" t="str">
        <f t="shared" si="4"/>
        <v/>
      </c>
      <c r="M138" t="str">
        <f t="shared" si="5"/>
        <v>RIE</v>
      </c>
    </row>
    <row r="139" spans="2:13" hidden="1" x14ac:dyDescent="0.2">
      <c r="F139" t="s">
        <v>297</v>
      </c>
      <c r="L139" t="str">
        <f t="shared" si="4"/>
        <v/>
      </c>
      <c r="M139" t="str">
        <f t="shared" si="5"/>
        <v>pti</v>
      </c>
    </row>
    <row r="140" spans="2:13" hidden="1" x14ac:dyDescent="0.2">
      <c r="L140" t="str">
        <f t="shared" si="4"/>
        <v/>
      </c>
      <c r="M140" t="str">
        <f t="shared" si="5"/>
        <v/>
      </c>
    </row>
    <row r="141" spans="2:13" hidden="1" x14ac:dyDescent="0.2">
      <c r="B141" t="s">
        <v>294</v>
      </c>
      <c r="L141" t="str">
        <f t="shared" si="4"/>
        <v/>
      </c>
      <c r="M141" t="str">
        <f t="shared" si="5"/>
        <v/>
      </c>
    </row>
    <row r="142" spans="2:13" hidden="1" x14ac:dyDescent="0.2">
      <c r="C142" t="s">
        <v>294</v>
      </c>
      <c r="E142" t="s">
        <v>298</v>
      </c>
      <c r="L142" t="str">
        <f t="shared" si="4"/>
        <v/>
      </c>
      <c r="M142" t="str">
        <f t="shared" si="5"/>
        <v/>
      </c>
    </row>
    <row r="143" spans="2:13" hidden="1" x14ac:dyDescent="0.2">
      <c r="C143" t="s">
        <v>294</v>
      </c>
      <c r="F143" t="s">
        <v>296</v>
      </c>
      <c r="L143" t="str">
        <f t="shared" si="4"/>
        <v/>
      </c>
      <c r="M143" t="str">
        <f t="shared" si="5"/>
        <v>t.c</v>
      </c>
    </row>
    <row r="144" spans="2:13" x14ac:dyDescent="0.2">
      <c r="E144" t="s">
        <v>295</v>
      </c>
      <c r="F144" t="s">
        <v>1576</v>
      </c>
      <c r="L144" t="str">
        <f t="shared" si="4"/>
        <v xml:space="preserve"> 1</v>
      </c>
      <c r="M144" t="str">
        <f t="shared" si="5"/>
        <v>PQE</v>
      </c>
    </row>
    <row r="145" spans="2:13" hidden="1" x14ac:dyDescent="0.2">
      <c r="F145" t="s">
        <v>1577</v>
      </c>
      <c r="L145" t="str">
        <f t="shared" si="4"/>
        <v/>
      </c>
      <c r="M145" t="str">
        <f t="shared" si="5"/>
        <v>ARQ</v>
      </c>
    </row>
    <row r="146" spans="2:13" hidden="1" x14ac:dyDescent="0.2">
      <c r="F146" t="s">
        <v>297</v>
      </c>
      <c r="L146" t="str">
        <f t="shared" si="4"/>
        <v/>
      </c>
      <c r="M146" t="str">
        <f t="shared" si="5"/>
        <v>pti</v>
      </c>
    </row>
    <row r="147" spans="2:13" hidden="1" x14ac:dyDescent="0.2">
      <c r="L147" t="str">
        <f t="shared" si="4"/>
        <v/>
      </c>
      <c r="M147" t="str">
        <f t="shared" si="5"/>
        <v/>
      </c>
    </row>
    <row r="148" spans="2:13" hidden="1" x14ac:dyDescent="0.2">
      <c r="B148" t="s">
        <v>294</v>
      </c>
      <c r="L148" t="str">
        <f t="shared" si="4"/>
        <v/>
      </c>
      <c r="M148" t="str">
        <f t="shared" si="5"/>
        <v/>
      </c>
    </row>
    <row r="149" spans="2:13" hidden="1" x14ac:dyDescent="0.2">
      <c r="C149" t="s">
        <v>294</v>
      </c>
      <c r="E149" t="s">
        <v>298</v>
      </c>
      <c r="L149" t="str">
        <f t="shared" si="4"/>
        <v/>
      </c>
      <c r="M149" t="str">
        <f t="shared" si="5"/>
        <v/>
      </c>
    </row>
    <row r="150" spans="2:13" hidden="1" x14ac:dyDescent="0.2">
      <c r="C150" t="s">
        <v>294</v>
      </c>
      <c r="F150" t="s">
        <v>296</v>
      </c>
      <c r="L150" t="str">
        <f t="shared" si="4"/>
        <v/>
      </c>
      <c r="M150" t="str">
        <f t="shared" si="5"/>
        <v>t.c</v>
      </c>
    </row>
    <row r="151" spans="2:13" x14ac:dyDescent="0.2">
      <c r="E151" t="s">
        <v>295</v>
      </c>
      <c r="F151" t="s">
        <v>1578</v>
      </c>
      <c r="L151" t="str">
        <f t="shared" si="4"/>
        <v xml:space="preserve"> 1</v>
      </c>
      <c r="M151" t="str">
        <f t="shared" si="5"/>
        <v>PNR</v>
      </c>
    </row>
    <row r="152" spans="2:13" hidden="1" x14ac:dyDescent="0.2">
      <c r="F152" t="s">
        <v>1579</v>
      </c>
      <c r="L152" t="str">
        <f t="shared" si="4"/>
        <v/>
      </c>
      <c r="M152" t="str">
        <f t="shared" si="5"/>
        <v>ASO</v>
      </c>
    </row>
    <row r="153" spans="2:13" hidden="1" x14ac:dyDescent="0.2">
      <c r="F153" t="s">
        <v>297</v>
      </c>
      <c r="L153" t="str">
        <f t="shared" si="4"/>
        <v/>
      </c>
      <c r="M153" t="str">
        <f t="shared" si="5"/>
        <v>pti</v>
      </c>
    </row>
    <row r="154" spans="2:13" hidden="1" x14ac:dyDescent="0.2">
      <c r="L154" t="str">
        <f t="shared" si="4"/>
        <v/>
      </c>
      <c r="M154" t="str">
        <f t="shared" si="5"/>
        <v/>
      </c>
    </row>
    <row r="155" spans="2:13" hidden="1" x14ac:dyDescent="0.2">
      <c r="B155" t="s">
        <v>294</v>
      </c>
      <c r="L155" t="str">
        <f t="shared" si="4"/>
        <v/>
      </c>
      <c r="M155" t="str">
        <f t="shared" si="5"/>
        <v/>
      </c>
    </row>
    <row r="156" spans="2:13" hidden="1" x14ac:dyDescent="0.2">
      <c r="C156" t="s">
        <v>294</v>
      </c>
      <c r="E156" t="s">
        <v>298</v>
      </c>
      <c r="L156" t="str">
        <f t="shared" si="4"/>
        <v/>
      </c>
      <c r="M156" t="str">
        <f t="shared" si="5"/>
        <v/>
      </c>
    </row>
    <row r="157" spans="2:13" hidden="1" x14ac:dyDescent="0.2">
      <c r="C157" t="s">
        <v>294</v>
      </c>
      <c r="F157" t="s">
        <v>296</v>
      </c>
      <c r="L157" t="str">
        <f t="shared" si="4"/>
        <v/>
      </c>
      <c r="M157" t="str">
        <f t="shared" si="5"/>
        <v>t.c</v>
      </c>
    </row>
    <row r="158" spans="2:13" x14ac:dyDescent="0.2">
      <c r="E158" t="s">
        <v>295</v>
      </c>
      <c r="F158" t="s">
        <v>1580</v>
      </c>
      <c r="L158" t="str">
        <f t="shared" si="4"/>
        <v xml:space="preserve"> 1</v>
      </c>
      <c r="M158" t="str">
        <f t="shared" si="5"/>
        <v>PTR</v>
      </c>
    </row>
    <row r="159" spans="2:13" hidden="1" x14ac:dyDescent="0.2">
      <c r="F159" t="s">
        <v>1581</v>
      </c>
      <c r="L159" t="str">
        <f t="shared" si="4"/>
        <v/>
      </c>
      <c r="M159" t="str">
        <f t="shared" si="5"/>
        <v>ATR</v>
      </c>
    </row>
    <row r="160" spans="2:13" hidden="1" x14ac:dyDescent="0.2">
      <c r="F160" t="s">
        <v>297</v>
      </c>
      <c r="L160" t="str">
        <f t="shared" si="4"/>
        <v/>
      </c>
      <c r="M160" t="str">
        <f t="shared" si="5"/>
        <v>pti</v>
      </c>
    </row>
    <row r="161" spans="2:13" hidden="1" x14ac:dyDescent="0.2">
      <c r="L161" t="str">
        <f t="shared" si="4"/>
        <v/>
      </c>
      <c r="M161" t="str">
        <f t="shared" si="5"/>
        <v/>
      </c>
    </row>
    <row r="162" spans="2:13" hidden="1" x14ac:dyDescent="0.2">
      <c r="B162" t="s">
        <v>294</v>
      </c>
      <c r="L162" t="str">
        <f t="shared" si="4"/>
        <v/>
      </c>
      <c r="M162" t="str">
        <f t="shared" si="5"/>
        <v/>
      </c>
    </row>
    <row r="163" spans="2:13" hidden="1" x14ac:dyDescent="0.2">
      <c r="C163" t="s">
        <v>294</v>
      </c>
      <c r="E163" t="s">
        <v>298</v>
      </c>
      <c r="L163" t="str">
        <f t="shared" si="4"/>
        <v/>
      </c>
      <c r="M163" t="str">
        <f t="shared" si="5"/>
        <v/>
      </c>
    </row>
    <row r="164" spans="2:13" hidden="1" x14ac:dyDescent="0.2">
      <c r="C164" t="s">
        <v>294</v>
      </c>
      <c r="F164" t="s">
        <v>296</v>
      </c>
      <c r="L164" t="str">
        <f t="shared" si="4"/>
        <v/>
      </c>
      <c r="M164" t="str">
        <f t="shared" si="5"/>
        <v>t.c</v>
      </c>
    </row>
    <row r="165" spans="2:13" x14ac:dyDescent="0.2">
      <c r="E165" t="s">
        <v>295</v>
      </c>
      <c r="F165" t="s">
        <v>1582</v>
      </c>
      <c r="L165" t="str">
        <f t="shared" si="4"/>
        <v xml:space="preserve"> 1</v>
      </c>
      <c r="M165" t="str">
        <f t="shared" si="5"/>
        <v>PRR</v>
      </c>
    </row>
    <row r="166" spans="2:13" hidden="1" x14ac:dyDescent="0.2">
      <c r="F166" t="s">
        <v>1583</v>
      </c>
      <c r="L166" t="str">
        <f t="shared" si="4"/>
        <v/>
      </c>
      <c r="M166" t="str">
        <f t="shared" si="5"/>
        <v>ORV</v>
      </c>
    </row>
    <row r="167" spans="2:13" hidden="1" x14ac:dyDescent="0.2">
      <c r="F167" t="s">
        <v>297</v>
      </c>
      <c r="L167" t="str">
        <f t="shared" si="4"/>
        <v/>
      </c>
      <c r="M167" t="str">
        <f t="shared" si="5"/>
        <v>pti</v>
      </c>
    </row>
    <row r="168" spans="2:13" hidden="1" x14ac:dyDescent="0.2">
      <c r="L168" t="str">
        <f t="shared" si="4"/>
        <v/>
      </c>
      <c r="M168" t="str">
        <f t="shared" si="5"/>
        <v/>
      </c>
    </row>
    <row r="169" spans="2:13" hidden="1" x14ac:dyDescent="0.2">
      <c r="B169" t="s">
        <v>294</v>
      </c>
      <c r="L169" t="str">
        <f t="shared" si="4"/>
        <v/>
      </c>
      <c r="M169" t="str">
        <f t="shared" si="5"/>
        <v/>
      </c>
    </row>
    <row r="170" spans="2:13" hidden="1" x14ac:dyDescent="0.2">
      <c r="C170" t="s">
        <v>294</v>
      </c>
      <c r="E170" t="s">
        <v>298</v>
      </c>
      <c r="L170" t="str">
        <f t="shared" si="4"/>
        <v/>
      </c>
      <c r="M170" t="str">
        <f t="shared" si="5"/>
        <v/>
      </c>
    </row>
    <row r="171" spans="2:13" hidden="1" x14ac:dyDescent="0.2">
      <c r="C171" t="s">
        <v>294</v>
      </c>
      <c r="F171" t="s">
        <v>296</v>
      </c>
      <c r="L171" t="str">
        <f t="shared" si="4"/>
        <v/>
      </c>
      <c r="M171" t="str">
        <f t="shared" si="5"/>
        <v>t.c</v>
      </c>
    </row>
    <row r="172" spans="2:13" x14ac:dyDescent="0.2">
      <c r="E172" t="s">
        <v>295</v>
      </c>
      <c r="F172" t="s">
        <v>1584</v>
      </c>
      <c r="L172" t="str">
        <f t="shared" si="4"/>
        <v xml:space="preserve"> 1</v>
      </c>
      <c r="M172" t="str">
        <f t="shared" si="5"/>
        <v>REA</v>
      </c>
    </row>
    <row r="173" spans="2:13" hidden="1" x14ac:dyDescent="0.2">
      <c r="F173" t="s">
        <v>1585</v>
      </c>
      <c r="L173" t="str">
        <f t="shared" si="4"/>
        <v/>
      </c>
      <c r="M173" t="str">
        <f t="shared" si="5"/>
        <v>EFO</v>
      </c>
    </row>
    <row r="174" spans="2:13" hidden="1" x14ac:dyDescent="0.2">
      <c r="F174" t="s">
        <v>297</v>
      </c>
      <c r="L174" t="str">
        <f t="shared" si="4"/>
        <v/>
      </c>
      <c r="M174" t="str">
        <f t="shared" si="5"/>
        <v>pti</v>
      </c>
    </row>
    <row r="175" spans="2:13" hidden="1" x14ac:dyDescent="0.2">
      <c r="L175" t="str">
        <f t="shared" si="4"/>
        <v/>
      </c>
      <c r="M175" t="str">
        <f t="shared" si="5"/>
        <v/>
      </c>
    </row>
    <row r="176" spans="2:13" hidden="1" x14ac:dyDescent="0.2">
      <c r="B176" t="s">
        <v>294</v>
      </c>
      <c r="L176" t="str">
        <f t="shared" si="4"/>
        <v/>
      </c>
      <c r="M176" t="str">
        <f t="shared" si="5"/>
        <v/>
      </c>
    </row>
    <row r="177" spans="2:13" hidden="1" x14ac:dyDescent="0.2">
      <c r="C177" t="s">
        <v>294</v>
      </c>
      <c r="E177" t="s">
        <v>298</v>
      </c>
      <c r="L177" t="str">
        <f t="shared" si="4"/>
        <v/>
      </c>
      <c r="M177" t="str">
        <f t="shared" si="5"/>
        <v/>
      </c>
    </row>
    <row r="178" spans="2:13" hidden="1" x14ac:dyDescent="0.2">
      <c r="C178" t="s">
        <v>294</v>
      </c>
      <c r="F178" t="s">
        <v>296</v>
      </c>
      <c r="L178" t="str">
        <f t="shared" si="4"/>
        <v/>
      </c>
      <c r="M178" t="str">
        <f t="shared" si="5"/>
        <v>t.c</v>
      </c>
    </row>
    <row r="179" spans="2:13" x14ac:dyDescent="0.2">
      <c r="E179" t="s">
        <v>295</v>
      </c>
      <c r="F179" t="s">
        <v>1586</v>
      </c>
      <c r="L179" t="str">
        <f t="shared" si="4"/>
        <v xml:space="preserve"> 1</v>
      </c>
      <c r="M179" t="str">
        <f t="shared" si="5"/>
        <v>RVA</v>
      </c>
    </row>
    <row r="180" spans="2:13" hidden="1" x14ac:dyDescent="0.2">
      <c r="F180" t="s">
        <v>1587</v>
      </c>
      <c r="L180" t="str">
        <f t="shared" si="4"/>
        <v/>
      </c>
      <c r="M180" t="str">
        <f t="shared" si="5"/>
        <v>IVE</v>
      </c>
    </row>
    <row r="181" spans="2:13" hidden="1" x14ac:dyDescent="0.2">
      <c r="F181" t="s">
        <v>297</v>
      </c>
      <c r="L181" t="str">
        <f t="shared" si="4"/>
        <v/>
      </c>
      <c r="M181" t="str">
        <f t="shared" si="5"/>
        <v>pti</v>
      </c>
    </row>
    <row r="182" spans="2:13" hidden="1" x14ac:dyDescent="0.2">
      <c r="L182" t="str">
        <f t="shared" si="4"/>
        <v/>
      </c>
      <c r="M182" t="str">
        <f t="shared" si="5"/>
        <v/>
      </c>
    </row>
    <row r="183" spans="2:13" hidden="1" x14ac:dyDescent="0.2">
      <c r="B183" t="s">
        <v>294</v>
      </c>
      <c r="L183" t="str">
        <f t="shared" si="4"/>
        <v/>
      </c>
      <c r="M183" t="str">
        <f t="shared" si="5"/>
        <v/>
      </c>
    </row>
    <row r="184" spans="2:13" hidden="1" x14ac:dyDescent="0.2">
      <c r="C184" t="s">
        <v>294</v>
      </c>
      <c r="E184" t="s">
        <v>298</v>
      </c>
      <c r="L184" t="str">
        <f t="shared" si="4"/>
        <v/>
      </c>
      <c r="M184" t="str">
        <f t="shared" si="5"/>
        <v/>
      </c>
    </row>
    <row r="185" spans="2:13" hidden="1" x14ac:dyDescent="0.2">
      <c r="C185" t="s">
        <v>294</v>
      </c>
      <c r="F185" t="s">
        <v>296</v>
      </c>
      <c r="L185" t="str">
        <f t="shared" si="4"/>
        <v/>
      </c>
      <c r="M185" t="str">
        <f t="shared" si="5"/>
        <v>t.c</v>
      </c>
    </row>
    <row r="186" spans="2:13" x14ac:dyDescent="0.2">
      <c r="E186" t="s">
        <v>295</v>
      </c>
      <c r="F186" t="s">
        <v>1588</v>
      </c>
      <c r="L186" t="str">
        <f t="shared" si="4"/>
        <v xml:space="preserve"> 1</v>
      </c>
      <c r="M186" t="str">
        <f t="shared" si="5"/>
        <v>SVC</v>
      </c>
    </row>
    <row r="187" spans="2:13" hidden="1" x14ac:dyDescent="0.2">
      <c r="F187" t="s">
        <v>1589</v>
      </c>
      <c r="L187" t="str">
        <f t="shared" si="4"/>
        <v/>
      </c>
      <c r="M187" t="str">
        <f t="shared" si="5"/>
        <v>ALV</v>
      </c>
    </row>
    <row r="188" spans="2:13" hidden="1" x14ac:dyDescent="0.2">
      <c r="F188" t="s">
        <v>297</v>
      </c>
      <c r="L188" t="str">
        <f t="shared" si="4"/>
        <v/>
      </c>
      <c r="M188" t="str">
        <f t="shared" si="5"/>
        <v>pti</v>
      </c>
    </row>
    <row r="189" spans="2:13" hidden="1" x14ac:dyDescent="0.2">
      <c r="L189" t="str">
        <f t="shared" si="4"/>
        <v/>
      </c>
      <c r="M189" t="str">
        <f t="shared" si="5"/>
        <v/>
      </c>
    </row>
    <row r="190" spans="2:13" hidden="1" x14ac:dyDescent="0.2">
      <c r="B190" t="s">
        <v>294</v>
      </c>
      <c r="L190" t="str">
        <f t="shared" si="4"/>
        <v/>
      </c>
      <c r="M190" t="str">
        <f t="shared" si="5"/>
        <v/>
      </c>
    </row>
    <row r="191" spans="2:13" hidden="1" x14ac:dyDescent="0.2">
      <c r="C191" t="s">
        <v>294</v>
      </c>
      <c r="E191" t="s">
        <v>298</v>
      </c>
      <c r="L191" t="str">
        <f t="shared" si="4"/>
        <v/>
      </c>
      <c r="M191" t="str">
        <f t="shared" si="5"/>
        <v/>
      </c>
    </row>
    <row r="192" spans="2:13" hidden="1" x14ac:dyDescent="0.2">
      <c r="C192" t="s">
        <v>294</v>
      </c>
      <c r="F192" t="s">
        <v>296</v>
      </c>
      <c r="L192" t="str">
        <f t="shared" si="4"/>
        <v/>
      </c>
      <c r="M192" t="str">
        <f t="shared" si="5"/>
        <v>t.c</v>
      </c>
    </row>
    <row r="193" spans="2:13" x14ac:dyDescent="0.2">
      <c r="E193" t="s">
        <v>295</v>
      </c>
      <c r="F193" t="s">
        <v>1590</v>
      </c>
      <c r="L193" t="str">
        <f t="shared" si="4"/>
        <v xml:space="preserve"> 1</v>
      </c>
      <c r="M193" t="str">
        <f t="shared" si="5"/>
        <v>SIG</v>
      </c>
    </row>
    <row r="194" spans="2:13" hidden="1" x14ac:dyDescent="0.2">
      <c r="F194" t="s">
        <v>1591</v>
      </c>
      <c r="L194" t="str">
        <f t="shared" si="4"/>
        <v/>
      </c>
      <c r="M194" t="str">
        <f t="shared" si="5"/>
        <v xml:space="preserve">AN </v>
      </c>
    </row>
    <row r="195" spans="2:13" hidden="1" x14ac:dyDescent="0.2">
      <c r="F195" t="s">
        <v>297</v>
      </c>
      <c r="L195" t="str">
        <f t="shared" si="4"/>
        <v/>
      </c>
      <c r="M195" t="str">
        <f t="shared" si="5"/>
        <v>pti</v>
      </c>
    </row>
    <row r="196" spans="2:13" hidden="1" x14ac:dyDescent="0.2">
      <c r="L196" t="str">
        <f t="shared" si="4"/>
        <v/>
      </c>
      <c r="M196" t="str">
        <f t="shared" si="5"/>
        <v/>
      </c>
    </row>
    <row r="197" spans="2:13" hidden="1" x14ac:dyDescent="0.2">
      <c r="B197" t="s">
        <v>294</v>
      </c>
      <c r="L197" t="str">
        <f t="shared" ref="L197:L260" si="6">MID(E197,10,2)</f>
        <v/>
      </c>
      <c r="M197" t="str">
        <f t="shared" ref="M197:M260" si="7">MID(F197,24,3)</f>
        <v/>
      </c>
    </row>
    <row r="198" spans="2:13" hidden="1" x14ac:dyDescent="0.2">
      <c r="C198" t="s">
        <v>294</v>
      </c>
      <c r="E198" t="s">
        <v>298</v>
      </c>
      <c r="L198" t="str">
        <f t="shared" si="6"/>
        <v/>
      </c>
      <c r="M198" t="str">
        <f t="shared" si="7"/>
        <v/>
      </c>
    </row>
    <row r="199" spans="2:13" hidden="1" x14ac:dyDescent="0.2">
      <c r="C199" t="s">
        <v>294</v>
      </c>
      <c r="F199" t="s">
        <v>296</v>
      </c>
      <c r="L199" t="str">
        <f t="shared" si="6"/>
        <v/>
      </c>
      <c r="M199" t="str">
        <f t="shared" si="7"/>
        <v>t.c</v>
      </c>
    </row>
    <row r="200" spans="2:13" x14ac:dyDescent="0.2">
      <c r="E200" t="s">
        <v>295</v>
      </c>
      <c r="F200" t="s">
        <v>1592</v>
      </c>
      <c r="L200" t="str">
        <f t="shared" si="6"/>
        <v xml:space="preserve"> 1</v>
      </c>
      <c r="M200" t="str">
        <f t="shared" si="7"/>
        <v>SID</v>
      </c>
    </row>
    <row r="201" spans="2:13" hidden="1" x14ac:dyDescent="0.2">
      <c r="F201" t="s">
        <v>1593</v>
      </c>
      <c r="L201" t="str">
        <f t="shared" si="6"/>
        <v/>
      </c>
      <c r="M201" t="str">
        <f t="shared" si="7"/>
        <v xml:space="preserve">AN </v>
      </c>
    </row>
    <row r="202" spans="2:13" hidden="1" x14ac:dyDescent="0.2">
      <c r="F202" t="s">
        <v>297</v>
      </c>
      <c r="L202" t="str">
        <f t="shared" si="6"/>
        <v/>
      </c>
      <c r="M202" t="str">
        <f t="shared" si="7"/>
        <v>pti</v>
      </c>
    </row>
    <row r="203" spans="2:13" hidden="1" x14ac:dyDescent="0.2">
      <c r="L203" t="str">
        <f t="shared" si="6"/>
        <v/>
      </c>
      <c r="M203" t="str">
        <f t="shared" si="7"/>
        <v/>
      </c>
    </row>
    <row r="204" spans="2:13" hidden="1" x14ac:dyDescent="0.2">
      <c r="B204" t="s">
        <v>294</v>
      </c>
      <c r="L204" t="str">
        <f t="shared" si="6"/>
        <v/>
      </c>
      <c r="M204" t="str">
        <f t="shared" si="7"/>
        <v/>
      </c>
    </row>
    <row r="205" spans="2:13" hidden="1" x14ac:dyDescent="0.2">
      <c r="C205" t="s">
        <v>294</v>
      </c>
      <c r="E205" t="s">
        <v>298</v>
      </c>
      <c r="L205" t="str">
        <f t="shared" si="6"/>
        <v/>
      </c>
      <c r="M205" t="str">
        <f t="shared" si="7"/>
        <v/>
      </c>
    </row>
    <row r="206" spans="2:13" hidden="1" x14ac:dyDescent="0.2">
      <c r="C206" t="s">
        <v>294</v>
      </c>
      <c r="F206" t="s">
        <v>296</v>
      </c>
      <c r="L206" t="str">
        <f t="shared" si="6"/>
        <v/>
      </c>
      <c r="M206" t="str">
        <f t="shared" si="7"/>
        <v>t.c</v>
      </c>
    </row>
    <row r="207" spans="2:13" x14ac:dyDescent="0.2">
      <c r="E207" t="s">
        <v>295</v>
      </c>
      <c r="F207" t="s">
        <v>1594</v>
      </c>
      <c r="L207" t="str">
        <f t="shared" si="6"/>
        <v xml:space="preserve"> 1</v>
      </c>
      <c r="M207" t="str">
        <f t="shared" si="7"/>
        <v>TNG</v>
      </c>
    </row>
    <row r="208" spans="2:13" hidden="1" x14ac:dyDescent="0.2">
      <c r="F208" t="s">
        <v>1595</v>
      </c>
      <c r="L208" t="str">
        <f t="shared" si="6"/>
        <v/>
      </c>
      <c r="M208" t="str">
        <f t="shared" si="7"/>
        <v>ECN</v>
      </c>
    </row>
    <row r="209" spans="2:13" hidden="1" x14ac:dyDescent="0.2">
      <c r="F209" t="s">
        <v>297</v>
      </c>
      <c r="L209" t="str">
        <f t="shared" si="6"/>
        <v/>
      </c>
      <c r="M209" t="str">
        <f t="shared" si="7"/>
        <v>pti</v>
      </c>
    </row>
    <row r="210" spans="2:13" hidden="1" x14ac:dyDescent="0.2">
      <c r="L210" t="str">
        <f t="shared" si="6"/>
        <v/>
      </c>
      <c r="M210" t="str">
        <f t="shared" si="7"/>
        <v/>
      </c>
    </row>
    <row r="211" spans="2:13" hidden="1" x14ac:dyDescent="0.2">
      <c r="B211" t="s">
        <v>294</v>
      </c>
      <c r="L211" t="str">
        <f t="shared" si="6"/>
        <v/>
      </c>
      <c r="M211" t="str">
        <f t="shared" si="7"/>
        <v/>
      </c>
    </row>
    <row r="212" spans="2:13" hidden="1" x14ac:dyDescent="0.2">
      <c r="C212" t="s">
        <v>294</v>
      </c>
      <c r="E212" t="s">
        <v>298</v>
      </c>
      <c r="L212" t="str">
        <f t="shared" si="6"/>
        <v/>
      </c>
      <c r="M212" t="str">
        <f t="shared" si="7"/>
        <v/>
      </c>
    </row>
    <row r="213" spans="2:13" hidden="1" x14ac:dyDescent="0.2">
      <c r="C213" t="s">
        <v>294</v>
      </c>
      <c r="F213" t="s">
        <v>296</v>
      </c>
      <c r="L213" t="str">
        <f t="shared" si="6"/>
        <v/>
      </c>
      <c r="M213" t="str">
        <f t="shared" si="7"/>
        <v>t.c</v>
      </c>
    </row>
    <row r="214" spans="2:13" x14ac:dyDescent="0.2">
      <c r="E214" t="s">
        <v>295</v>
      </c>
      <c r="F214" t="s">
        <v>1596</v>
      </c>
      <c r="L214" t="str">
        <f t="shared" si="6"/>
        <v xml:space="preserve"> 1</v>
      </c>
      <c r="M214" t="str">
        <f t="shared" si="7"/>
        <v>TER</v>
      </c>
    </row>
    <row r="215" spans="2:13" hidden="1" x14ac:dyDescent="0.2">
      <c r="F215" t="s">
        <v>1597</v>
      </c>
      <c r="L215" t="str">
        <f t="shared" si="6"/>
        <v/>
      </c>
      <c r="M215" t="str">
        <f t="shared" si="7"/>
        <v>ERR</v>
      </c>
    </row>
    <row r="216" spans="2:13" hidden="1" x14ac:dyDescent="0.2">
      <c r="F216" t="s">
        <v>297</v>
      </c>
      <c r="L216" t="str">
        <f t="shared" si="6"/>
        <v/>
      </c>
      <c r="M216" t="str">
        <f t="shared" si="7"/>
        <v>pti</v>
      </c>
    </row>
    <row r="217" spans="2:13" hidden="1" x14ac:dyDescent="0.2">
      <c r="L217" t="str">
        <f t="shared" si="6"/>
        <v/>
      </c>
      <c r="M217" t="str">
        <f t="shared" si="7"/>
        <v/>
      </c>
    </row>
    <row r="218" spans="2:13" hidden="1" x14ac:dyDescent="0.2">
      <c r="B218" t="s">
        <v>294</v>
      </c>
      <c r="L218" t="str">
        <f t="shared" si="6"/>
        <v/>
      </c>
      <c r="M218" t="str">
        <f t="shared" si="7"/>
        <v/>
      </c>
    </row>
    <row r="219" spans="2:13" hidden="1" x14ac:dyDescent="0.2">
      <c r="C219" t="s">
        <v>294</v>
      </c>
      <c r="E219" t="s">
        <v>298</v>
      </c>
      <c r="L219" t="str">
        <f t="shared" si="6"/>
        <v/>
      </c>
      <c r="M219" t="str">
        <f t="shared" si="7"/>
        <v/>
      </c>
    </row>
    <row r="220" spans="2:13" hidden="1" x14ac:dyDescent="0.2">
      <c r="C220" t="s">
        <v>294</v>
      </c>
      <c r="F220" t="s">
        <v>296</v>
      </c>
      <c r="L220" t="str">
        <f t="shared" si="6"/>
        <v/>
      </c>
      <c r="M220" t="str">
        <f t="shared" si="7"/>
        <v>t.c</v>
      </c>
    </row>
    <row r="221" spans="2:13" x14ac:dyDescent="0.2">
      <c r="E221" t="s">
        <v>295</v>
      </c>
      <c r="F221" t="s">
        <v>1598</v>
      </c>
      <c r="L221" t="str">
        <f t="shared" si="6"/>
        <v xml:space="preserve"> 1</v>
      </c>
      <c r="M221" t="str">
        <f t="shared" si="7"/>
        <v>TOR</v>
      </c>
    </row>
    <row r="222" spans="2:13" hidden="1" x14ac:dyDescent="0.2">
      <c r="F222" t="s">
        <v>1599</v>
      </c>
      <c r="L222" t="str">
        <f t="shared" si="6"/>
        <v/>
      </c>
      <c r="M222" t="str">
        <f t="shared" si="7"/>
        <v>ORR</v>
      </c>
    </row>
    <row r="223" spans="2:13" hidden="1" x14ac:dyDescent="0.2">
      <c r="F223" t="s">
        <v>297</v>
      </c>
      <c r="L223" t="str">
        <f t="shared" si="6"/>
        <v/>
      </c>
      <c r="M223" t="str">
        <f t="shared" si="7"/>
        <v>pti</v>
      </c>
    </row>
    <row r="224" spans="2:13" hidden="1" x14ac:dyDescent="0.2">
      <c r="L224" t="str">
        <f t="shared" si="6"/>
        <v/>
      </c>
      <c r="M224" t="str">
        <f t="shared" si="7"/>
        <v/>
      </c>
    </row>
    <row r="225" spans="2:13" hidden="1" x14ac:dyDescent="0.2">
      <c r="B225" t="s">
        <v>294</v>
      </c>
      <c r="L225" t="str">
        <f t="shared" si="6"/>
        <v/>
      </c>
      <c r="M225" t="str">
        <f t="shared" si="7"/>
        <v/>
      </c>
    </row>
    <row r="226" spans="2:13" hidden="1" x14ac:dyDescent="0.2">
      <c r="C226" t="s">
        <v>294</v>
      </c>
      <c r="E226" t="s">
        <v>298</v>
      </c>
      <c r="L226" t="str">
        <f t="shared" si="6"/>
        <v/>
      </c>
      <c r="M226" t="str">
        <f t="shared" si="7"/>
        <v/>
      </c>
    </row>
    <row r="227" spans="2:13" hidden="1" x14ac:dyDescent="0.2">
      <c r="C227" t="s">
        <v>294</v>
      </c>
      <c r="F227" t="s">
        <v>296</v>
      </c>
      <c r="L227" t="str">
        <f t="shared" si="6"/>
        <v/>
      </c>
      <c r="M227" t="str">
        <f t="shared" si="7"/>
        <v>t.c</v>
      </c>
    </row>
    <row r="228" spans="2:13" x14ac:dyDescent="0.2">
      <c r="E228" t="s">
        <v>295</v>
      </c>
      <c r="F228" t="s">
        <v>1600</v>
      </c>
      <c r="L228" t="str">
        <f t="shared" si="6"/>
        <v xml:space="preserve"> 1</v>
      </c>
      <c r="M228" t="str">
        <f t="shared" si="7"/>
        <v>VJZ</v>
      </c>
    </row>
    <row r="229" spans="2:13" hidden="1" x14ac:dyDescent="0.2">
      <c r="F229" t="s">
        <v>1601</v>
      </c>
      <c r="L229" t="str">
        <f t="shared" si="6"/>
        <v/>
      </c>
      <c r="M229" t="str">
        <f t="shared" si="7"/>
        <v>ALL</v>
      </c>
    </row>
    <row r="230" spans="2:13" hidden="1" x14ac:dyDescent="0.2">
      <c r="F230" t="s">
        <v>297</v>
      </c>
      <c r="L230" t="str">
        <f t="shared" si="6"/>
        <v/>
      </c>
      <c r="M230" t="str">
        <f t="shared" si="7"/>
        <v>pti</v>
      </c>
    </row>
    <row r="231" spans="2:13" hidden="1" x14ac:dyDescent="0.2">
      <c r="L231" t="str">
        <f t="shared" si="6"/>
        <v/>
      </c>
      <c r="M231" t="str">
        <f t="shared" si="7"/>
        <v/>
      </c>
    </row>
    <row r="232" spans="2:13" hidden="1" x14ac:dyDescent="0.2">
      <c r="B232" t="s">
        <v>294</v>
      </c>
      <c r="L232" t="str">
        <f t="shared" si="6"/>
        <v/>
      </c>
      <c r="M232" t="str">
        <f t="shared" si="7"/>
        <v/>
      </c>
    </row>
    <row r="233" spans="2:13" hidden="1" x14ac:dyDescent="0.2">
      <c r="C233" t="s">
        <v>294</v>
      </c>
      <c r="E233" t="s">
        <v>298</v>
      </c>
      <c r="L233" t="str">
        <f t="shared" si="6"/>
        <v/>
      </c>
      <c r="M233" t="str">
        <f t="shared" si="7"/>
        <v/>
      </c>
    </row>
    <row r="234" spans="2:13" hidden="1" x14ac:dyDescent="0.2">
      <c r="C234" t="s">
        <v>294</v>
      </c>
      <c r="F234" t="s">
        <v>296</v>
      </c>
      <c r="L234" t="str">
        <f t="shared" si="6"/>
        <v/>
      </c>
      <c r="M234" t="str">
        <f t="shared" si="7"/>
        <v>t.c</v>
      </c>
    </row>
    <row r="235" spans="2:13" x14ac:dyDescent="0.2">
      <c r="E235" t="s">
        <v>295</v>
      </c>
      <c r="F235" t="s">
        <v>1602</v>
      </c>
      <c r="L235" t="str">
        <f t="shared" si="6"/>
        <v xml:space="preserve"> 1</v>
      </c>
      <c r="M235" t="str">
        <f t="shared" si="7"/>
        <v>VHA</v>
      </c>
    </row>
    <row r="236" spans="2:13" hidden="1" x14ac:dyDescent="0.2">
      <c r="F236" t="s">
        <v>1603</v>
      </c>
      <c r="L236" t="str">
        <f t="shared" si="6"/>
        <v/>
      </c>
      <c r="M236" t="str">
        <f t="shared" si="7"/>
        <v>ILL</v>
      </c>
    </row>
    <row r="237" spans="2:13" hidden="1" x14ac:dyDescent="0.2">
      <c r="F237" t="s">
        <v>297</v>
      </c>
      <c r="L237" t="str">
        <f t="shared" si="6"/>
        <v/>
      </c>
      <c r="M237" t="str">
        <f t="shared" si="7"/>
        <v>pti</v>
      </c>
    </row>
    <row r="238" spans="2:13" hidden="1" x14ac:dyDescent="0.2">
      <c r="L238" t="str">
        <f t="shared" si="6"/>
        <v/>
      </c>
      <c r="M238" t="str">
        <f t="shared" si="7"/>
        <v/>
      </c>
    </row>
    <row r="239" spans="2:13" hidden="1" x14ac:dyDescent="0.2">
      <c r="B239" t="s">
        <v>294</v>
      </c>
      <c r="L239" t="str">
        <f t="shared" si="6"/>
        <v/>
      </c>
      <c r="M239" t="str">
        <f t="shared" si="7"/>
        <v/>
      </c>
    </row>
    <row r="240" spans="2:13" hidden="1" x14ac:dyDescent="0.2">
      <c r="C240" t="s">
        <v>294</v>
      </c>
      <c r="E240" t="s">
        <v>298</v>
      </c>
      <c r="L240" t="str">
        <f t="shared" si="6"/>
        <v/>
      </c>
      <c r="M240" t="str">
        <f t="shared" si="7"/>
        <v/>
      </c>
    </row>
    <row r="241" spans="2:13" hidden="1" x14ac:dyDescent="0.2">
      <c r="C241" t="s">
        <v>294</v>
      </c>
      <c r="F241" t="s">
        <v>296</v>
      </c>
      <c r="L241" t="str">
        <f t="shared" si="6"/>
        <v/>
      </c>
      <c r="M241" t="str">
        <f t="shared" si="7"/>
        <v>t.c</v>
      </c>
    </row>
    <row r="242" spans="2:13" x14ac:dyDescent="0.2">
      <c r="E242" t="s">
        <v>295</v>
      </c>
      <c r="F242" t="s">
        <v>1604</v>
      </c>
      <c r="L242" t="str">
        <f t="shared" si="6"/>
        <v xml:space="preserve"> 1</v>
      </c>
      <c r="M242" t="str">
        <f t="shared" si="7"/>
        <v>ZZA</v>
      </c>
    </row>
    <row r="243" spans="2:13" hidden="1" x14ac:dyDescent="0.2">
      <c r="F243" t="s">
        <v>1605</v>
      </c>
      <c r="L243" t="str">
        <f t="shared" si="6"/>
        <v/>
      </c>
      <c r="M243" t="str">
        <f t="shared" si="7"/>
        <v>ARA</v>
      </c>
    </row>
    <row r="244" spans="2:13" hidden="1" x14ac:dyDescent="0.2">
      <c r="F244" t="s">
        <v>297</v>
      </c>
      <c r="L244" t="str">
        <f t="shared" si="6"/>
        <v/>
      </c>
      <c r="M244" t="str">
        <f t="shared" si="7"/>
        <v>pti</v>
      </c>
    </row>
    <row r="245" spans="2:13" hidden="1" x14ac:dyDescent="0.2">
      <c r="L245" t="str">
        <f t="shared" si="6"/>
        <v/>
      </c>
      <c r="M245" t="str">
        <f t="shared" si="7"/>
        <v/>
      </c>
    </row>
    <row r="246" spans="2:13" hidden="1" x14ac:dyDescent="0.2">
      <c r="B246" t="s">
        <v>294</v>
      </c>
      <c r="L246" t="str">
        <f t="shared" si="6"/>
        <v/>
      </c>
      <c r="M246" t="str">
        <f t="shared" si="7"/>
        <v/>
      </c>
    </row>
    <row r="247" spans="2:13" hidden="1" x14ac:dyDescent="0.2">
      <c r="C247" t="s">
        <v>294</v>
      </c>
      <c r="E247" t="s">
        <v>298</v>
      </c>
      <c r="L247" t="str">
        <f t="shared" si="6"/>
        <v/>
      </c>
      <c r="M247" t="str">
        <f t="shared" si="7"/>
        <v/>
      </c>
    </row>
    <row r="248" spans="2:13" hidden="1" x14ac:dyDescent="0.2">
      <c r="C248" t="s">
        <v>294</v>
      </c>
      <c r="F248" t="s">
        <v>296</v>
      </c>
      <c r="L248" t="str">
        <f t="shared" si="6"/>
        <v/>
      </c>
      <c r="M248" t="str">
        <f t="shared" si="7"/>
        <v>t.c</v>
      </c>
    </row>
    <row r="249" spans="2:13" x14ac:dyDescent="0.2">
      <c r="E249" t="s">
        <v>300</v>
      </c>
      <c r="F249" t="s">
        <v>1606</v>
      </c>
      <c r="L249" t="str">
        <f t="shared" si="6"/>
        <v xml:space="preserve"> 2</v>
      </c>
      <c r="M249" t="str">
        <f t="shared" si="7"/>
        <v>AON</v>
      </c>
    </row>
    <row r="250" spans="2:13" hidden="1" x14ac:dyDescent="0.2">
      <c r="F250" t="s">
        <v>1607</v>
      </c>
      <c r="L250" t="str">
        <f t="shared" si="6"/>
        <v/>
      </c>
      <c r="M250" t="str">
        <f t="shared" si="7"/>
        <v>SCE</v>
      </c>
    </row>
    <row r="251" spans="2:13" hidden="1" x14ac:dyDescent="0.2">
      <c r="F251" t="s">
        <v>297</v>
      </c>
      <c r="L251" t="str">
        <f t="shared" si="6"/>
        <v/>
      </c>
      <c r="M251" t="str">
        <f t="shared" si="7"/>
        <v>pti</v>
      </c>
    </row>
    <row r="252" spans="2:13" hidden="1" x14ac:dyDescent="0.2">
      <c r="L252" t="str">
        <f t="shared" si="6"/>
        <v/>
      </c>
      <c r="M252" t="str">
        <f t="shared" si="7"/>
        <v/>
      </c>
    </row>
    <row r="253" spans="2:13" hidden="1" x14ac:dyDescent="0.2">
      <c r="B253" t="s">
        <v>294</v>
      </c>
      <c r="L253" t="str">
        <f t="shared" si="6"/>
        <v/>
      </c>
      <c r="M253" t="str">
        <f t="shared" si="7"/>
        <v/>
      </c>
    </row>
    <row r="254" spans="2:13" hidden="1" x14ac:dyDescent="0.2">
      <c r="C254" t="s">
        <v>294</v>
      </c>
      <c r="E254" t="s">
        <v>298</v>
      </c>
      <c r="L254" t="str">
        <f t="shared" si="6"/>
        <v/>
      </c>
      <c r="M254" t="str">
        <f t="shared" si="7"/>
        <v/>
      </c>
    </row>
    <row r="255" spans="2:13" hidden="1" x14ac:dyDescent="0.2">
      <c r="C255" t="s">
        <v>294</v>
      </c>
      <c r="F255" t="s">
        <v>296</v>
      </c>
      <c r="L255" t="str">
        <f t="shared" si="6"/>
        <v/>
      </c>
      <c r="M255" t="str">
        <f t="shared" si="7"/>
        <v>t.c</v>
      </c>
    </row>
    <row r="256" spans="2:13" x14ac:dyDescent="0.2">
      <c r="E256" t="s">
        <v>300</v>
      </c>
      <c r="F256" t="s">
        <v>1608</v>
      </c>
      <c r="L256" t="str">
        <f t="shared" si="6"/>
        <v xml:space="preserve"> 2</v>
      </c>
      <c r="M256" t="str">
        <f t="shared" si="7"/>
        <v>CGR</v>
      </c>
    </row>
    <row r="257" spans="2:13" hidden="1" x14ac:dyDescent="0.2">
      <c r="F257" t="s">
        <v>1609</v>
      </c>
      <c r="L257" t="str">
        <f t="shared" si="6"/>
        <v/>
      </c>
      <c r="M257" t="str">
        <f t="shared" si="7"/>
        <v>ASA</v>
      </c>
    </row>
    <row r="258" spans="2:13" hidden="1" x14ac:dyDescent="0.2">
      <c r="F258" t="s">
        <v>297</v>
      </c>
      <c r="L258" t="str">
        <f t="shared" si="6"/>
        <v/>
      </c>
      <c r="M258" t="str">
        <f t="shared" si="7"/>
        <v>pti</v>
      </c>
    </row>
    <row r="259" spans="2:13" hidden="1" x14ac:dyDescent="0.2">
      <c r="L259" t="str">
        <f t="shared" si="6"/>
        <v/>
      </c>
      <c r="M259" t="str">
        <f t="shared" si="7"/>
        <v/>
      </c>
    </row>
    <row r="260" spans="2:13" hidden="1" x14ac:dyDescent="0.2">
      <c r="B260" t="s">
        <v>294</v>
      </c>
      <c r="L260" t="str">
        <f t="shared" si="6"/>
        <v/>
      </c>
      <c r="M260" t="str">
        <f t="shared" si="7"/>
        <v/>
      </c>
    </row>
    <row r="261" spans="2:13" hidden="1" x14ac:dyDescent="0.2">
      <c r="C261" t="s">
        <v>294</v>
      </c>
      <c r="E261" t="s">
        <v>298</v>
      </c>
      <c r="L261" t="str">
        <f t="shared" ref="L261:L324" si="8">MID(E261,10,2)</f>
        <v/>
      </c>
      <c r="M261" t="str">
        <f t="shared" ref="M261:M324" si="9">MID(F261,24,3)</f>
        <v/>
      </c>
    </row>
    <row r="262" spans="2:13" hidden="1" x14ac:dyDescent="0.2">
      <c r="C262" t="s">
        <v>294</v>
      </c>
      <c r="F262" t="s">
        <v>296</v>
      </c>
      <c r="L262" t="str">
        <f t="shared" si="8"/>
        <v/>
      </c>
      <c r="M262" t="str">
        <f t="shared" si="9"/>
        <v>t.c</v>
      </c>
    </row>
    <row r="263" spans="2:13" x14ac:dyDescent="0.2">
      <c r="E263" t="s">
        <v>300</v>
      </c>
      <c r="F263" t="s">
        <v>1610</v>
      </c>
      <c r="L263" t="str">
        <f t="shared" si="8"/>
        <v xml:space="preserve"> 2</v>
      </c>
      <c r="M263" t="str">
        <f t="shared" si="9"/>
        <v>GNA</v>
      </c>
    </row>
    <row r="264" spans="2:13" hidden="1" x14ac:dyDescent="0.2">
      <c r="F264" t="s">
        <v>1611</v>
      </c>
      <c r="L264" t="str">
        <f t="shared" si="8"/>
        <v/>
      </c>
      <c r="M264" t="str">
        <f t="shared" si="9"/>
        <v>ALE</v>
      </c>
    </row>
    <row r="265" spans="2:13" hidden="1" x14ac:dyDescent="0.2">
      <c r="F265" t="s">
        <v>297</v>
      </c>
      <c r="L265" t="str">
        <f t="shared" si="8"/>
        <v/>
      </c>
      <c r="M265" t="str">
        <f t="shared" si="9"/>
        <v>pti</v>
      </c>
    </row>
    <row r="266" spans="2:13" hidden="1" x14ac:dyDescent="0.2">
      <c r="L266" t="str">
        <f t="shared" si="8"/>
        <v/>
      </c>
      <c r="M266" t="str">
        <f t="shared" si="9"/>
        <v/>
      </c>
    </row>
    <row r="267" spans="2:13" hidden="1" x14ac:dyDescent="0.2">
      <c r="B267" t="s">
        <v>294</v>
      </c>
      <c r="L267" t="str">
        <f t="shared" si="8"/>
        <v/>
      </c>
      <c r="M267" t="str">
        <f t="shared" si="9"/>
        <v/>
      </c>
    </row>
    <row r="268" spans="2:13" hidden="1" x14ac:dyDescent="0.2">
      <c r="C268" t="s">
        <v>294</v>
      </c>
      <c r="E268" t="s">
        <v>298</v>
      </c>
      <c r="L268" t="str">
        <f t="shared" si="8"/>
        <v/>
      </c>
      <c r="M268" t="str">
        <f t="shared" si="9"/>
        <v/>
      </c>
    </row>
    <row r="269" spans="2:13" hidden="1" x14ac:dyDescent="0.2">
      <c r="C269" t="s">
        <v>294</v>
      </c>
      <c r="F269" t="s">
        <v>296</v>
      </c>
      <c r="L269" t="str">
        <f t="shared" si="8"/>
        <v/>
      </c>
      <c r="M269" t="str">
        <f t="shared" si="9"/>
        <v>t.c</v>
      </c>
    </row>
    <row r="270" spans="2:13" x14ac:dyDescent="0.2">
      <c r="E270" t="s">
        <v>300</v>
      </c>
      <c r="F270" t="s">
        <v>1612</v>
      </c>
      <c r="L270" t="str">
        <f t="shared" si="8"/>
        <v xml:space="preserve"> 2</v>
      </c>
      <c r="M270" t="str">
        <f t="shared" si="9"/>
        <v>JOS</v>
      </c>
    </row>
    <row r="271" spans="2:13" hidden="1" x14ac:dyDescent="0.2">
      <c r="F271" t="s">
        <v>1613</v>
      </c>
      <c r="L271" t="str">
        <f t="shared" si="8"/>
        <v/>
      </c>
      <c r="M271" t="str">
        <f t="shared" si="9"/>
        <v>ANO</v>
      </c>
    </row>
    <row r="272" spans="2:13" hidden="1" x14ac:dyDescent="0.2">
      <c r="F272" t="s">
        <v>297</v>
      </c>
      <c r="L272" t="str">
        <f t="shared" si="8"/>
        <v/>
      </c>
      <c r="M272" t="str">
        <f t="shared" si="9"/>
        <v>pti</v>
      </c>
    </row>
    <row r="273" spans="2:13" hidden="1" x14ac:dyDescent="0.2">
      <c r="L273" t="str">
        <f t="shared" si="8"/>
        <v/>
      </c>
      <c r="M273" t="str">
        <f t="shared" si="9"/>
        <v/>
      </c>
    </row>
    <row r="274" spans="2:13" hidden="1" x14ac:dyDescent="0.2">
      <c r="B274" t="s">
        <v>294</v>
      </c>
      <c r="L274" t="str">
        <f t="shared" si="8"/>
        <v/>
      </c>
      <c r="M274" t="str">
        <f t="shared" si="9"/>
        <v/>
      </c>
    </row>
    <row r="275" spans="2:13" hidden="1" x14ac:dyDescent="0.2">
      <c r="C275" t="s">
        <v>294</v>
      </c>
      <c r="E275" t="s">
        <v>298</v>
      </c>
      <c r="L275" t="str">
        <f t="shared" si="8"/>
        <v/>
      </c>
      <c r="M275" t="str">
        <f t="shared" si="9"/>
        <v/>
      </c>
    </row>
    <row r="276" spans="2:13" hidden="1" x14ac:dyDescent="0.2">
      <c r="C276" t="s">
        <v>294</v>
      </c>
      <c r="F276" t="s">
        <v>296</v>
      </c>
      <c r="L276" t="str">
        <f t="shared" si="8"/>
        <v/>
      </c>
      <c r="M276" t="str">
        <f t="shared" si="9"/>
        <v>t.c</v>
      </c>
    </row>
    <row r="277" spans="2:13" x14ac:dyDescent="0.2">
      <c r="E277" t="s">
        <v>300</v>
      </c>
      <c r="F277" t="s">
        <v>1614</v>
      </c>
      <c r="L277" t="str">
        <f t="shared" si="8"/>
        <v xml:space="preserve"> 2</v>
      </c>
      <c r="M277" t="str">
        <f t="shared" si="9"/>
        <v>PMS</v>
      </c>
    </row>
    <row r="278" spans="2:13" hidden="1" x14ac:dyDescent="0.2">
      <c r="F278" t="s">
        <v>1615</v>
      </c>
      <c r="L278" t="str">
        <f t="shared" si="8"/>
        <v/>
      </c>
      <c r="M278" t="str">
        <f t="shared" si="9"/>
        <v>ALO</v>
      </c>
    </row>
    <row r="279" spans="2:13" hidden="1" x14ac:dyDescent="0.2">
      <c r="F279" t="s">
        <v>297</v>
      </c>
      <c r="L279" t="str">
        <f t="shared" si="8"/>
        <v/>
      </c>
      <c r="M279" t="str">
        <f t="shared" si="9"/>
        <v>pti</v>
      </c>
    </row>
    <row r="280" spans="2:13" hidden="1" x14ac:dyDescent="0.2">
      <c r="L280" t="str">
        <f t="shared" si="8"/>
        <v/>
      </c>
      <c r="M280" t="str">
        <f t="shared" si="9"/>
        <v/>
      </c>
    </row>
    <row r="281" spans="2:13" hidden="1" x14ac:dyDescent="0.2">
      <c r="B281" t="s">
        <v>294</v>
      </c>
      <c r="L281" t="str">
        <f t="shared" si="8"/>
        <v/>
      </c>
      <c r="M281" t="str">
        <f t="shared" si="9"/>
        <v/>
      </c>
    </row>
    <row r="282" spans="2:13" hidden="1" x14ac:dyDescent="0.2">
      <c r="C282" t="s">
        <v>294</v>
      </c>
      <c r="E282" t="s">
        <v>298</v>
      </c>
      <c r="L282" t="str">
        <f t="shared" si="8"/>
        <v/>
      </c>
      <c r="M282" t="str">
        <f t="shared" si="9"/>
        <v/>
      </c>
    </row>
    <row r="283" spans="2:13" hidden="1" x14ac:dyDescent="0.2">
      <c r="C283" t="s">
        <v>294</v>
      </c>
      <c r="F283" t="s">
        <v>296</v>
      </c>
      <c r="L283" t="str">
        <f t="shared" si="8"/>
        <v/>
      </c>
      <c r="M283" t="str">
        <f t="shared" si="9"/>
        <v>t.c</v>
      </c>
    </row>
    <row r="284" spans="2:13" x14ac:dyDescent="0.2">
      <c r="E284" t="s">
        <v>300</v>
      </c>
      <c r="F284" t="s">
        <v>1616</v>
      </c>
      <c r="L284" t="str">
        <f t="shared" si="8"/>
        <v xml:space="preserve"> 2</v>
      </c>
      <c r="M284" t="str">
        <f t="shared" si="9"/>
        <v>SBV</v>
      </c>
    </row>
    <row r="285" spans="2:13" hidden="1" x14ac:dyDescent="0.2">
      <c r="F285" t="s">
        <v>1617</v>
      </c>
      <c r="L285" t="str">
        <f t="shared" si="8"/>
        <v/>
      </c>
      <c r="M285" t="str">
        <f t="shared" si="9"/>
        <v xml:space="preserve">AN </v>
      </c>
    </row>
    <row r="286" spans="2:13" hidden="1" x14ac:dyDescent="0.2">
      <c r="F286" t="s">
        <v>297</v>
      </c>
      <c r="L286" t="str">
        <f t="shared" si="8"/>
        <v/>
      </c>
      <c r="M286" t="str">
        <f t="shared" si="9"/>
        <v>pti</v>
      </c>
    </row>
    <row r="287" spans="2:13" hidden="1" x14ac:dyDescent="0.2">
      <c r="L287" t="str">
        <f t="shared" si="8"/>
        <v/>
      </c>
      <c r="M287" t="str">
        <f t="shared" si="9"/>
        <v/>
      </c>
    </row>
    <row r="288" spans="2:13" hidden="1" x14ac:dyDescent="0.2">
      <c r="B288" t="s">
        <v>294</v>
      </c>
      <c r="L288" t="str">
        <f t="shared" si="8"/>
        <v/>
      </c>
      <c r="M288" t="str">
        <f t="shared" si="9"/>
        <v/>
      </c>
    </row>
    <row r="289" spans="2:13" hidden="1" x14ac:dyDescent="0.2">
      <c r="C289" t="s">
        <v>294</v>
      </c>
      <c r="E289" t="s">
        <v>298</v>
      </c>
      <c r="L289" t="str">
        <f t="shared" si="8"/>
        <v/>
      </c>
      <c r="M289" t="str">
        <f t="shared" si="9"/>
        <v/>
      </c>
    </row>
    <row r="290" spans="2:13" hidden="1" x14ac:dyDescent="0.2">
      <c r="C290" t="s">
        <v>294</v>
      </c>
      <c r="F290" t="s">
        <v>296</v>
      </c>
      <c r="L290" t="str">
        <f t="shared" si="8"/>
        <v/>
      </c>
      <c r="M290" t="str">
        <f t="shared" si="9"/>
        <v>t.c</v>
      </c>
    </row>
    <row r="291" spans="2:13" x14ac:dyDescent="0.2">
      <c r="E291" t="s">
        <v>303</v>
      </c>
      <c r="F291" t="s">
        <v>1618</v>
      </c>
      <c r="L291" t="str">
        <f t="shared" si="8"/>
        <v xml:space="preserve"> 4</v>
      </c>
      <c r="M291" t="str">
        <f t="shared" si="9"/>
        <v>AMS</v>
      </c>
    </row>
    <row r="292" spans="2:13" hidden="1" x14ac:dyDescent="0.2">
      <c r="F292" t="s">
        <v>1619</v>
      </c>
      <c r="L292" t="str">
        <f t="shared" si="8"/>
        <v/>
      </c>
      <c r="M292" t="str">
        <f t="shared" si="9"/>
        <v>LAM</v>
      </c>
    </row>
    <row r="293" spans="2:13" hidden="1" x14ac:dyDescent="0.2">
      <c r="F293" t="s">
        <v>297</v>
      </c>
      <c r="L293" t="str">
        <f t="shared" si="8"/>
        <v/>
      </c>
      <c r="M293" t="str">
        <f t="shared" si="9"/>
        <v>pti</v>
      </c>
    </row>
    <row r="294" spans="2:13" hidden="1" x14ac:dyDescent="0.2">
      <c r="L294" t="str">
        <f t="shared" si="8"/>
        <v/>
      </c>
      <c r="M294" t="str">
        <f t="shared" si="9"/>
        <v/>
      </c>
    </row>
    <row r="295" spans="2:13" hidden="1" x14ac:dyDescent="0.2">
      <c r="B295" t="s">
        <v>294</v>
      </c>
      <c r="L295" t="str">
        <f t="shared" si="8"/>
        <v/>
      </c>
      <c r="M295" t="str">
        <f t="shared" si="9"/>
        <v/>
      </c>
    </row>
    <row r="296" spans="2:13" hidden="1" x14ac:dyDescent="0.2">
      <c r="C296" t="s">
        <v>294</v>
      </c>
      <c r="E296" t="s">
        <v>298</v>
      </c>
      <c r="L296" t="str">
        <f t="shared" si="8"/>
        <v/>
      </c>
      <c r="M296" t="str">
        <f t="shared" si="9"/>
        <v/>
      </c>
    </row>
    <row r="297" spans="2:13" hidden="1" x14ac:dyDescent="0.2">
      <c r="C297" t="s">
        <v>294</v>
      </c>
      <c r="F297" t="s">
        <v>296</v>
      </c>
      <c r="L297" t="str">
        <f t="shared" si="8"/>
        <v/>
      </c>
      <c r="M297" t="str">
        <f t="shared" si="9"/>
        <v>t.c</v>
      </c>
    </row>
    <row r="298" spans="2:13" x14ac:dyDescent="0.2">
      <c r="E298" t="s">
        <v>303</v>
      </c>
      <c r="F298" t="s">
        <v>1620</v>
      </c>
      <c r="L298" t="str">
        <f t="shared" si="8"/>
        <v xml:space="preserve"> 4</v>
      </c>
      <c r="M298" t="str">
        <f t="shared" si="9"/>
        <v>BER</v>
      </c>
    </row>
    <row r="299" spans="2:13" hidden="1" x14ac:dyDescent="0.2">
      <c r="F299" t="s">
        <v>1621</v>
      </c>
      <c r="L299" t="str">
        <f t="shared" si="8"/>
        <v/>
      </c>
      <c r="M299" t="str">
        <f t="shared" si="9"/>
        <v>ERM</v>
      </c>
    </row>
    <row r="300" spans="2:13" hidden="1" x14ac:dyDescent="0.2">
      <c r="F300" t="s">
        <v>297</v>
      </c>
      <c r="L300" t="str">
        <f t="shared" si="8"/>
        <v/>
      </c>
      <c r="M300" t="str">
        <f t="shared" si="9"/>
        <v>pti</v>
      </c>
    </row>
    <row r="301" spans="2:13" hidden="1" x14ac:dyDescent="0.2">
      <c r="L301" t="str">
        <f t="shared" si="8"/>
        <v/>
      </c>
      <c r="M301" t="str">
        <f t="shared" si="9"/>
        <v/>
      </c>
    </row>
    <row r="302" spans="2:13" hidden="1" x14ac:dyDescent="0.2">
      <c r="B302" t="s">
        <v>294</v>
      </c>
      <c r="L302" t="str">
        <f t="shared" si="8"/>
        <v/>
      </c>
      <c r="M302" t="str">
        <f t="shared" si="9"/>
        <v/>
      </c>
    </row>
    <row r="303" spans="2:13" hidden="1" x14ac:dyDescent="0.2">
      <c r="C303" t="s">
        <v>294</v>
      </c>
      <c r="E303" t="s">
        <v>298</v>
      </c>
      <c r="L303" t="str">
        <f t="shared" si="8"/>
        <v/>
      </c>
      <c r="M303" t="str">
        <f t="shared" si="9"/>
        <v/>
      </c>
    </row>
    <row r="304" spans="2:13" hidden="1" x14ac:dyDescent="0.2">
      <c r="C304" t="s">
        <v>294</v>
      </c>
      <c r="F304" t="s">
        <v>296</v>
      </c>
      <c r="L304" t="str">
        <f t="shared" si="8"/>
        <v/>
      </c>
      <c r="M304" t="str">
        <f t="shared" si="9"/>
        <v>t.c</v>
      </c>
    </row>
    <row r="305" spans="2:13" x14ac:dyDescent="0.2">
      <c r="E305" t="s">
        <v>303</v>
      </c>
      <c r="F305" t="s">
        <v>1622</v>
      </c>
      <c r="L305" t="str">
        <f t="shared" si="8"/>
        <v xml:space="preserve"> 4</v>
      </c>
      <c r="M305" t="str">
        <f t="shared" si="9"/>
        <v>CEB</v>
      </c>
    </row>
    <row r="306" spans="2:13" hidden="1" x14ac:dyDescent="0.2">
      <c r="F306" t="s">
        <v>1623</v>
      </c>
      <c r="L306" t="str">
        <f t="shared" si="8"/>
        <v/>
      </c>
      <c r="M306" t="str">
        <f t="shared" si="9"/>
        <v>EBA</v>
      </c>
    </row>
    <row r="307" spans="2:13" hidden="1" x14ac:dyDescent="0.2">
      <c r="F307" t="s">
        <v>297</v>
      </c>
      <c r="L307" t="str">
        <f t="shared" si="8"/>
        <v/>
      </c>
      <c r="M307" t="str">
        <f t="shared" si="9"/>
        <v>pti</v>
      </c>
    </row>
    <row r="308" spans="2:13" hidden="1" x14ac:dyDescent="0.2">
      <c r="L308" t="str">
        <f t="shared" si="8"/>
        <v/>
      </c>
      <c r="M308" t="str">
        <f t="shared" si="9"/>
        <v/>
      </c>
    </row>
    <row r="309" spans="2:13" hidden="1" x14ac:dyDescent="0.2">
      <c r="B309" t="s">
        <v>294</v>
      </c>
      <c r="L309" t="str">
        <f t="shared" si="8"/>
        <v/>
      </c>
      <c r="M309" t="str">
        <f t="shared" si="9"/>
        <v/>
      </c>
    </row>
    <row r="310" spans="2:13" hidden="1" x14ac:dyDescent="0.2">
      <c r="C310" t="s">
        <v>294</v>
      </c>
      <c r="E310" t="s">
        <v>298</v>
      </c>
      <c r="L310" t="str">
        <f t="shared" si="8"/>
        <v/>
      </c>
      <c r="M310" t="str">
        <f t="shared" si="9"/>
        <v/>
      </c>
    </row>
    <row r="311" spans="2:13" hidden="1" x14ac:dyDescent="0.2">
      <c r="C311" t="s">
        <v>294</v>
      </c>
      <c r="F311" t="s">
        <v>296</v>
      </c>
      <c r="L311" t="str">
        <f t="shared" si="8"/>
        <v/>
      </c>
      <c r="M311" t="str">
        <f t="shared" si="9"/>
        <v>t.c</v>
      </c>
    </row>
    <row r="312" spans="2:13" x14ac:dyDescent="0.2">
      <c r="E312" t="s">
        <v>303</v>
      </c>
      <c r="F312" t="s">
        <v>1624</v>
      </c>
      <c r="L312" t="str">
        <f t="shared" si="8"/>
        <v xml:space="preserve"> 4</v>
      </c>
      <c r="M312" t="str">
        <f t="shared" si="9"/>
        <v>DIN</v>
      </c>
    </row>
    <row r="313" spans="2:13" hidden="1" x14ac:dyDescent="0.2">
      <c r="F313" t="s">
        <v>1625</v>
      </c>
      <c r="L313" t="str">
        <f t="shared" si="8"/>
        <v/>
      </c>
      <c r="M313" t="str">
        <f t="shared" si="9"/>
        <v>INA</v>
      </c>
    </row>
    <row r="314" spans="2:13" hidden="1" x14ac:dyDescent="0.2">
      <c r="F314" t="s">
        <v>297</v>
      </c>
      <c r="L314" t="str">
        <f t="shared" si="8"/>
        <v/>
      </c>
      <c r="M314" t="str">
        <f t="shared" si="9"/>
        <v>pti</v>
      </c>
    </row>
    <row r="315" spans="2:13" hidden="1" x14ac:dyDescent="0.2">
      <c r="L315" t="str">
        <f t="shared" si="8"/>
        <v/>
      </c>
      <c r="M315" t="str">
        <f t="shared" si="9"/>
        <v/>
      </c>
    </row>
    <row r="316" spans="2:13" hidden="1" x14ac:dyDescent="0.2">
      <c r="B316" t="s">
        <v>294</v>
      </c>
      <c r="L316" t="str">
        <f t="shared" si="8"/>
        <v/>
      </c>
      <c r="M316" t="str">
        <f t="shared" si="9"/>
        <v/>
      </c>
    </row>
    <row r="317" spans="2:13" hidden="1" x14ac:dyDescent="0.2">
      <c r="C317" t="s">
        <v>294</v>
      </c>
      <c r="E317" t="s">
        <v>298</v>
      </c>
      <c r="L317" t="str">
        <f t="shared" si="8"/>
        <v/>
      </c>
      <c r="M317" t="str">
        <f t="shared" si="9"/>
        <v/>
      </c>
    </row>
    <row r="318" spans="2:13" hidden="1" x14ac:dyDescent="0.2">
      <c r="C318" t="s">
        <v>294</v>
      </c>
      <c r="F318" t="s">
        <v>296</v>
      </c>
      <c r="L318" t="str">
        <f t="shared" si="8"/>
        <v/>
      </c>
      <c r="M318" t="str">
        <f t="shared" si="9"/>
        <v>t.c</v>
      </c>
    </row>
    <row r="319" spans="2:13" x14ac:dyDescent="0.2">
      <c r="E319" t="s">
        <v>303</v>
      </c>
      <c r="F319" t="s">
        <v>1626</v>
      </c>
      <c r="L319" t="str">
        <f t="shared" si="8"/>
        <v xml:space="preserve"> 4</v>
      </c>
      <c r="M319" t="str">
        <f t="shared" si="9"/>
        <v>ELP</v>
      </c>
    </row>
    <row r="320" spans="2:13" hidden="1" x14ac:dyDescent="0.2">
      <c r="F320" t="s">
        <v>1627</v>
      </c>
      <c r="L320" t="str">
        <f t="shared" si="8"/>
        <v/>
      </c>
      <c r="M320" t="str">
        <f t="shared" si="9"/>
        <v>L P</v>
      </c>
    </row>
    <row r="321" spans="2:13" hidden="1" x14ac:dyDescent="0.2">
      <c r="F321" t="s">
        <v>297</v>
      </c>
      <c r="L321" t="str">
        <f t="shared" si="8"/>
        <v/>
      </c>
      <c r="M321" t="str">
        <f t="shared" si="9"/>
        <v>pti</v>
      </c>
    </row>
    <row r="322" spans="2:13" hidden="1" x14ac:dyDescent="0.2">
      <c r="L322" t="str">
        <f t="shared" si="8"/>
        <v/>
      </c>
      <c r="M322" t="str">
        <f t="shared" si="9"/>
        <v/>
      </c>
    </row>
    <row r="323" spans="2:13" hidden="1" x14ac:dyDescent="0.2">
      <c r="B323" t="s">
        <v>294</v>
      </c>
      <c r="L323" t="str">
        <f t="shared" si="8"/>
        <v/>
      </c>
      <c r="M323" t="str">
        <f t="shared" si="9"/>
        <v/>
      </c>
    </row>
    <row r="324" spans="2:13" hidden="1" x14ac:dyDescent="0.2">
      <c r="C324" t="s">
        <v>294</v>
      </c>
      <c r="E324" t="s">
        <v>298</v>
      </c>
      <c r="L324" t="str">
        <f t="shared" si="8"/>
        <v/>
      </c>
      <c r="M324" t="str">
        <f t="shared" si="9"/>
        <v/>
      </c>
    </row>
    <row r="325" spans="2:13" hidden="1" x14ac:dyDescent="0.2">
      <c r="C325" t="s">
        <v>294</v>
      </c>
      <c r="F325" t="s">
        <v>296</v>
      </c>
      <c r="L325" t="str">
        <f t="shared" ref="L325:L388" si="10">MID(E325,10,2)</f>
        <v/>
      </c>
      <c r="M325" t="str">
        <f t="shared" ref="M325:M388" si="11">MID(F325,24,3)</f>
        <v>t.c</v>
      </c>
    </row>
    <row r="326" spans="2:13" x14ac:dyDescent="0.2">
      <c r="E326" t="s">
        <v>303</v>
      </c>
      <c r="F326" t="s">
        <v>1628</v>
      </c>
      <c r="L326" t="str">
        <f t="shared" si="10"/>
        <v xml:space="preserve"> 4</v>
      </c>
      <c r="M326" t="str">
        <f t="shared" si="11"/>
        <v>ELV</v>
      </c>
    </row>
    <row r="327" spans="2:13" hidden="1" x14ac:dyDescent="0.2">
      <c r="F327" t="s">
        <v>1629</v>
      </c>
      <c r="L327" t="str">
        <f t="shared" si="10"/>
        <v/>
      </c>
      <c r="M327" t="str">
        <f t="shared" si="11"/>
        <v>L V</v>
      </c>
    </row>
    <row r="328" spans="2:13" hidden="1" x14ac:dyDescent="0.2">
      <c r="F328" t="s">
        <v>297</v>
      </c>
      <c r="L328" t="str">
        <f t="shared" si="10"/>
        <v/>
      </c>
      <c r="M328" t="str">
        <f t="shared" si="11"/>
        <v>pti</v>
      </c>
    </row>
    <row r="329" spans="2:13" hidden="1" x14ac:dyDescent="0.2">
      <c r="L329" t="str">
        <f t="shared" si="10"/>
        <v/>
      </c>
      <c r="M329" t="str">
        <f t="shared" si="11"/>
        <v/>
      </c>
    </row>
    <row r="330" spans="2:13" hidden="1" x14ac:dyDescent="0.2">
      <c r="B330" t="s">
        <v>294</v>
      </c>
      <c r="L330" t="str">
        <f t="shared" si="10"/>
        <v/>
      </c>
      <c r="M330" t="str">
        <f t="shared" si="11"/>
        <v/>
      </c>
    </row>
    <row r="331" spans="2:13" hidden="1" x14ac:dyDescent="0.2">
      <c r="C331" t="s">
        <v>294</v>
      </c>
      <c r="E331" t="s">
        <v>298</v>
      </c>
      <c r="L331" t="str">
        <f t="shared" si="10"/>
        <v/>
      </c>
      <c r="M331" t="str">
        <f t="shared" si="11"/>
        <v/>
      </c>
    </row>
    <row r="332" spans="2:13" hidden="1" x14ac:dyDescent="0.2">
      <c r="C332" t="s">
        <v>294</v>
      </c>
      <c r="F332" t="s">
        <v>296</v>
      </c>
      <c r="L332" t="str">
        <f t="shared" si="10"/>
        <v/>
      </c>
      <c r="M332" t="str">
        <f t="shared" si="11"/>
        <v>t.c</v>
      </c>
    </row>
    <row r="333" spans="2:13" x14ac:dyDescent="0.2">
      <c r="E333" t="s">
        <v>303</v>
      </c>
      <c r="F333" t="s">
        <v>1630</v>
      </c>
      <c r="L333" t="str">
        <f t="shared" si="10"/>
        <v xml:space="preserve"> 4</v>
      </c>
      <c r="M333" t="str">
        <f t="shared" si="11"/>
        <v>FZA</v>
      </c>
    </row>
    <row r="334" spans="2:13" hidden="1" x14ac:dyDescent="0.2">
      <c r="F334" t="s">
        <v>1631</v>
      </c>
      <c r="L334" t="str">
        <f t="shared" si="10"/>
        <v/>
      </c>
      <c r="M334" t="str">
        <f t="shared" si="11"/>
        <v>CO.</v>
      </c>
    </row>
    <row r="335" spans="2:13" hidden="1" x14ac:dyDescent="0.2">
      <c r="F335" t="s">
        <v>297</v>
      </c>
      <c r="L335" t="str">
        <f t="shared" si="10"/>
        <v/>
      </c>
      <c r="M335" t="str">
        <f t="shared" si="11"/>
        <v>pti</v>
      </c>
    </row>
    <row r="336" spans="2:13" hidden="1" x14ac:dyDescent="0.2">
      <c r="L336" t="str">
        <f t="shared" si="10"/>
        <v/>
      </c>
      <c r="M336" t="str">
        <f t="shared" si="11"/>
        <v/>
      </c>
    </row>
    <row r="337" spans="2:13" hidden="1" x14ac:dyDescent="0.2">
      <c r="B337" t="s">
        <v>294</v>
      </c>
      <c r="L337" t="str">
        <f t="shared" si="10"/>
        <v/>
      </c>
      <c r="M337" t="str">
        <f t="shared" si="11"/>
        <v/>
      </c>
    </row>
    <row r="338" spans="2:13" hidden="1" x14ac:dyDescent="0.2">
      <c r="C338" t="s">
        <v>294</v>
      </c>
      <c r="E338" t="s">
        <v>298</v>
      </c>
      <c r="L338" t="str">
        <f t="shared" si="10"/>
        <v/>
      </c>
      <c r="M338" t="str">
        <f t="shared" si="11"/>
        <v/>
      </c>
    </row>
    <row r="339" spans="2:13" hidden="1" x14ac:dyDescent="0.2">
      <c r="C339" t="s">
        <v>294</v>
      </c>
      <c r="F339" t="s">
        <v>296</v>
      </c>
      <c r="L339" t="str">
        <f t="shared" si="10"/>
        <v/>
      </c>
      <c r="M339" t="str">
        <f t="shared" si="11"/>
        <v>t.c</v>
      </c>
    </row>
    <row r="340" spans="2:13" x14ac:dyDescent="0.2">
      <c r="E340" t="s">
        <v>303</v>
      </c>
      <c r="F340" t="s">
        <v>1632</v>
      </c>
      <c r="L340" t="str">
        <f t="shared" si="10"/>
        <v xml:space="preserve"> 4</v>
      </c>
      <c r="M340" t="str">
        <f t="shared" si="11"/>
        <v>FRC</v>
      </c>
    </row>
    <row r="341" spans="2:13" hidden="1" x14ac:dyDescent="0.2">
      <c r="F341" t="s">
        <v>1633</v>
      </c>
      <c r="L341" t="str">
        <f t="shared" si="10"/>
        <v/>
      </c>
      <c r="M341" t="str">
        <f t="shared" si="11"/>
        <v>RAN</v>
      </c>
    </row>
    <row r="342" spans="2:13" hidden="1" x14ac:dyDescent="0.2">
      <c r="F342" t="s">
        <v>297</v>
      </c>
      <c r="L342" t="str">
        <f t="shared" si="10"/>
        <v/>
      </c>
      <c r="M342" t="str">
        <f t="shared" si="11"/>
        <v>pti</v>
      </c>
    </row>
    <row r="343" spans="2:13" hidden="1" x14ac:dyDescent="0.2">
      <c r="L343" t="str">
        <f t="shared" si="10"/>
        <v/>
      </c>
      <c r="M343" t="str">
        <f t="shared" si="11"/>
        <v/>
      </c>
    </row>
    <row r="344" spans="2:13" hidden="1" x14ac:dyDescent="0.2">
      <c r="B344" t="s">
        <v>294</v>
      </c>
      <c r="L344" t="str">
        <f t="shared" si="10"/>
        <v/>
      </c>
      <c r="M344" t="str">
        <f t="shared" si="11"/>
        <v/>
      </c>
    </row>
    <row r="345" spans="2:13" hidden="1" x14ac:dyDescent="0.2">
      <c r="C345" t="s">
        <v>294</v>
      </c>
      <c r="E345" t="s">
        <v>298</v>
      </c>
      <c r="L345" t="str">
        <f t="shared" si="10"/>
        <v/>
      </c>
      <c r="M345" t="str">
        <f t="shared" si="11"/>
        <v/>
      </c>
    </row>
    <row r="346" spans="2:13" hidden="1" x14ac:dyDescent="0.2">
      <c r="C346" t="s">
        <v>294</v>
      </c>
      <c r="F346" t="s">
        <v>296</v>
      </c>
      <c r="L346" t="str">
        <f t="shared" si="10"/>
        <v/>
      </c>
      <c r="M346" t="str">
        <f t="shared" si="11"/>
        <v>t.c</v>
      </c>
    </row>
    <row r="347" spans="2:13" x14ac:dyDescent="0.2">
      <c r="E347" t="s">
        <v>303</v>
      </c>
      <c r="F347" t="s">
        <v>1634</v>
      </c>
      <c r="L347" t="str">
        <f t="shared" si="10"/>
        <v xml:space="preserve"> 4</v>
      </c>
      <c r="M347" t="str">
        <f t="shared" si="11"/>
        <v>JAR</v>
      </c>
    </row>
    <row r="348" spans="2:13" hidden="1" x14ac:dyDescent="0.2">
      <c r="F348" t="s">
        <v>1635</v>
      </c>
      <c r="L348" t="str">
        <f t="shared" si="10"/>
        <v/>
      </c>
      <c r="M348" t="str">
        <f t="shared" si="11"/>
        <v>ARD</v>
      </c>
    </row>
    <row r="349" spans="2:13" hidden="1" x14ac:dyDescent="0.2">
      <c r="F349" t="s">
        <v>297</v>
      </c>
      <c r="L349" t="str">
        <f t="shared" si="10"/>
        <v/>
      </c>
      <c r="M349" t="str">
        <f t="shared" si="11"/>
        <v>pti</v>
      </c>
    </row>
    <row r="350" spans="2:13" hidden="1" x14ac:dyDescent="0.2">
      <c r="L350" t="str">
        <f t="shared" si="10"/>
        <v/>
      </c>
      <c r="M350" t="str">
        <f t="shared" si="11"/>
        <v/>
      </c>
    </row>
    <row r="351" spans="2:13" hidden="1" x14ac:dyDescent="0.2">
      <c r="B351" t="s">
        <v>294</v>
      </c>
      <c r="L351" t="str">
        <f t="shared" si="10"/>
        <v/>
      </c>
      <c r="M351" t="str">
        <f t="shared" si="11"/>
        <v/>
      </c>
    </row>
    <row r="352" spans="2:13" hidden="1" x14ac:dyDescent="0.2">
      <c r="C352" t="s">
        <v>294</v>
      </c>
      <c r="E352" t="s">
        <v>298</v>
      </c>
      <c r="L352" t="str">
        <f t="shared" si="10"/>
        <v/>
      </c>
      <c r="M352" t="str">
        <f t="shared" si="11"/>
        <v/>
      </c>
    </row>
    <row r="353" spans="2:13" hidden="1" x14ac:dyDescent="0.2">
      <c r="C353" t="s">
        <v>294</v>
      </c>
      <c r="F353" t="s">
        <v>296</v>
      </c>
      <c r="L353" t="str">
        <f t="shared" si="10"/>
        <v/>
      </c>
      <c r="M353" t="str">
        <f t="shared" si="11"/>
        <v>t.c</v>
      </c>
    </row>
    <row r="354" spans="2:13" x14ac:dyDescent="0.2">
      <c r="E354" t="s">
        <v>303</v>
      </c>
      <c r="F354" t="s">
        <v>1636</v>
      </c>
      <c r="L354" t="str">
        <f t="shared" si="10"/>
        <v xml:space="preserve"> 4</v>
      </c>
      <c r="M354" t="str">
        <f t="shared" si="11"/>
        <v>PPR</v>
      </c>
    </row>
    <row r="355" spans="2:13" hidden="1" x14ac:dyDescent="0.2">
      <c r="F355" t="s">
        <v>1637</v>
      </c>
      <c r="L355" t="str">
        <f t="shared" si="10"/>
        <v/>
      </c>
      <c r="M355" t="str">
        <f t="shared" si="11"/>
        <v>A P</v>
      </c>
    </row>
    <row r="356" spans="2:13" hidden="1" x14ac:dyDescent="0.2">
      <c r="F356" t="s">
        <v>297</v>
      </c>
      <c r="L356" t="str">
        <f t="shared" si="10"/>
        <v/>
      </c>
      <c r="M356" t="str">
        <f t="shared" si="11"/>
        <v>pti</v>
      </c>
    </row>
    <row r="357" spans="2:13" hidden="1" x14ac:dyDescent="0.2">
      <c r="L357" t="str">
        <f t="shared" si="10"/>
        <v/>
      </c>
      <c r="M357" t="str">
        <f t="shared" si="11"/>
        <v/>
      </c>
    </row>
    <row r="358" spans="2:13" hidden="1" x14ac:dyDescent="0.2">
      <c r="B358" t="s">
        <v>294</v>
      </c>
      <c r="L358" t="str">
        <f t="shared" si="10"/>
        <v/>
      </c>
      <c r="M358" t="str">
        <f t="shared" si="11"/>
        <v/>
      </c>
    </row>
    <row r="359" spans="2:13" hidden="1" x14ac:dyDescent="0.2">
      <c r="C359" t="s">
        <v>294</v>
      </c>
      <c r="E359" t="s">
        <v>298</v>
      </c>
      <c r="L359" t="str">
        <f t="shared" si="10"/>
        <v/>
      </c>
      <c r="M359" t="str">
        <f t="shared" si="11"/>
        <v/>
      </c>
    </row>
    <row r="360" spans="2:13" hidden="1" x14ac:dyDescent="0.2">
      <c r="C360" t="s">
        <v>294</v>
      </c>
      <c r="F360" t="s">
        <v>296</v>
      </c>
      <c r="L360" t="str">
        <f t="shared" si="10"/>
        <v/>
      </c>
      <c r="M360" t="str">
        <f t="shared" si="11"/>
        <v>t.c</v>
      </c>
    </row>
    <row r="361" spans="2:13" x14ac:dyDescent="0.2">
      <c r="E361" t="s">
        <v>303</v>
      </c>
      <c r="F361" t="s">
        <v>1638</v>
      </c>
      <c r="L361" t="str">
        <f t="shared" si="10"/>
        <v xml:space="preserve"> 4</v>
      </c>
      <c r="M361" t="str">
        <f t="shared" si="11"/>
        <v>LGD</v>
      </c>
    </row>
    <row r="362" spans="2:13" hidden="1" x14ac:dyDescent="0.2">
      <c r="F362" t="s">
        <v>1639</v>
      </c>
      <c r="L362" t="str">
        <f t="shared" si="10"/>
        <v/>
      </c>
      <c r="M362" t="str">
        <f t="shared" si="11"/>
        <v>AGU</v>
      </c>
    </row>
    <row r="363" spans="2:13" hidden="1" x14ac:dyDescent="0.2">
      <c r="F363" t="s">
        <v>297</v>
      </c>
      <c r="L363" t="str">
        <f t="shared" si="10"/>
        <v/>
      </c>
      <c r="M363" t="str">
        <f t="shared" si="11"/>
        <v>pti</v>
      </c>
    </row>
    <row r="364" spans="2:13" hidden="1" x14ac:dyDescent="0.2">
      <c r="L364" t="str">
        <f t="shared" si="10"/>
        <v/>
      </c>
      <c r="M364" t="str">
        <f t="shared" si="11"/>
        <v/>
      </c>
    </row>
    <row r="365" spans="2:13" hidden="1" x14ac:dyDescent="0.2">
      <c r="B365" t="s">
        <v>294</v>
      </c>
      <c r="L365" t="str">
        <f t="shared" si="10"/>
        <v/>
      </c>
      <c r="M365" t="str">
        <f t="shared" si="11"/>
        <v/>
      </c>
    </row>
    <row r="366" spans="2:13" hidden="1" x14ac:dyDescent="0.2">
      <c r="C366" t="s">
        <v>294</v>
      </c>
      <c r="E366" t="s">
        <v>298</v>
      </c>
      <c r="L366" t="str">
        <f t="shared" si="10"/>
        <v/>
      </c>
      <c r="M366" t="str">
        <f t="shared" si="11"/>
        <v/>
      </c>
    </row>
    <row r="367" spans="2:13" hidden="1" x14ac:dyDescent="0.2">
      <c r="C367" t="s">
        <v>294</v>
      </c>
      <c r="F367" t="s">
        <v>296</v>
      </c>
      <c r="L367" t="str">
        <f t="shared" si="10"/>
        <v/>
      </c>
      <c r="M367" t="str">
        <f t="shared" si="11"/>
        <v>t.c</v>
      </c>
    </row>
    <row r="368" spans="2:13" x14ac:dyDescent="0.2">
      <c r="E368" t="s">
        <v>303</v>
      </c>
      <c r="F368" t="s">
        <v>1640</v>
      </c>
      <c r="L368" t="str">
        <f t="shared" si="10"/>
        <v xml:space="preserve"> 4</v>
      </c>
      <c r="M368" t="str">
        <f t="shared" si="11"/>
        <v>LGM</v>
      </c>
    </row>
    <row r="369" spans="2:13" hidden="1" x14ac:dyDescent="0.2">
      <c r="F369" t="s">
        <v>1641</v>
      </c>
      <c r="L369" t="str">
        <f t="shared" si="10"/>
        <v/>
      </c>
      <c r="M369" t="str">
        <f t="shared" si="11"/>
        <v>EON</v>
      </c>
    </row>
    <row r="370" spans="2:13" hidden="1" x14ac:dyDescent="0.2">
      <c r="F370" t="s">
        <v>297</v>
      </c>
      <c r="L370" t="str">
        <f t="shared" si="10"/>
        <v/>
      </c>
      <c r="M370" t="str">
        <f t="shared" si="11"/>
        <v>pti</v>
      </c>
    </row>
    <row r="371" spans="2:13" hidden="1" x14ac:dyDescent="0.2">
      <c r="L371" t="str">
        <f t="shared" si="10"/>
        <v/>
      </c>
      <c r="M371" t="str">
        <f t="shared" si="11"/>
        <v/>
      </c>
    </row>
    <row r="372" spans="2:13" hidden="1" x14ac:dyDescent="0.2">
      <c r="B372" t="s">
        <v>294</v>
      </c>
      <c r="L372" t="str">
        <f t="shared" si="10"/>
        <v/>
      </c>
      <c r="M372" t="str">
        <f t="shared" si="11"/>
        <v/>
      </c>
    </row>
    <row r="373" spans="2:13" hidden="1" x14ac:dyDescent="0.2">
      <c r="C373" t="s">
        <v>294</v>
      </c>
      <c r="E373" t="s">
        <v>298</v>
      </c>
      <c r="L373" t="str">
        <f t="shared" si="10"/>
        <v/>
      </c>
      <c r="M373" t="str">
        <f t="shared" si="11"/>
        <v/>
      </c>
    </row>
    <row r="374" spans="2:13" hidden="1" x14ac:dyDescent="0.2">
      <c r="C374" t="s">
        <v>294</v>
      </c>
      <c r="F374" t="s">
        <v>296</v>
      </c>
      <c r="L374" t="str">
        <f t="shared" si="10"/>
        <v/>
      </c>
      <c r="M374" t="str">
        <f t="shared" si="11"/>
        <v>t.c</v>
      </c>
    </row>
    <row r="375" spans="2:13" x14ac:dyDescent="0.2">
      <c r="E375" t="s">
        <v>303</v>
      </c>
      <c r="F375" t="s">
        <v>1642</v>
      </c>
      <c r="L375" t="str">
        <f t="shared" si="10"/>
        <v xml:space="preserve"> 4</v>
      </c>
      <c r="M375" t="str">
        <f t="shared" si="11"/>
        <v>MIR</v>
      </c>
    </row>
    <row r="376" spans="2:13" hidden="1" x14ac:dyDescent="0.2">
      <c r="F376" t="s">
        <v>1643</v>
      </c>
      <c r="L376" t="str">
        <f t="shared" si="10"/>
        <v/>
      </c>
      <c r="M376" t="str">
        <f t="shared" si="11"/>
        <v>IRA</v>
      </c>
    </row>
    <row r="377" spans="2:13" hidden="1" x14ac:dyDescent="0.2">
      <c r="F377" t="s">
        <v>297</v>
      </c>
      <c r="L377" t="str">
        <f t="shared" si="10"/>
        <v/>
      </c>
      <c r="M377" t="str">
        <f t="shared" si="11"/>
        <v>pti</v>
      </c>
    </row>
    <row r="378" spans="2:13" hidden="1" x14ac:dyDescent="0.2">
      <c r="L378" t="str">
        <f t="shared" si="10"/>
        <v/>
      </c>
      <c r="M378" t="str">
        <f t="shared" si="11"/>
        <v/>
      </c>
    </row>
    <row r="379" spans="2:13" hidden="1" x14ac:dyDescent="0.2">
      <c r="B379" t="s">
        <v>294</v>
      </c>
      <c r="L379" t="str">
        <f t="shared" si="10"/>
        <v/>
      </c>
      <c r="M379" t="str">
        <f t="shared" si="11"/>
        <v/>
      </c>
    </row>
    <row r="380" spans="2:13" hidden="1" x14ac:dyDescent="0.2">
      <c r="C380" t="s">
        <v>294</v>
      </c>
      <c r="E380" t="s">
        <v>298</v>
      </c>
      <c r="L380" t="str">
        <f t="shared" si="10"/>
        <v/>
      </c>
      <c r="M380" t="str">
        <f t="shared" si="11"/>
        <v/>
      </c>
    </row>
    <row r="381" spans="2:13" hidden="1" x14ac:dyDescent="0.2">
      <c r="C381" t="s">
        <v>294</v>
      </c>
      <c r="F381" t="s">
        <v>296</v>
      </c>
      <c r="L381" t="str">
        <f t="shared" si="10"/>
        <v/>
      </c>
      <c r="M381" t="str">
        <f t="shared" si="11"/>
        <v>t.c</v>
      </c>
    </row>
    <row r="382" spans="2:13" x14ac:dyDescent="0.2">
      <c r="E382" t="s">
        <v>303</v>
      </c>
      <c r="F382" t="s">
        <v>1644</v>
      </c>
      <c r="L382" t="str">
        <f t="shared" si="10"/>
        <v xml:space="preserve"> 4</v>
      </c>
      <c r="M382" t="str">
        <f t="shared" si="11"/>
        <v>PDA</v>
      </c>
    </row>
    <row r="383" spans="2:13" hidden="1" x14ac:dyDescent="0.2">
      <c r="F383" t="s">
        <v>1645</v>
      </c>
      <c r="L383" t="str">
        <f t="shared" si="10"/>
        <v/>
      </c>
      <c r="M383" t="str">
        <f t="shared" si="11"/>
        <v>EDR</v>
      </c>
    </row>
    <row r="384" spans="2:13" hidden="1" x14ac:dyDescent="0.2">
      <c r="F384" t="s">
        <v>297</v>
      </c>
      <c r="L384" t="str">
        <f t="shared" si="10"/>
        <v/>
      </c>
      <c r="M384" t="str">
        <f t="shared" si="11"/>
        <v>pti</v>
      </c>
    </row>
    <row r="385" spans="2:13" hidden="1" x14ac:dyDescent="0.2">
      <c r="L385" t="str">
        <f t="shared" si="10"/>
        <v/>
      </c>
      <c r="M385" t="str">
        <f t="shared" si="11"/>
        <v/>
      </c>
    </row>
    <row r="386" spans="2:13" hidden="1" x14ac:dyDescent="0.2">
      <c r="B386" t="s">
        <v>294</v>
      </c>
      <c r="L386" t="str">
        <f t="shared" si="10"/>
        <v/>
      </c>
      <c r="M386" t="str">
        <f t="shared" si="11"/>
        <v/>
      </c>
    </row>
    <row r="387" spans="2:13" hidden="1" x14ac:dyDescent="0.2">
      <c r="C387" t="s">
        <v>294</v>
      </c>
      <c r="E387" t="s">
        <v>298</v>
      </c>
      <c r="L387" t="str">
        <f t="shared" si="10"/>
        <v/>
      </c>
      <c r="M387" t="str">
        <f t="shared" si="11"/>
        <v/>
      </c>
    </row>
    <row r="388" spans="2:13" hidden="1" x14ac:dyDescent="0.2">
      <c r="C388" t="s">
        <v>294</v>
      </c>
      <c r="F388" t="s">
        <v>296</v>
      </c>
      <c r="L388" t="str">
        <f t="shared" si="10"/>
        <v/>
      </c>
      <c r="M388" t="str">
        <f t="shared" si="11"/>
        <v>t.c</v>
      </c>
    </row>
    <row r="389" spans="2:13" x14ac:dyDescent="0.2">
      <c r="E389" t="s">
        <v>303</v>
      </c>
      <c r="F389" t="s">
        <v>1646</v>
      </c>
      <c r="L389" t="str">
        <f t="shared" ref="L389:L452" si="12">MID(E389,10,2)</f>
        <v xml:space="preserve"> 4</v>
      </c>
      <c r="M389" t="str">
        <f t="shared" ref="M389:M452" si="13">MID(F389,24,3)</f>
        <v>SCT</v>
      </c>
    </row>
    <row r="390" spans="2:13" hidden="1" x14ac:dyDescent="0.2">
      <c r="F390" t="s">
        <v>1647</v>
      </c>
      <c r="L390" t="str">
        <f t="shared" si="12"/>
        <v/>
      </c>
      <c r="M390" t="str">
        <f t="shared" si="13"/>
        <v>ACR</v>
      </c>
    </row>
    <row r="391" spans="2:13" hidden="1" x14ac:dyDescent="0.2">
      <c r="F391" t="s">
        <v>297</v>
      </c>
      <c r="L391" t="str">
        <f t="shared" si="12"/>
        <v/>
      </c>
      <c r="M391" t="str">
        <f t="shared" si="13"/>
        <v>pti</v>
      </c>
    </row>
    <row r="392" spans="2:13" hidden="1" x14ac:dyDescent="0.2">
      <c r="L392" t="str">
        <f t="shared" si="12"/>
        <v/>
      </c>
      <c r="M392" t="str">
        <f t="shared" si="13"/>
        <v/>
      </c>
    </row>
    <row r="393" spans="2:13" hidden="1" x14ac:dyDescent="0.2">
      <c r="B393" t="s">
        <v>294</v>
      </c>
      <c r="L393" t="str">
        <f t="shared" si="12"/>
        <v/>
      </c>
      <c r="M393" t="str">
        <f t="shared" si="13"/>
        <v/>
      </c>
    </row>
    <row r="394" spans="2:13" hidden="1" x14ac:dyDescent="0.2">
      <c r="C394" t="s">
        <v>294</v>
      </c>
      <c r="E394" t="s">
        <v>298</v>
      </c>
      <c r="L394" t="str">
        <f t="shared" si="12"/>
        <v/>
      </c>
      <c r="M394" t="str">
        <f t="shared" si="13"/>
        <v/>
      </c>
    </row>
    <row r="395" spans="2:13" hidden="1" x14ac:dyDescent="0.2">
      <c r="C395" t="s">
        <v>294</v>
      </c>
      <c r="F395" t="s">
        <v>296</v>
      </c>
      <c r="L395" t="str">
        <f t="shared" si="12"/>
        <v/>
      </c>
      <c r="M395" t="str">
        <f t="shared" si="13"/>
        <v>t.c</v>
      </c>
    </row>
    <row r="396" spans="2:13" x14ac:dyDescent="0.2">
      <c r="E396" t="s">
        <v>303</v>
      </c>
      <c r="F396" t="s">
        <v>1648</v>
      </c>
      <c r="L396" t="str">
        <f t="shared" si="12"/>
        <v xml:space="preserve"> 4</v>
      </c>
      <c r="M396" t="str">
        <f t="shared" si="13"/>
        <v>YMO</v>
      </c>
    </row>
    <row r="397" spans="2:13" hidden="1" x14ac:dyDescent="0.2">
      <c r="F397" t="s">
        <v>1649</v>
      </c>
      <c r="L397" t="str">
        <f t="shared" si="12"/>
        <v/>
      </c>
      <c r="M397" t="str">
        <f t="shared" si="13"/>
        <v>ERM</v>
      </c>
    </row>
    <row r="398" spans="2:13" hidden="1" x14ac:dyDescent="0.2">
      <c r="F398" t="s">
        <v>297</v>
      </c>
      <c r="L398" t="str">
        <f t="shared" si="12"/>
        <v/>
      </c>
      <c r="M398" t="str">
        <f t="shared" si="13"/>
        <v>pti</v>
      </c>
    </row>
    <row r="399" spans="2:13" hidden="1" x14ac:dyDescent="0.2">
      <c r="L399" t="str">
        <f t="shared" si="12"/>
        <v/>
      </c>
      <c r="M399" t="str">
        <f t="shared" si="13"/>
        <v/>
      </c>
    </row>
    <row r="400" spans="2:13" hidden="1" x14ac:dyDescent="0.2">
      <c r="B400" t="s">
        <v>294</v>
      </c>
      <c r="L400" t="str">
        <f t="shared" si="12"/>
        <v/>
      </c>
      <c r="M400" t="str">
        <f t="shared" si="13"/>
        <v/>
      </c>
    </row>
    <row r="401" spans="2:13" hidden="1" x14ac:dyDescent="0.2">
      <c r="C401" t="s">
        <v>294</v>
      </c>
      <c r="E401" t="s">
        <v>298</v>
      </c>
      <c r="L401" t="str">
        <f t="shared" si="12"/>
        <v/>
      </c>
      <c r="M401" t="str">
        <f t="shared" si="13"/>
        <v/>
      </c>
    </row>
    <row r="402" spans="2:13" hidden="1" x14ac:dyDescent="0.2">
      <c r="C402" t="s">
        <v>294</v>
      </c>
      <c r="F402" t="s">
        <v>296</v>
      </c>
      <c r="L402" t="str">
        <f t="shared" si="12"/>
        <v/>
      </c>
      <c r="M402" t="str">
        <f t="shared" si="13"/>
        <v>t.c</v>
      </c>
    </row>
    <row r="403" spans="2:13" x14ac:dyDescent="0.2">
      <c r="E403" t="s">
        <v>304</v>
      </c>
      <c r="F403" t="s">
        <v>1650</v>
      </c>
      <c r="L403" t="str">
        <f t="shared" si="12"/>
        <v xml:space="preserve"> 5</v>
      </c>
      <c r="M403" t="str">
        <f t="shared" si="13"/>
        <v>AVO</v>
      </c>
    </row>
    <row r="404" spans="2:13" hidden="1" x14ac:dyDescent="0.2">
      <c r="F404" t="s">
        <v>1651</v>
      </c>
      <c r="L404" t="str">
        <f t="shared" si="12"/>
        <v/>
      </c>
      <c r="M404" t="str">
        <f t="shared" si="13"/>
        <v>LVA</v>
      </c>
    </row>
    <row r="405" spans="2:13" hidden="1" x14ac:dyDescent="0.2">
      <c r="F405" t="s">
        <v>297</v>
      </c>
      <c r="L405" t="str">
        <f t="shared" si="12"/>
        <v/>
      </c>
      <c r="M405" t="str">
        <f t="shared" si="13"/>
        <v>pti</v>
      </c>
    </row>
    <row r="406" spans="2:13" hidden="1" x14ac:dyDescent="0.2">
      <c r="L406" t="str">
        <f t="shared" si="12"/>
        <v/>
      </c>
      <c r="M406" t="str">
        <f t="shared" si="13"/>
        <v/>
      </c>
    </row>
    <row r="407" spans="2:13" hidden="1" x14ac:dyDescent="0.2">
      <c r="B407" t="s">
        <v>294</v>
      </c>
      <c r="L407" t="str">
        <f t="shared" si="12"/>
        <v/>
      </c>
      <c r="M407" t="str">
        <f t="shared" si="13"/>
        <v/>
      </c>
    </row>
    <row r="408" spans="2:13" hidden="1" x14ac:dyDescent="0.2">
      <c r="C408" t="s">
        <v>294</v>
      </c>
      <c r="E408" t="s">
        <v>298</v>
      </c>
      <c r="L408" t="str">
        <f t="shared" si="12"/>
        <v/>
      </c>
      <c r="M408" t="str">
        <f t="shared" si="13"/>
        <v/>
      </c>
    </row>
    <row r="409" spans="2:13" hidden="1" x14ac:dyDescent="0.2">
      <c r="C409" t="s">
        <v>294</v>
      </c>
      <c r="F409" t="s">
        <v>296</v>
      </c>
      <c r="L409" t="str">
        <f t="shared" si="12"/>
        <v/>
      </c>
      <c r="M409" t="str">
        <f t="shared" si="13"/>
        <v>t.c</v>
      </c>
    </row>
    <row r="410" spans="2:13" x14ac:dyDescent="0.2">
      <c r="E410" t="s">
        <v>304</v>
      </c>
      <c r="F410" t="s">
        <v>1652</v>
      </c>
      <c r="L410" t="str">
        <f t="shared" si="12"/>
        <v xml:space="preserve"> 5</v>
      </c>
      <c r="M410" t="str">
        <f t="shared" si="13"/>
        <v>ARE</v>
      </c>
    </row>
    <row r="411" spans="2:13" hidden="1" x14ac:dyDescent="0.2">
      <c r="F411" t="s">
        <v>1653</v>
      </c>
      <c r="L411" t="str">
        <f t="shared" si="12"/>
        <v/>
      </c>
      <c r="M411" t="str">
        <f t="shared" si="13"/>
        <v>REN</v>
      </c>
    </row>
    <row r="412" spans="2:13" hidden="1" x14ac:dyDescent="0.2">
      <c r="F412" t="s">
        <v>297</v>
      </c>
      <c r="L412" t="str">
        <f t="shared" si="12"/>
        <v/>
      </c>
      <c r="M412" t="str">
        <f t="shared" si="13"/>
        <v>pti</v>
      </c>
    </row>
    <row r="413" spans="2:13" hidden="1" x14ac:dyDescent="0.2">
      <c r="L413" t="str">
        <f t="shared" si="12"/>
        <v/>
      </c>
      <c r="M413" t="str">
        <f t="shared" si="13"/>
        <v/>
      </c>
    </row>
    <row r="414" spans="2:13" hidden="1" x14ac:dyDescent="0.2">
      <c r="B414" t="s">
        <v>294</v>
      </c>
      <c r="L414" t="str">
        <f t="shared" si="12"/>
        <v/>
      </c>
      <c r="M414" t="str">
        <f t="shared" si="13"/>
        <v/>
      </c>
    </row>
    <row r="415" spans="2:13" hidden="1" x14ac:dyDescent="0.2">
      <c r="C415" t="s">
        <v>294</v>
      </c>
      <c r="E415" t="s">
        <v>298</v>
      </c>
      <c r="L415" t="str">
        <f t="shared" si="12"/>
        <v/>
      </c>
      <c r="M415" t="str">
        <f t="shared" si="13"/>
        <v/>
      </c>
    </row>
    <row r="416" spans="2:13" hidden="1" x14ac:dyDescent="0.2">
      <c r="C416" t="s">
        <v>294</v>
      </c>
      <c r="F416" t="s">
        <v>296</v>
      </c>
      <c r="L416" t="str">
        <f t="shared" si="12"/>
        <v/>
      </c>
      <c r="M416" t="str">
        <f t="shared" si="13"/>
        <v>t.c</v>
      </c>
    </row>
    <row r="417" spans="2:13" x14ac:dyDescent="0.2">
      <c r="E417" t="s">
        <v>304</v>
      </c>
      <c r="F417" t="s">
        <v>1654</v>
      </c>
      <c r="L417" t="str">
        <f t="shared" si="12"/>
        <v xml:space="preserve"> 5</v>
      </c>
      <c r="M417" t="str">
        <f t="shared" si="13"/>
        <v>CRC</v>
      </c>
    </row>
    <row r="418" spans="2:13" hidden="1" x14ac:dyDescent="0.2">
      <c r="F418" t="s">
        <v>1655</v>
      </c>
      <c r="L418" t="str">
        <f t="shared" si="12"/>
        <v/>
      </c>
      <c r="M418" t="str">
        <f t="shared" si="13"/>
        <v>ARI</v>
      </c>
    </row>
    <row r="419" spans="2:13" hidden="1" x14ac:dyDescent="0.2">
      <c r="F419" t="s">
        <v>297</v>
      </c>
      <c r="L419" t="str">
        <f t="shared" si="12"/>
        <v/>
      </c>
      <c r="M419" t="str">
        <f t="shared" si="13"/>
        <v>pti</v>
      </c>
    </row>
    <row r="420" spans="2:13" hidden="1" x14ac:dyDescent="0.2">
      <c r="L420" t="str">
        <f t="shared" si="12"/>
        <v/>
      </c>
      <c r="M420" t="str">
        <f t="shared" si="13"/>
        <v/>
      </c>
    </row>
    <row r="421" spans="2:13" hidden="1" x14ac:dyDescent="0.2">
      <c r="B421" t="s">
        <v>294</v>
      </c>
      <c r="L421" t="str">
        <f t="shared" si="12"/>
        <v/>
      </c>
      <c r="M421" t="str">
        <f t="shared" si="13"/>
        <v/>
      </c>
    </row>
    <row r="422" spans="2:13" hidden="1" x14ac:dyDescent="0.2">
      <c r="C422" t="s">
        <v>294</v>
      </c>
      <c r="E422" t="s">
        <v>298</v>
      </c>
      <c r="L422" t="str">
        <f t="shared" si="12"/>
        <v/>
      </c>
      <c r="M422" t="str">
        <f t="shared" si="13"/>
        <v/>
      </c>
    </row>
    <row r="423" spans="2:13" hidden="1" x14ac:dyDescent="0.2">
      <c r="C423" t="s">
        <v>294</v>
      </c>
      <c r="F423" t="s">
        <v>296</v>
      </c>
      <c r="L423" t="str">
        <f t="shared" si="12"/>
        <v/>
      </c>
      <c r="M423" t="str">
        <f t="shared" si="13"/>
        <v>t.c</v>
      </c>
    </row>
    <row r="424" spans="2:13" x14ac:dyDescent="0.2">
      <c r="E424" t="s">
        <v>304</v>
      </c>
      <c r="F424" t="s">
        <v>1656</v>
      </c>
      <c r="L424" t="str">
        <f t="shared" si="12"/>
        <v xml:space="preserve"> 5</v>
      </c>
      <c r="M424" t="str">
        <f t="shared" si="13"/>
        <v>CHC</v>
      </c>
    </row>
    <row r="425" spans="2:13" hidden="1" x14ac:dyDescent="0.2">
      <c r="F425" t="s">
        <v>1657</v>
      </c>
      <c r="L425" t="str">
        <f t="shared" si="12"/>
        <v/>
      </c>
      <c r="M425" t="str">
        <f t="shared" si="13"/>
        <v>UAU</v>
      </c>
    </row>
    <row r="426" spans="2:13" hidden="1" x14ac:dyDescent="0.2">
      <c r="F426" t="s">
        <v>297</v>
      </c>
      <c r="L426" t="str">
        <f t="shared" si="12"/>
        <v/>
      </c>
      <c r="M426" t="str">
        <f t="shared" si="13"/>
        <v>pti</v>
      </c>
    </row>
    <row r="427" spans="2:13" hidden="1" x14ac:dyDescent="0.2">
      <c r="L427" t="str">
        <f t="shared" si="12"/>
        <v/>
      </c>
      <c r="M427" t="str">
        <f t="shared" si="13"/>
        <v/>
      </c>
    </row>
    <row r="428" spans="2:13" hidden="1" x14ac:dyDescent="0.2">
      <c r="B428" t="s">
        <v>294</v>
      </c>
      <c r="L428" t="str">
        <f t="shared" si="12"/>
        <v/>
      </c>
      <c r="M428" t="str">
        <f t="shared" si="13"/>
        <v/>
      </c>
    </row>
    <row r="429" spans="2:13" hidden="1" x14ac:dyDescent="0.2">
      <c r="C429" t="s">
        <v>294</v>
      </c>
      <c r="E429" t="s">
        <v>298</v>
      </c>
      <c r="L429" t="str">
        <f t="shared" si="12"/>
        <v/>
      </c>
      <c r="M429" t="str">
        <f t="shared" si="13"/>
        <v/>
      </c>
    </row>
    <row r="430" spans="2:13" hidden="1" x14ac:dyDescent="0.2">
      <c r="C430" t="s">
        <v>294</v>
      </c>
      <c r="F430" t="s">
        <v>296</v>
      </c>
      <c r="L430" t="str">
        <f t="shared" si="12"/>
        <v/>
      </c>
      <c r="M430" t="str">
        <f t="shared" si="13"/>
        <v>t.c</v>
      </c>
    </row>
    <row r="431" spans="2:13" x14ac:dyDescent="0.2">
      <c r="E431" t="s">
        <v>304</v>
      </c>
      <c r="F431" t="s">
        <v>1658</v>
      </c>
      <c r="L431" t="str">
        <f t="shared" si="12"/>
        <v xml:space="preserve"> 5</v>
      </c>
      <c r="M431" t="str">
        <f t="shared" si="13"/>
        <v>LZM</v>
      </c>
    </row>
    <row r="432" spans="2:13" hidden="1" x14ac:dyDescent="0.2">
      <c r="F432" t="s">
        <v>802</v>
      </c>
      <c r="L432" t="str">
        <f t="shared" si="12"/>
        <v/>
      </c>
      <c r="M432" t="str">
        <f t="shared" si="13"/>
        <v>OPE</v>
      </c>
    </row>
    <row r="433" spans="2:13" hidden="1" x14ac:dyDescent="0.2">
      <c r="F433" t="s">
        <v>297</v>
      </c>
      <c r="L433" t="str">
        <f t="shared" si="12"/>
        <v/>
      </c>
      <c r="M433" t="str">
        <f t="shared" si="13"/>
        <v>pti</v>
      </c>
    </row>
    <row r="434" spans="2:13" hidden="1" x14ac:dyDescent="0.2">
      <c r="L434" t="str">
        <f t="shared" si="12"/>
        <v/>
      </c>
      <c r="M434" t="str">
        <f t="shared" si="13"/>
        <v/>
      </c>
    </row>
    <row r="435" spans="2:13" hidden="1" x14ac:dyDescent="0.2">
      <c r="B435" t="s">
        <v>294</v>
      </c>
      <c r="L435" t="str">
        <f t="shared" si="12"/>
        <v/>
      </c>
      <c r="M435" t="str">
        <f t="shared" si="13"/>
        <v/>
      </c>
    </row>
    <row r="436" spans="2:13" hidden="1" x14ac:dyDescent="0.2">
      <c r="C436" t="s">
        <v>294</v>
      </c>
      <c r="E436" t="s">
        <v>298</v>
      </c>
      <c r="L436" t="str">
        <f t="shared" si="12"/>
        <v/>
      </c>
      <c r="M436" t="str">
        <f t="shared" si="13"/>
        <v/>
      </c>
    </row>
    <row r="437" spans="2:13" hidden="1" x14ac:dyDescent="0.2">
      <c r="C437" t="s">
        <v>294</v>
      </c>
      <c r="F437" t="s">
        <v>296</v>
      </c>
      <c r="L437" t="str">
        <f t="shared" si="12"/>
        <v/>
      </c>
      <c r="M437" t="str">
        <f t="shared" si="13"/>
        <v>t.c</v>
      </c>
    </row>
    <row r="438" spans="2:13" x14ac:dyDescent="0.2">
      <c r="E438" t="s">
        <v>304</v>
      </c>
      <c r="F438" t="s">
        <v>1659</v>
      </c>
      <c r="L438" t="str">
        <f t="shared" si="12"/>
        <v xml:space="preserve"> 5</v>
      </c>
      <c r="M438" t="str">
        <f t="shared" si="13"/>
        <v>MTC</v>
      </c>
    </row>
    <row r="439" spans="2:13" hidden="1" x14ac:dyDescent="0.2">
      <c r="F439" t="s">
        <v>1660</v>
      </c>
      <c r="L439" t="str">
        <f t="shared" si="12"/>
        <v/>
      </c>
      <c r="M439" t="str">
        <f t="shared" si="13"/>
        <v>ANI</v>
      </c>
    </row>
    <row r="440" spans="2:13" hidden="1" x14ac:dyDescent="0.2">
      <c r="F440" t="s">
        <v>297</v>
      </c>
      <c r="L440" t="str">
        <f t="shared" si="12"/>
        <v/>
      </c>
      <c r="M440" t="str">
        <f t="shared" si="13"/>
        <v>pti</v>
      </c>
    </row>
    <row r="441" spans="2:13" hidden="1" x14ac:dyDescent="0.2">
      <c r="L441" t="str">
        <f t="shared" si="12"/>
        <v/>
      </c>
      <c r="M441" t="str">
        <f t="shared" si="13"/>
        <v/>
      </c>
    </row>
    <row r="442" spans="2:13" hidden="1" x14ac:dyDescent="0.2">
      <c r="B442" t="s">
        <v>294</v>
      </c>
      <c r="L442" t="str">
        <f t="shared" si="12"/>
        <v/>
      </c>
      <c r="M442" t="str">
        <f t="shared" si="13"/>
        <v/>
      </c>
    </row>
    <row r="443" spans="2:13" hidden="1" x14ac:dyDescent="0.2">
      <c r="C443" t="s">
        <v>294</v>
      </c>
      <c r="E443" t="s">
        <v>298</v>
      </c>
      <c r="L443" t="str">
        <f t="shared" si="12"/>
        <v/>
      </c>
      <c r="M443" t="str">
        <f t="shared" si="13"/>
        <v/>
      </c>
    </row>
    <row r="444" spans="2:13" hidden="1" x14ac:dyDescent="0.2">
      <c r="C444" t="s">
        <v>294</v>
      </c>
      <c r="F444" t="s">
        <v>296</v>
      </c>
      <c r="L444" t="str">
        <f t="shared" si="12"/>
        <v/>
      </c>
      <c r="M444" t="str">
        <f t="shared" si="13"/>
        <v>t.c</v>
      </c>
    </row>
    <row r="445" spans="2:13" x14ac:dyDescent="0.2">
      <c r="E445" t="s">
        <v>304</v>
      </c>
      <c r="F445" t="s">
        <v>1661</v>
      </c>
      <c r="L445" t="str">
        <f t="shared" si="12"/>
        <v xml:space="preserve"> 5</v>
      </c>
      <c r="M445" t="str">
        <f t="shared" si="13"/>
        <v>MBA</v>
      </c>
    </row>
    <row r="446" spans="2:13" hidden="1" x14ac:dyDescent="0.2">
      <c r="F446" t="s">
        <v>1662</v>
      </c>
      <c r="L446" t="str">
        <f t="shared" si="12"/>
        <v/>
      </c>
      <c r="M446" t="str">
        <f t="shared" si="13"/>
        <v>ANI</v>
      </c>
    </row>
    <row r="447" spans="2:13" hidden="1" x14ac:dyDescent="0.2">
      <c r="F447" t="s">
        <v>297</v>
      </c>
      <c r="L447" t="str">
        <f t="shared" si="12"/>
        <v/>
      </c>
      <c r="M447" t="str">
        <f t="shared" si="13"/>
        <v>pti</v>
      </c>
    </row>
    <row r="448" spans="2:13" hidden="1" x14ac:dyDescent="0.2">
      <c r="L448" t="str">
        <f t="shared" si="12"/>
        <v/>
      </c>
      <c r="M448" t="str">
        <f t="shared" si="13"/>
        <v/>
      </c>
    </row>
    <row r="449" spans="2:13" hidden="1" x14ac:dyDescent="0.2">
      <c r="B449" t="s">
        <v>294</v>
      </c>
      <c r="L449" t="str">
        <f t="shared" si="12"/>
        <v/>
      </c>
      <c r="M449" t="str">
        <f t="shared" si="13"/>
        <v/>
      </c>
    </row>
    <row r="450" spans="2:13" hidden="1" x14ac:dyDescent="0.2">
      <c r="C450" t="s">
        <v>294</v>
      </c>
      <c r="E450" t="s">
        <v>298</v>
      </c>
      <c r="L450" t="str">
        <f t="shared" si="12"/>
        <v/>
      </c>
      <c r="M450" t="str">
        <f t="shared" si="13"/>
        <v/>
      </c>
    </row>
    <row r="451" spans="2:13" hidden="1" x14ac:dyDescent="0.2">
      <c r="C451" t="s">
        <v>294</v>
      </c>
      <c r="F451" t="s">
        <v>296</v>
      </c>
      <c r="L451" t="str">
        <f t="shared" si="12"/>
        <v/>
      </c>
      <c r="M451" t="str">
        <f t="shared" si="13"/>
        <v>t.c</v>
      </c>
    </row>
    <row r="452" spans="2:13" x14ac:dyDescent="0.2">
      <c r="E452" t="s">
        <v>305</v>
      </c>
      <c r="F452" t="s">
        <v>1663</v>
      </c>
      <c r="L452" t="str">
        <f t="shared" si="12"/>
        <v xml:space="preserve"> 6</v>
      </c>
      <c r="M452" t="str">
        <f t="shared" si="13"/>
        <v>CND</v>
      </c>
    </row>
    <row r="453" spans="2:13" hidden="1" x14ac:dyDescent="0.2">
      <c r="F453" t="s">
        <v>1664</v>
      </c>
      <c r="L453" t="str">
        <f t="shared" ref="L453:L516" si="14">MID(E453,10,2)</f>
        <v/>
      </c>
      <c r="M453" t="str">
        <f t="shared" ref="M453:M516" si="15">MID(F453,24,3)</f>
        <v>ANA</v>
      </c>
    </row>
    <row r="454" spans="2:13" hidden="1" x14ac:dyDescent="0.2">
      <c r="F454" t="s">
        <v>297</v>
      </c>
      <c r="L454" t="str">
        <f t="shared" si="14"/>
        <v/>
      </c>
      <c r="M454" t="str">
        <f t="shared" si="15"/>
        <v>pti</v>
      </c>
    </row>
    <row r="455" spans="2:13" hidden="1" x14ac:dyDescent="0.2">
      <c r="L455" t="str">
        <f t="shared" si="14"/>
        <v/>
      </c>
      <c r="M455" t="str">
        <f t="shared" si="15"/>
        <v/>
      </c>
    </row>
    <row r="456" spans="2:13" hidden="1" x14ac:dyDescent="0.2">
      <c r="B456" t="s">
        <v>294</v>
      </c>
      <c r="L456" t="str">
        <f t="shared" si="14"/>
        <v/>
      </c>
      <c r="M456" t="str">
        <f t="shared" si="15"/>
        <v/>
      </c>
    </row>
    <row r="457" spans="2:13" hidden="1" x14ac:dyDescent="0.2">
      <c r="C457" t="s">
        <v>294</v>
      </c>
      <c r="E457" t="s">
        <v>298</v>
      </c>
      <c r="L457" t="str">
        <f t="shared" si="14"/>
        <v/>
      </c>
      <c r="M457" t="str">
        <f t="shared" si="15"/>
        <v/>
      </c>
    </row>
    <row r="458" spans="2:13" hidden="1" x14ac:dyDescent="0.2">
      <c r="C458" t="s">
        <v>294</v>
      </c>
      <c r="F458" t="s">
        <v>296</v>
      </c>
      <c r="L458" t="str">
        <f t="shared" si="14"/>
        <v/>
      </c>
      <c r="M458" t="str">
        <f t="shared" si="15"/>
        <v>t.c</v>
      </c>
    </row>
    <row r="459" spans="2:13" x14ac:dyDescent="0.2">
      <c r="E459" t="s">
        <v>305</v>
      </c>
      <c r="F459" t="s">
        <v>1665</v>
      </c>
      <c r="L459" t="str">
        <f t="shared" si="14"/>
        <v xml:space="preserve"> 6</v>
      </c>
      <c r="M459" t="str">
        <f t="shared" si="15"/>
        <v>CME</v>
      </c>
    </row>
    <row r="460" spans="2:13" hidden="1" x14ac:dyDescent="0.2">
      <c r="F460" t="s">
        <v>1666</v>
      </c>
      <c r="L460" t="str">
        <f t="shared" si="14"/>
        <v/>
      </c>
      <c r="M460" t="str">
        <f t="shared" si="15"/>
        <v>ERR</v>
      </c>
    </row>
    <row r="461" spans="2:13" hidden="1" x14ac:dyDescent="0.2">
      <c r="F461" t="s">
        <v>297</v>
      </c>
      <c r="L461" t="str">
        <f t="shared" si="14"/>
        <v/>
      </c>
      <c r="M461" t="str">
        <f t="shared" si="15"/>
        <v>pti</v>
      </c>
    </row>
    <row r="462" spans="2:13" hidden="1" x14ac:dyDescent="0.2">
      <c r="L462" t="str">
        <f t="shared" si="14"/>
        <v/>
      </c>
      <c r="M462" t="str">
        <f t="shared" si="15"/>
        <v/>
      </c>
    </row>
    <row r="463" spans="2:13" hidden="1" x14ac:dyDescent="0.2">
      <c r="B463" t="s">
        <v>294</v>
      </c>
      <c r="L463" t="str">
        <f t="shared" si="14"/>
        <v/>
      </c>
      <c r="M463" t="str">
        <f t="shared" si="15"/>
        <v/>
      </c>
    </row>
    <row r="464" spans="2:13" hidden="1" x14ac:dyDescent="0.2">
      <c r="C464" t="s">
        <v>294</v>
      </c>
      <c r="E464" t="s">
        <v>298</v>
      </c>
      <c r="L464" t="str">
        <f t="shared" si="14"/>
        <v/>
      </c>
      <c r="M464" t="str">
        <f t="shared" si="15"/>
        <v/>
      </c>
    </row>
    <row r="465" spans="2:13" hidden="1" x14ac:dyDescent="0.2">
      <c r="C465" t="s">
        <v>294</v>
      </c>
      <c r="F465" t="s">
        <v>296</v>
      </c>
      <c r="L465" t="str">
        <f t="shared" si="14"/>
        <v/>
      </c>
      <c r="M465" t="str">
        <f t="shared" si="15"/>
        <v>t.c</v>
      </c>
    </row>
    <row r="466" spans="2:13" x14ac:dyDescent="0.2">
      <c r="E466" t="s">
        <v>305</v>
      </c>
      <c r="F466" t="s">
        <v>1667</v>
      </c>
      <c r="L466" t="str">
        <f t="shared" si="14"/>
        <v xml:space="preserve"> 6</v>
      </c>
      <c r="M466" t="str">
        <f t="shared" si="15"/>
        <v>DGU</v>
      </c>
    </row>
    <row r="467" spans="2:13" hidden="1" x14ac:dyDescent="0.2">
      <c r="F467" t="s">
        <v>1668</v>
      </c>
      <c r="L467" t="str">
        <f t="shared" si="14"/>
        <v/>
      </c>
      <c r="M467" t="str">
        <f t="shared" si="15"/>
        <v>URA</v>
      </c>
    </row>
    <row r="468" spans="2:13" hidden="1" x14ac:dyDescent="0.2">
      <c r="F468" t="s">
        <v>297</v>
      </c>
      <c r="L468" t="str">
        <f t="shared" si="14"/>
        <v/>
      </c>
      <c r="M468" t="str">
        <f t="shared" si="15"/>
        <v>pti</v>
      </c>
    </row>
    <row r="469" spans="2:13" hidden="1" x14ac:dyDescent="0.2">
      <c r="L469" t="str">
        <f t="shared" si="14"/>
        <v/>
      </c>
      <c r="M469" t="str">
        <f t="shared" si="15"/>
        <v/>
      </c>
    </row>
    <row r="470" spans="2:13" hidden="1" x14ac:dyDescent="0.2">
      <c r="B470" t="s">
        <v>294</v>
      </c>
      <c r="L470" t="str">
        <f t="shared" si="14"/>
        <v/>
      </c>
      <c r="M470" t="str">
        <f t="shared" si="15"/>
        <v/>
      </c>
    </row>
    <row r="471" spans="2:13" hidden="1" x14ac:dyDescent="0.2">
      <c r="C471" t="s">
        <v>294</v>
      </c>
      <c r="E471" t="s">
        <v>298</v>
      </c>
      <c r="L471" t="str">
        <f t="shared" si="14"/>
        <v/>
      </c>
      <c r="M471" t="str">
        <f t="shared" si="15"/>
        <v/>
      </c>
    </row>
    <row r="472" spans="2:13" hidden="1" x14ac:dyDescent="0.2">
      <c r="C472" t="s">
        <v>294</v>
      </c>
      <c r="F472" t="s">
        <v>296</v>
      </c>
      <c r="L472" t="str">
        <f t="shared" si="14"/>
        <v/>
      </c>
      <c r="M472" t="str">
        <f t="shared" si="15"/>
        <v>t.c</v>
      </c>
    </row>
    <row r="473" spans="2:13" x14ac:dyDescent="0.2">
      <c r="E473" t="s">
        <v>305</v>
      </c>
      <c r="F473" t="s">
        <v>1669</v>
      </c>
      <c r="L473" t="str">
        <f t="shared" si="14"/>
        <v xml:space="preserve"> 6</v>
      </c>
      <c r="M473" t="str">
        <f t="shared" si="15"/>
        <v>ESL</v>
      </c>
    </row>
    <row r="474" spans="2:13" hidden="1" x14ac:dyDescent="0.2">
      <c r="F474" t="s">
        <v>1670</v>
      </c>
      <c r="L474" t="str">
        <f t="shared" si="14"/>
        <v/>
      </c>
      <c r="M474" t="str">
        <f t="shared" si="15"/>
        <v>L S</v>
      </c>
    </row>
    <row r="475" spans="2:13" hidden="1" x14ac:dyDescent="0.2">
      <c r="F475" t="s">
        <v>297</v>
      </c>
      <c r="L475" t="str">
        <f t="shared" si="14"/>
        <v/>
      </c>
      <c r="M475" t="str">
        <f t="shared" si="15"/>
        <v>pti</v>
      </c>
    </row>
    <row r="476" spans="2:13" hidden="1" x14ac:dyDescent="0.2">
      <c r="L476" t="str">
        <f t="shared" si="14"/>
        <v/>
      </c>
      <c r="M476" t="str">
        <f t="shared" si="15"/>
        <v/>
      </c>
    </row>
    <row r="477" spans="2:13" hidden="1" x14ac:dyDescent="0.2">
      <c r="B477" t="s">
        <v>294</v>
      </c>
      <c r="L477" t="str">
        <f t="shared" si="14"/>
        <v/>
      </c>
      <c r="M477" t="str">
        <f t="shared" si="15"/>
        <v/>
      </c>
    </row>
    <row r="478" spans="2:13" hidden="1" x14ac:dyDescent="0.2">
      <c r="C478" t="s">
        <v>294</v>
      </c>
      <c r="E478" t="s">
        <v>298</v>
      </c>
      <c r="L478" t="str">
        <f t="shared" si="14"/>
        <v/>
      </c>
      <c r="M478" t="str">
        <f t="shared" si="15"/>
        <v/>
      </c>
    </row>
    <row r="479" spans="2:13" hidden="1" x14ac:dyDescent="0.2">
      <c r="C479" t="s">
        <v>294</v>
      </c>
      <c r="F479" t="s">
        <v>296</v>
      </c>
      <c r="L479" t="str">
        <f t="shared" si="14"/>
        <v/>
      </c>
      <c r="M479" t="str">
        <f t="shared" si="15"/>
        <v>t.c</v>
      </c>
    </row>
    <row r="480" spans="2:13" x14ac:dyDescent="0.2">
      <c r="E480" t="s">
        <v>305</v>
      </c>
      <c r="F480" t="s">
        <v>1671</v>
      </c>
      <c r="L480" t="str">
        <f t="shared" si="14"/>
        <v xml:space="preserve"> 6</v>
      </c>
      <c r="M480" t="str">
        <f t="shared" si="15"/>
        <v>GVR</v>
      </c>
    </row>
    <row r="481" spans="2:13" hidden="1" x14ac:dyDescent="0.2">
      <c r="F481" t="s">
        <v>1672</v>
      </c>
      <c r="L481" t="str">
        <f t="shared" si="14"/>
        <v/>
      </c>
      <c r="M481" t="str">
        <f t="shared" si="15"/>
        <v>UAD</v>
      </c>
    </row>
    <row r="482" spans="2:13" hidden="1" x14ac:dyDescent="0.2">
      <c r="F482" t="s">
        <v>297</v>
      </c>
      <c r="L482" t="str">
        <f t="shared" si="14"/>
        <v/>
      </c>
      <c r="M482" t="str">
        <f t="shared" si="15"/>
        <v>pti</v>
      </c>
    </row>
    <row r="483" spans="2:13" hidden="1" x14ac:dyDescent="0.2">
      <c r="L483" t="str">
        <f t="shared" si="14"/>
        <v/>
      </c>
      <c r="M483" t="str">
        <f t="shared" si="15"/>
        <v/>
      </c>
    </row>
    <row r="484" spans="2:13" hidden="1" x14ac:dyDescent="0.2">
      <c r="B484" t="s">
        <v>294</v>
      </c>
      <c r="L484" t="str">
        <f t="shared" si="14"/>
        <v/>
      </c>
      <c r="M484" t="str">
        <f t="shared" si="15"/>
        <v/>
      </c>
    </row>
    <row r="485" spans="2:13" hidden="1" x14ac:dyDescent="0.2">
      <c r="C485" t="s">
        <v>294</v>
      </c>
      <c r="E485" t="s">
        <v>298</v>
      </c>
      <c r="L485" t="str">
        <f t="shared" si="14"/>
        <v/>
      </c>
      <c r="M485" t="str">
        <f t="shared" si="15"/>
        <v/>
      </c>
    </row>
    <row r="486" spans="2:13" hidden="1" x14ac:dyDescent="0.2">
      <c r="C486" t="s">
        <v>294</v>
      </c>
      <c r="F486" t="s">
        <v>296</v>
      </c>
      <c r="L486" t="str">
        <f t="shared" si="14"/>
        <v/>
      </c>
      <c r="M486" t="str">
        <f t="shared" si="15"/>
        <v>t.c</v>
      </c>
    </row>
    <row r="487" spans="2:13" x14ac:dyDescent="0.2">
      <c r="E487" t="s">
        <v>305</v>
      </c>
      <c r="F487" t="s">
        <v>1673</v>
      </c>
      <c r="L487" t="str">
        <f t="shared" si="14"/>
        <v xml:space="preserve"> 6</v>
      </c>
      <c r="M487" t="str">
        <f t="shared" si="15"/>
        <v>GDN</v>
      </c>
    </row>
    <row r="488" spans="2:13" hidden="1" x14ac:dyDescent="0.2">
      <c r="F488" t="s">
        <v>1674</v>
      </c>
      <c r="L488" t="str">
        <f t="shared" si="14"/>
        <v/>
      </c>
      <c r="M488" t="str">
        <f t="shared" si="15"/>
        <v>UAD</v>
      </c>
    </row>
    <row r="489" spans="2:13" hidden="1" x14ac:dyDescent="0.2">
      <c r="F489" t="s">
        <v>297</v>
      </c>
      <c r="L489" t="str">
        <f t="shared" si="14"/>
        <v/>
      </c>
      <c r="M489" t="str">
        <f t="shared" si="15"/>
        <v>pti</v>
      </c>
    </row>
    <row r="490" spans="2:13" hidden="1" x14ac:dyDescent="0.2">
      <c r="L490" t="str">
        <f t="shared" si="14"/>
        <v/>
      </c>
      <c r="M490" t="str">
        <f t="shared" si="15"/>
        <v/>
      </c>
    </row>
    <row r="491" spans="2:13" hidden="1" x14ac:dyDescent="0.2">
      <c r="B491" t="s">
        <v>294</v>
      </c>
      <c r="L491" t="str">
        <f t="shared" si="14"/>
        <v/>
      </c>
      <c r="M491" t="str">
        <f t="shared" si="15"/>
        <v/>
      </c>
    </row>
    <row r="492" spans="2:13" hidden="1" x14ac:dyDescent="0.2">
      <c r="C492" t="s">
        <v>294</v>
      </c>
      <c r="E492" t="s">
        <v>298</v>
      </c>
      <c r="L492" t="str">
        <f t="shared" si="14"/>
        <v/>
      </c>
      <c r="M492" t="str">
        <f t="shared" si="15"/>
        <v/>
      </c>
    </row>
    <row r="493" spans="2:13" hidden="1" x14ac:dyDescent="0.2">
      <c r="C493" t="s">
        <v>294</v>
      </c>
      <c r="F493" t="s">
        <v>296</v>
      </c>
      <c r="L493" t="str">
        <f t="shared" si="14"/>
        <v/>
      </c>
      <c r="M493" t="str">
        <f t="shared" si="15"/>
        <v>t.c</v>
      </c>
    </row>
    <row r="494" spans="2:13" x14ac:dyDescent="0.2">
      <c r="E494" t="s">
        <v>305</v>
      </c>
      <c r="F494" t="s">
        <v>1675</v>
      </c>
      <c r="L494" t="str">
        <f t="shared" si="14"/>
        <v xml:space="preserve"> 6</v>
      </c>
      <c r="M494" t="str">
        <f t="shared" si="15"/>
        <v>QDO</v>
      </c>
    </row>
    <row r="495" spans="2:13" hidden="1" x14ac:dyDescent="0.2">
      <c r="F495" t="s">
        <v>1676</v>
      </c>
      <c r="L495" t="str">
        <f t="shared" si="14"/>
        <v/>
      </c>
      <c r="M495" t="str">
        <f t="shared" si="15"/>
        <v>UIN</v>
      </c>
    </row>
    <row r="496" spans="2:13" hidden="1" x14ac:dyDescent="0.2">
      <c r="F496" t="s">
        <v>297</v>
      </c>
      <c r="L496" t="str">
        <f t="shared" si="14"/>
        <v/>
      </c>
      <c r="M496" t="str">
        <f t="shared" si="15"/>
        <v>pti</v>
      </c>
    </row>
    <row r="497" spans="2:13" hidden="1" x14ac:dyDescent="0.2">
      <c r="L497" t="str">
        <f t="shared" si="14"/>
        <v/>
      </c>
      <c r="M497" t="str">
        <f t="shared" si="15"/>
        <v/>
      </c>
    </row>
    <row r="498" spans="2:13" hidden="1" x14ac:dyDescent="0.2">
      <c r="B498" t="s">
        <v>294</v>
      </c>
      <c r="L498" t="str">
        <f t="shared" si="14"/>
        <v/>
      </c>
      <c r="M498" t="str">
        <f t="shared" si="15"/>
        <v/>
      </c>
    </row>
    <row r="499" spans="2:13" hidden="1" x14ac:dyDescent="0.2">
      <c r="C499" t="s">
        <v>294</v>
      </c>
      <c r="E499" t="s">
        <v>298</v>
      </c>
      <c r="L499" t="str">
        <f t="shared" si="14"/>
        <v/>
      </c>
      <c r="M499" t="str">
        <f t="shared" si="15"/>
        <v/>
      </c>
    </row>
    <row r="500" spans="2:13" hidden="1" x14ac:dyDescent="0.2">
      <c r="C500" t="s">
        <v>294</v>
      </c>
      <c r="F500" t="s">
        <v>296</v>
      </c>
      <c r="L500" t="str">
        <f t="shared" si="14"/>
        <v/>
      </c>
      <c r="M500" t="str">
        <f t="shared" si="15"/>
        <v>t.c</v>
      </c>
    </row>
    <row r="501" spans="2:13" x14ac:dyDescent="0.2">
      <c r="E501" t="s">
        <v>305</v>
      </c>
      <c r="F501" t="s">
        <v>1677</v>
      </c>
      <c r="L501" t="str">
        <f t="shared" si="14"/>
        <v xml:space="preserve"> 6</v>
      </c>
      <c r="M501" t="str">
        <f t="shared" si="15"/>
        <v>VGR</v>
      </c>
    </row>
    <row r="502" spans="2:13" hidden="1" x14ac:dyDescent="0.2">
      <c r="F502" t="s">
        <v>1678</v>
      </c>
      <c r="L502" t="str">
        <f t="shared" si="14"/>
        <v/>
      </c>
      <c r="M502" t="str">
        <f t="shared" si="15"/>
        <v>ICE</v>
      </c>
    </row>
    <row r="503" spans="2:13" hidden="1" x14ac:dyDescent="0.2">
      <c r="F503" t="s">
        <v>297</v>
      </c>
      <c r="L503" t="str">
        <f t="shared" si="14"/>
        <v/>
      </c>
      <c r="M503" t="str">
        <f t="shared" si="15"/>
        <v>pti</v>
      </c>
    </row>
    <row r="504" spans="2:13" hidden="1" x14ac:dyDescent="0.2">
      <c r="L504" t="str">
        <f t="shared" si="14"/>
        <v/>
      </c>
      <c r="M504" t="str">
        <f t="shared" si="15"/>
        <v/>
      </c>
    </row>
    <row r="505" spans="2:13" hidden="1" x14ac:dyDescent="0.2">
      <c r="B505" t="s">
        <v>294</v>
      </c>
      <c r="L505" t="str">
        <f t="shared" si="14"/>
        <v/>
      </c>
      <c r="M505" t="str">
        <f t="shared" si="15"/>
        <v/>
      </c>
    </row>
    <row r="506" spans="2:13" hidden="1" x14ac:dyDescent="0.2">
      <c r="C506" t="s">
        <v>294</v>
      </c>
      <c r="E506" t="s">
        <v>298</v>
      </c>
      <c r="L506" t="str">
        <f t="shared" si="14"/>
        <v/>
      </c>
      <c r="M506" t="str">
        <f t="shared" si="15"/>
        <v/>
      </c>
    </row>
    <row r="507" spans="2:13" hidden="1" x14ac:dyDescent="0.2">
      <c r="C507" t="s">
        <v>294</v>
      </c>
      <c r="F507" t="s">
        <v>296</v>
      </c>
      <c r="L507" t="str">
        <f t="shared" si="14"/>
        <v/>
      </c>
      <c r="M507" t="str">
        <f t="shared" si="15"/>
        <v>t.c</v>
      </c>
    </row>
    <row r="508" spans="2:13" x14ac:dyDescent="0.2">
      <c r="E508" t="s">
        <v>306</v>
      </c>
      <c r="F508" t="s">
        <v>1679</v>
      </c>
      <c r="L508" t="str">
        <f t="shared" si="14"/>
        <v xml:space="preserve"> 7</v>
      </c>
      <c r="M508" t="str">
        <f t="shared" si="15"/>
        <v>ABA</v>
      </c>
    </row>
    <row r="509" spans="2:13" hidden="1" x14ac:dyDescent="0.2">
      <c r="F509" t="s">
        <v>1680</v>
      </c>
      <c r="L509" t="str">
        <f t="shared" si="14"/>
        <v/>
      </c>
      <c r="M509" t="str">
        <f t="shared" si="15"/>
        <v>BAS</v>
      </c>
    </row>
    <row r="510" spans="2:13" hidden="1" x14ac:dyDescent="0.2">
      <c r="F510" t="s">
        <v>297</v>
      </c>
      <c r="L510" t="str">
        <f t="shared" si="14"/>
        <v/>
      </c>
      <c r="M510" t="str">
        <f t="shared" si="15"/>
        <v>pti</v>
      </c>
    </row>
    <row r="511" spans="2:13" hidden="1" x14ac:dyDescent="0.2">
      <c r="L511" t="str">
        <f t="shared" si="14"/>
        <v/>
      </c>
      <c r="M511" t="str">
        <f t="shared" si="15"/>
        <v/>
      </c>
    </row>
    <row r="512" spans="2:13" hidden="1" x14ac:dyDescent="0.2">
      <c r="B512" t="s">
        <v>294</v>
      </c>
      <c r="L512" t="str">
        <f t="shared" si="14"/>
        <v/>
      </c>
      <c r="M512" t="str">
        <f t="shared" si="15"/>
        <v/>
      </c>
    </row>
    <row r="513" spans="2:13" hidden="1" x14ac:dyDescent="0.2">
      <c r="C513" t="s">
        <v>294</v>
      </c>
      <c r="E513" t="s">
        <v>298</v>
      </c>
      <c r="L513" t="str">
        <f t="shared" si="14"/>
        <v/>
      </c>
      <c r="M513" t="str">
        <f t="shared" si="15"/>
        <v/>
      </c>
    </row>
    <row r="514" spans="2:13" hidden="1" x14ac:dyDescent="0.2">
      <c r="C514" t="s">
        <v>294</v>
      </c>
      <c r="F514" t="s">
        <v>296</v>
      </c>
      <c r="L514" t="str">
        <f t="shared" si="14"/>
        <v/>
      </c>
      <c r="M514" t="str">
        <f t="shared" si="15"/>
        <v>t.c</v>
      </c>
    </row>
    <row r="515" spans="2:13" x14ac:dyDescent="0.2">
      <c r="E515" t="s">
        <v>306</v>
      </c>
      <c r="F515" t="s">
        <v>1681</v>
      </c>
      <c r="L515" t="str">
        <f t="shared" si="14"/>
        <v xml:space="preserve"> 7</v>
      </c>
      <c r="M515" t="str">
        <f t="shared" si="15"/>
        <v>ALL</v>
      </c>
    </row>
    <row r="516" spans="2:13" hidden="1" x14ac:dyDescent="0.2">
      <c r="F516" t="s">
        <v>1682</v>
      </c>
      <c r="L516" t="str">
        <f t="shared" si="14"/>
        <v/>
      </c>
      <c r="M516" t="str">
        <f t="shared" si="15"/>
        <v>LLE</v>
      </c>
    </row>
    <row r="517" spans="2:13" hidden="1" x14ac:dyDescent="0.2">
      <c r="F517" t="s">
        <v>297</v>
      </c>
      <c r="L517" t="str">
        <f t="shared" ref="L517:L580" si="16">MID(E517,10,2)</f>
        <v/>
      </c>
      <c r="M517" t="str">
        <f t="shared" ref="M517:M580" si="17">MID(F517,24,3)</f>
        <v>pti</v>
      </c>
    </row>
    <row r="518" spans="2:13" hidden="1" x14ac:dyDescent="0.2">
      <c r="L518" t="str">
        <f t="shared" si="16"/>
        <v/>
      </c>
      <c r="M518" t="str">
        <f t="shared" si="17"/>
        <v/>
      </c>
    </row>
    <row r="519" spans="2:13" hidden="1" x14ac:dyDescent="0.2">
      <c r="B519" t="s">
        <v>294</v>
      </c>
      <c r="L519" t="str">
        <f t="shared" si="16"/>
        <v/>
      </c>
      <c r="M519" t="str">
        <f t="shared" si="17"/>
        <v/>
      </c>
    </row>
    <row r="520" spans="2:13" hidden="1" x14ac:dyDescent="0.2">
      <c r="C520" t="s">
        <v>294</v>
      </c>
      <c r="E520" t="s">
        <v>298</v>
      </c>
      <c r="L520" t="str">
        <f t="shared" si="16"/>
        <v/>
      </c>
      <c r="M520" t="str">
        <f t="shared" si="17"/>
        <v/>
      </c>
    </row>
    <row r="521" spans="2:13" hidden="1" x14ac:dyDescent="0.2">
      <c r="C521" t="s">
        <v>294</v>
      </c>
      <c r="F521" t="s">
        <v>296</v>
      </c>
      <c r="L521" t="str">
        <f t="shared" si="16"/>
        <v/>
      </c>
      <c r="M521" t="str">
        <f t="shared" si="17"/>
        <v>t.c</v>
      </c>
    </row>
    <row r="522" spans="2:13" x14ac:dyDescent="0.2">
      <c r="E522" t="s">
        <v>306</v>
      </c>
      <c r="F522" t="s">
        <v>1683</v>
      </c>
      <c r="L522" t="str">
        <f t="shared" si="16"/>
        <v xml:space="preserve"> 7</v>
      </c>
      <c r="M522" t="str">
        <f t="shared" si="17"/>
        <v>ADI</v>
      </c>
    </row>
    <row r="523" spans="2:13" hidden="1" x14ac:dyDescent="0.2">
      <c r="F523" t="s">
        <v>1684</v>
      </c>
      <c r="L523" t="str">
        <f t="shared" si="16"/>
        <v/>
      </c>
      <c r="M523" t="str">
        <f t="shared" si="17"/>
        <v>RCA</v>
      </c>
    </row>
    <row r="524" spans="2:13" hidden="1" x14ac:dyDescent="0.2">
      <c r="F524" t="s">
        <v>297</v>
      </c>
      <c r="L524" t="str">
        <f t="shared" si="16"/>
        <v/>
      </c>
      <c r="M524" t="str">
        <f t="shared" si="17"/>
        <v>pti</v>
      </c>
    </row>
    <row r="525" spans="2:13" hidden="1" x14ac:dyDescent="0.2">
      <c r="L525" t="str">
        <f t="shared" si="16"/>
        <v/>
      </c>
      <c r="M525" t="str">
        <f t="shared" si="17"/>
        <v/>
      </c>
    </row>
    <row r="526" spans="2:13" hidden="1" x14ac:dyDescent="0.2">
      <c r="B526" t="s">
        <v>294</v>
      </c>
      <c r="L526" t="str">
        <f t="shared" si="16"/>
        <v/>
      </c>
      <c r="M526" t="str">
        <f t="shared" si="17"/>
        <v/>
      </c>
    </row>
    <row r="527" spans="2:13" hidden="1" x14ac:dyDescent="0.2">
      <c r="C527" t="s">
        <v>294</v>
      </c>
      <c r="E527" t="s">
        <v>298</v>
      </c>
      <c r="L527" t="str">
        <f t="shared" si="16"/>
        <v/>
      </c>
      <c r="M527" t="str">
        <f t="shared" si="17"/>
        <v/>
      </c>
    </row>
    <row r="528" spans="2:13" hidden="1" x14ac:dyDescent="0.2">
      <c r="C528" t="s">
        <v>294</v>
      </c>
      <c r="F528" t="s">
        <v>296</v>
      </c>
      <c r="L528" t="str">
        <f t="shared" si="16"/>
        <v/>
      </c>
      <c r="M528" t="str">
        <f t="shared" si="17"/>
        <v>t.c</v>
      </c>
    </row>
    <row r="529" spans="2:13" x14ac:dyDescent="0.2">
      <c r="E529" t="s">
        <v>306</v>
      </c>
      <c r="F529" t="s">
        <v>1685</v>
      </c>
      <c r="L529" t="str">
        <f t="shared" si="16"/>
        <v xml:space="preserve"> 7</v>
      </c>
      <c r="M529" t="str">
        <f t="shared" si="17"/>
        <v>BAT</v>
      </c>
    </row>
    <row r="530" spans="2:13" hidden="1" x14ac:dyDescent="0.2">
      <c r="F530" t="s">
        <v>1686</v>
      </c>
      <c r="L530" t="str">
        <f t="shared" si="16"/>
        <v/>
      </c>
      <c r="M530" t="str">
        <f t="shared" si="17"/>
        <v>ATO</v>
      </c>
    </row>
    <row r="531" spans="2:13" hidden="1" x14ac:dyDescent="0.2">
      <c r="F531" t="s">
        <v>297</v>
      </c>
      <c r="L531" t="str">
        <f t="shared" si="16"/>
        <v/>
      </c>
      <c r="M531" t="str">
        <f t="shared" si="17"/>
        <v>pti</v>
      </c>
    </row>
    <row r="532" spans="2:13" hidden="1" x14ac:dyDescent="0.2">
      <c r="L532" t="str">
        <f t="shared" si="16"/>
        <v/>
      </c>
      <c r="M532" t="str">
        <f t="shared" si="17"/>
        <v/>
      </c>
    </row>
    <row r="533" spans="2:13" hidden="1" x14ac:dyDescent="0.2">
      <c r="B533" t="s">
        <v>294</v>
      </c>
      <c r="L533" t="str">
        <f t="shared" si="16"/>
        <v/>
      </c>
      <c r="M533" t="str">
        <f t="shared" si="17"/>
        <v/>
      </c>
    </row>
    <row r="534" spans="2:13" hidden="1" x14ac:dyDescent="0.2">
      <c r="C534" t="s">
        <v>294</v>
      </c>
      <c r="E534" t="s">
        <v>298</v>
      </c>
      <c r="L534" t="str">
        <f t="shared" si="16"/>
        <v/>
      </c>
      <c r="M534" t="str">
        <f t="shared" si="17"/>
        <v/>
      </c>
    </row>
    <row r="535" spans="2:13" hidden="1" x14ac:dyDescent="0.2">
      <c r="C535" t="s">
        <v>294</v>
      </c>
      <c r="F535" t="s">
        <v>296</v>
      </c>
      <c r="L535" t="str">
        <f t="shared" si="16"/>
        <v/>
      </c>
      <c r="M535" t="str">
        <f t="shared" si="17"/>
        <v>t.c</v>
      </c>
    </row>
    <row r="536" spans="2:13" x14ac:dyDescent="0.2">
      <c r="E536" t="s">
        <v>306</v>
      </c>
      <c r="F536" t="s">
        <v>1687</v>
      </c>
      <c r="L536" t="str">
        <f t="shared" si="16"/>
        <v xml:space="preserve"> 7</v>
      </c>
      <c r="M536" t="str">
        <f t="shared" si="17"/>
        <v>CFN</v>
      </c>
    </row>
    <row r="537" spans="2:13" hidden="1" x14ac:dyDescent="0.2">
      <c r="F537" t="s">
        <v>1688</v>
      </c>
      <c r="L537" t="str">
        <f t="shared" si="16"/>
        <v/>
      </c>
      <c r="M537" t="str">
        <f t="shared" si="17"/>
        <v>ALI</v>
      </c>
    </row>
    <row r="538" spans="2:13" hidden="1" x14ac:dyDescent="0.2">
      <c r="F538" t="s">
        <v>297</v>
      </c>
      <c r="L538" t="str">
        <f t="shared" si="16"/>
        <v/>
      </c>
      <c r="M538" t="str">
        <f t="shared" si="17"/>
        <v>pti</v>
      </c>
    </row>
    <row r="539" spans="2:13" hidden="1" x14ac:dyDescent="0.2">
      <c r="L539" t="str">
        <f t="shared" si="16"/>
        <v/>
      </c>
      <c r="M539" t="str">
        <f t="shared" si="17"/>
        <v/>
      </c>
    </row>
    <row r="540" spans="2:13" hidden="1" x14ac:dyDescent="0.2">
      <c r="B540" t="s">
        <v>294</v>
      </c>
      <c r="L540" t="str">
        <f t="shared" si="16"/>
        <v/>
      </c>
      <c r="M540" t="str">
        <f t="shared" si="17"/>
        <v/>
      </c>
    </row>
    <row r="541" spans="2:13" hidden="1" x14ac:dyDescent="0.2">
      <c r="C541" t="s">
        <v>294</v>
      </c>
      <c r="E541" t="s">
        <v>298</v>
      </c>
      <c r="L541" t="str">
        <f t="shared" si="16"/>
        <v/>
      </c>
      <c r="M541" t="str">
        <f t="shared" si="17"/>
        <v/>
      </c>
    </row>
    <row r="542" spans="2:13" hidden="1" x14ac:dyDescent="0.2">
      <c r="C542" t="s">
        <v>294</v>
      </c>
      <c r="F542" t="s">
        <v>296</v>
      </c>
      <c r="L542" t="str">
        <f t="shared" si="16"/>
        <v/>
      </c>
      <c r="M542" t="str">
        <f t="shared" si="17"/>
        <v>t.c</v>
      </c>
    </row>
    <row r="543" spans="2:13" x14ac:dyDescent="0.2">
      <c r="E543" t="s">
        <v>306</v>
      </c>
      <c r="F543" t="s">
        <v>1689</v>
      </c>
      <c r="L543" t="str">
        <f t="shared" si="16"/>
        <v xml:space="preserve"> 7</v>
      </c>
      <c r="M543" t="str">
        <f t="shared" si="17"/>
        <v>CEM</v>
      </c>
    </row>
    <row r="544" spans="2:13" hidden="1" x14ac:dyDescent="0.2">
      <c r="F544" t="s">
        <v>1690</v>
      </c>
      <c r="L544" t="str">
        <f t="shared" si="16"/>
        <v/>
      </c>
      <c r="M544" t="str">
        <f t="shared" si="17"/>
        <v>EME</v>
      </c>
    </row>
    <row r="545" spans="2:13" hidden="1" x14ac:dyDescent="0.2">
      <c r="F545" t="s">
        <v>297</v>
      </c>
      <c r="L545" t="str">
        <f t="shared" si="16"/>
        <v/>
      </c>
      <c r="M545" t="str">
        <f t="shared" si="17"/>
        <v>pti</v>
      </c>
    </row>
    <row r="546" spans="2:13" hidden="1" x14ac:dyDescent="0.2">
      <c r="L546" t="str">
        <f t="shared" si="16"/>
        <v/>
      </c>
      <c r="M546" t="str">
        <f t="shared" si="17"/>
        <v/>
      </c>
    </row>
    <row r="547" spans="2:13" hidden="1" x14ac:dyDescent="0.2">
      <c r="B547" t="s">
        <v>294</v>
      </c>
      <c r="L547" t="str">
        <f t="shared" si="16"/>
        <v/>
      </c>
      <c r="M547" t="str">
        <f t="shared" si="17"/>
        <v/>
      </c>
    </row>
    <row r="548" spans="2:13" hidden="1" x14ac:dyDescent="0.2">
      <c r="C548" t="s">
        <v>294</v>
      </c>
      <c r="E548" t="s">
        <v>298</v>
      </c>
      <c r="L548" t="str">
        <f t="shared" si="16"/>
        <v/>
      </c>
      <c r="M548" t="str">
        <f t="shared" si="17"/>
        <v/>
      </c>
    </row>
    <row r="549" spans="2:13" hidden="1" x14ac:dyDescent="0.2">
      <c r="C549" t="s">
        <v>294</v>
      </c>
      <c r="F549" t="s">
        <v>296</v>
      </c>
      <c r="L549" t="str">
        <f t="shared" si="16"/>
        <v/>
      </c>
      <c r="M549" t="str">
        <f t="shared" si="17"/>
        <v>t.c</v>
      </c>
    </row>
    <row r="550" spans="2:13" x14ac:dyDescent="0.2">
      <c r="E550" t="s">
        <v>306</v>
      </c>
      <c r="F550" t="s">
        <v>1691</v>
      </c>
      <c r="L550" t="str">
        <f t="shared" si="16"/>
        <v xml:space="preserve"> 7</v>
      </c>
      <c r="M550" t="str">
        <f t="shared" si="17"/>
        <v>CZU</v>
      </c>
    </row>
    <row r="551" spans="2:13" hidden="1" x14ac:dyDescent="0.2">
      <c r="F551" t="s">
        <v>1692</v>
      </c>
      <c r="L551" t="str">
        <f t="shared" si="16"/>
        <v/>
      </c>
      <c r="M551" t="str">
        <f t="shared" si="17"/>
        <v>HAV</v>
      </c>
    </row>
    <row r="552" spans="2:13" hidden="1" x14ac:dyDescent="0.2">
      <c r="F552" t="s">
        <v>297</v>
      </c>
      <c r="L552" t="str">
        <f t="shared" si="16"/>
        <v/>
      </c>
      <c r="M552" t="str">
        <f t="shared" si="17"/>
        <v>pti</v>
      </c>
    </row>
    <row r="553" spans="2:13" hidden="1" x14ac:dyDescent="0.2">
      <c r="L553" t="str">
        <f t="shared" si="16"/>
        <v/>
      </c>
      <c r="M553" t="str">
        <f t="shared" si="17"/>
        <v/>
      </c>
    </row>
    <row r="554" spans="2:13" hidden="1" x14ac:dyDescent="0.2">
      <c r="B554" t="s">
        <v>294</v>
      </c>
      <c r="L554" t="str">
        <f t="shared" si="16"/>
        <v/>
      </c>
      <c r="M554" t="str">
        <f t="shared" si="17"/>
        <v/>
      </c>
    </row>
    <row r="555" spans="2:13" hidden="1" x14ac:dyDescent="0.2">
      <c r="C555" t="s">
        <v>294</v>
      </c>
      <c r="E555" t="s">
        <v>298</v>
      </c>
      <c r="L555" t="str">
        <f t="shared" si="16"/>
        <v/>
      </c>
      <c r="M555" t="str">
        <f t="shared" si="17"/>
        <v/>
      </c>
    </row>
    <row r="556" spans="2:13" hidden="1" x14ac:dyDescent="0.2">
      <c r="C556" t="s">
        <v>294</v>
      </c>
      <c r="F556" t="s">
        <v>296</v>
      </c>
      <c r="L556" t="str">
        <f t="shared" si="16"/>
        <v/>
      </c>
      <c r="M556" t="str">
        <f t="shared" si="17"/>
        <v>t.c</v>
      </c>
    </row>
    <row r="557" spans="2:13" x14ac:dyDescent="0.2">
      <c r="E557" t="s">
        <v>306</v>
      </c>
      <c r="F557" t="s">
        <v>1693</v>
      </c>
      <c r="L557" t="str">
        <f t="shared" si="16"/>
        <v xml:space="preserve"> 7</v>
      </c>
      <c r="M557" t="str">
        <f t="shared" si="17"/>
        <v>DGN</v>
      </c>
    </row>
    <row r="558" spans="2:13" hidden="1" x14ac:dyDescent="0.2">
      <c r="F558" t="s">
        <v>1694</v>
      </c>
      <c r="L558" t="str">
        <f t="shared" si="16"/>
        <v/>
      </c>
      <c r="M558" t="str">
        <f t="shared" si="17"/>
        <v>IAG</v>
      </c>
    </row>
    <row r="559" spans="2:13" hidden="1" x14ac:dyDescent="0.2">
      <c r="F559" t="s">
        <v>297</v>
      </c>
      <c r="L559" t="str">
        <f t="shared" si="16"/>
        <v/>
      </c>
      <c r="M559" t="str">
        <f t="shared" si="17"/>
        <v>pti</v>
      </c>
    </row>
    <row r="560" spans="2:13" hidden="1" x14ac:dyDescent="0.2">
      <c r="L560" t="str">
        <f t="shared" si="16"/>
        <v/>
      </c>
      <c r="M560" t="str">
        <f t="shared" si="17"/>
        <v/>
      </c>
    </row>
    <row r="561" spans="2:13" hidden="1" x14ac:dyDescent="0.2">
      <c r="B561" t="s">
        <v>294</v>
      </c>
      <c r="L561" t="str">
        <f t="shared" si="16"/>
        <v/>
      </c>
      <c r="M561" t="str">
        <f t="shared" si="17"/>
        <v/>
      </c>
    </row>
    <row r="562" spans="2:13" hidden="1" x14ac:dyDescent="0.2">
      <c r="C562" t="s">
        <v>294</v>
      </c>
      <c r="E562" t="s">
        <v>298</v>
      </c>
      <c r="L562" t="str">
        <f t="shared" si="16"/>
        <v/>
      </c>
      <c r="M562" t="str">
        <f t="shared" si="17"/>
        <v/>
      </c>
    </row>
    <row r="563" spans="2:13" hidden="1" x14ac:dyDescent="0.2">
      <c r="C563" t="s">
        <v>294</v>
      </c>
      <c r="F563" t="s">
        <v>296</v>
      </c>
      <c r="L563" t="str">
        <f t="shared" si="16"/>
        <v/>
      </c>
      <c r="M563" t="str">
        <f t="shared" si="17"/>
        <v>t.c</v>
      </c>
    </row>
    <row r="564" spans="2:13" x14ac:dyDescent="0.2">
      <c r="E564" t="s">
        <v>306</v>
      </c>
      <c r="F564" t="s">
        <v>1695</v>
      </c>
      <c r="L564" t="str">
        <f t="shared" si="16"/>
        <v xml:space="preserve"> 7</v>
      </c>
      <c r="M564" t="str">
        <f t="shared" si="17"/>
        <v>EZT</v>
      </c>
    </row>
    <row r="565" spans="2:13" hidden="1" x14ac:dyDescent="0.2">
      <c r="F565" t="s">
        <v>794</v>
      </c>
      <c r="L565" t="str">
        <f t="shared" si="16"/>
        <v/>
      </c>
      <c r="M565" t="str">
        <f t="shared" si="17"/>
        <v>MIL</v>
      </c>
    </row>
    <row r="566" spans="2:13" hidden="1" x14ac:dyDescent="0.2">
      <c r="F566" t="s">
        <v>297</v>
      </c>
      <c r="L566" t="str">
        <f t="shared" si="16"/>
        <v/>
      </c>
      <c r="M566" t="str">
        <f t="shared" si="17"/>
        <v>pti</v>
      </c>
    </row>
    <row r="567" spans="2:13" hidden="1" x14ac:dyDescent="0.2">
      <c r="L567" t="str">
        <f t="shared" si="16"/>
        <v/>
      </c>
      <c r="M567" t="str">
        <f t="shared" si="17"/>
        <v/>
      </c>
    </row>
    <row r="568" spans="2:13" hidden="1" x14ac:dyDescent="0.2">
      <c r="B568" t="s">
        <v>294</v>
      </c>
      <c r="L568" t="str">
        <f t="shared" si="16"/>
        <v/>
      </c>
      <c r="M568" t="str">
        <f t="shared" si="17"/>
        <v/>
      </c>
    </row>
    <row r="569" spans="2:13" hidden="1" x14ac:dyDescent="0.2">
      <c r="C569" t="s">
        <v>294</v>
      </c>
      <c r="E569" t="s">
        <v>298</v>
      </c>
      <c r="L569" t="str">
        <f t="shared" si="16"/>
        <v/>
      </c>
      <c r="M569" t="str">
        <f t="shared" si="17"/>
        <v/>
      </c>
    </row>
    <row r="570" spans="2:13" hidden="1" x14ac:dyDescent="0.2">
      <c r="C570" t="s">
        <v>294</v>
      </c>
      <c r="F570" t="s">
        <v>296</v>
      </c>
      <c r="L570" t="str">
        <f t="shared" si="16"/>
        <v/>
      </c>
      <c r="M570" t="str">
        <f t="shared" si="17"/>
        <v>t.c</v>
      </c>
    </row>
    <row r="571" spans="2:13" x14ac:dyDescent="0.2">
      <c r="E571" t="s">
        <v>306</v>
      </c>
      <c r="F571" t="s">
        <v>1696</v>
      </c>
      <c r="L571" t="str">
        <f t="shared" si="16"/>
        <v xml:space="preserve"> 7</v>
      </c>
      <c r="M571" t="str">
        <f t="shared" si="17"/>
        <v>EDU</v>
      </c>
    </row>
    <row r="572" spans="2:13" hidden="1" x14ac:dyDescent="0.2">
      <c r="F572" t="s">
        <v>1697</v>
      </c>
      <c r="L572" t="str">
        <f t="shared" si="16"/>
        <v/>
      </c>
      <c r="M572" t="str">
        <f t="shared" si="17"/>
        <v>SCU</v>
      </c>
    </row>
    <row r="573" spans="2:13" hidden="1" x14ac:dyDescent="0.2">
      <c r="F573" t="s">
        <v>297</v>
      </c>
      <c r="L573" t="str">
        <f t="shared" si="16"/>
        <v/>
      </c>
      <c r="M573" t="str">
        <f t="shared" si="17"/>
        <v>pti</v>
      </c>
    </row>
    <row r="574" spans="2:13" hidden="1" x14ac:dyDescent="0.2">
      <c r="L574" t="str">
        <f t="shared" si="16"/>
        <v/>
      </c>
      <c r="M574" t="str">
        <f t="shared" si="17"/>
        <v/>
      </c>
    </row>
    <row r="575" spans="2:13" hidden="1" x14ac:dyDescent="0.2">
      <c r="B575" t="s">
        <v>294</v>
      </c>
      <c r="L575" t="str">
        <f t="shared" si="16"/>
        <v/>
      </c>
      <c r="M575" t="str">
        <f t="shared" si="17"/>
        <v/>
      </c>
    </row>
    <row r="576" spans="2:13" hidden="1" x14ac:dyDescent="0.2">
      <c r="C576" t="s">
        <v>294</v>
      </c>
      <c r="E576" t="s">
        <v>298</v>
      </c>
      <c r="L576" t="str">
        <f t="shared" si="16"/>
        <v/>
      </c>
      <c r="M576" t="str">
        <f t="shared" si="17"/>
        <v/>
      </c>
    </row>
    <row r="577" spans="2:13" hidden="1" x14ac:dyDescent="0.2">
      <c r="C577" t="s">
        <v>294</v>
      </c>
      <c r="F577" t="s">
        <v>296</v>
      </c>
      <c r="L577" t="str">
        <f t="shared" si="16"/>
        <v/>
      </c>
      <c r="M577" t="str">
        <f t="shared" si="17"/>
        <v>t.c</v>
      </c>
    </row>
    <row r="578" spans="2:13" x14ac:dyDescent="0.2">
      <c r="E578" t="s">
        <v>306</v>
      </c>
      <c r="F578" t="s">
        <v>1698</v>
      </c>
      <c r="L578" t="str">
        <f t="shared" si="16"/>
        <v xml:space="preserve"> 7</v>
      </c>
      <c r="M578" t="str">
        <f t="shared" si="17"/>
        <v>LRT</v>
      </c>
    </row>
    <row r="579" spans="2:13" hidden="1" x14ac:dyDescent="0.2">
      <c r="F579" t="s">
        <v>1699</v>
      </c>
      <c r="L579" t="str">
        <f t="shared" si="16"/>
        <v/>
      </c>
      <c r="M579" t="str">
        <f t="shared" si="17"/>
        <v>A R</v>
      </c>
    </row>
    <row r="580" spans="2:13" hidden="1" x14ac:dyDescent="0.2">
      <c r="F580" t="s">
        <v>297</v>
      </c>
      <c r="L580" t="str">
        <f t="shared" si="16"/>
        <v/>
      </c>
      <c r="M580" t="str">
        <f t="shared" si="17"/>
        <v>pti</v>
      </c>
    </row>
    <row r="581" spans="2:13" hidden="1" x14ac:dyDescent="0.2">
      <c r="L581" t="str">
        <f t="shared" ref="L581:L644" si="18">MID(E581,10,2)</f>
        <v/>
      </c>
      <c r="M581" t="str">
        <f t="shared" ref="M581:M644" si="19">MID(F581,24,3)</f>
        <v/>
      </c>
    </row>
    <row r="582" spans="2:13" hidden="1" x14ac:dyDescent="0.2">
      <c r="B582" t="s">
        <v>294</v>
      </c>
      <c r="L582" t="str">
        <f t="shared" si="18"/>
        <v/>
      </c>
      <c r="M582" t="str">
        <f t="shared" si="19"/>
        <v/>
      </c>
    </row>
    <row r="583" spans="2:13" hidden="1" x14ac:dyDescent="0.2">
      <c r="C583" t="s">
        <v>294</v>
      </c>
      <c r="E583" t="s">
        <v>298</v>
      </c>
      <c r="L583" t="str">
        <f t="shared" si="18"/>
        <v/>
      </c>
      <c r="M583" t="str">
        <f t="shared" si="19"/>
        <v/>
      </c>
    </row>
    <row r="584" spans="2:13" hidden="1" x14ac:dyDescent="0.2">
      <c r="C584" t="s">
        <v>294</v>
      </c>
      <c r="F584" t="s">
        <v>296</v>
      </c>
      <c r="L584" t="str">
        <f t="shared" si="18"/>
        <v/>
      </c>
      <c r="M584" t="str">
        <f t="shared" si="19"/>
        <v>t.c</v>
      </c>
    </row>
    <row r="585" spans="2:13" x14ac:dyDescent="0.2">
      <c r="E585" t="s">
        <v>306</v>
      </c>
      <c r="F585" t="s">
        <v>1700</v>
      </c>
      <c r="L585" t="str">
        <f t="shared" si="18"/>
        <v xml:space="preserve"> 7</v>
      </c>
      <c r="M585" t="str">
        <f t="shared" si="19"/>
        <v>LRE</v>
      </c>
    </row>
    <row r="586" spans="2:13" hidden="1" x14ac:dyDescent="0.2">
      <c r="F586" t="s">
        <v>1701</v>
      </c>
      <c r="L586" t="str">
        <f t="shared" si="18"/>
        <v/>
      </c>
      <c r="M586" t="str">
        <f t="shared" si="19"/>
        <v>AGU</v>
      </c>
    </row>
    <row r="587" spans="2:13" hidden="1" x14ac:dyDescent="0.2">
      <c r="F587" t="s">
        <v>297</v>
      </c>
      <c r="L587" t="str">
        <f t="shared" si="18"/>
        <v/>
      </c>
      <c r="M587" t="str">
        <f t="shared" si="19"/>
        <v>pti</v>
      </c>
    </row>
    <row r="588" spans="2:13" hidden="1" x14ac:dyDescent="0.2">
      <c r="L588" t="str">
        <f t="shared" si="18"/>
        <v/>
      </c>
      <c r="M588" t="str">
        <f t="shared" si="19"/>
        <v/>
      </c>
    </row>
    <row r="589" spans="2:13" hidden="1" x14ac:dyDescent="0.2">
      <c r="B589" t="s">
        <v>294</v>
      </c>
      <c r="L589" t="str">
        <f t="shared" si="18"/>
        <v/>
      </c>
      <c r="M589" t="str">
        <f t="shared" si="19"/>
        <v/>
      </c>
    </row>
    <row r="590" spans="2:13" hidden="1" x14ac:dyDescent="0.2">
      <c r="C590" t="s">
        <v>294</v>
      </c>
      <c r="E590" t="s">
        <v>298</v>
      </c>
      <c r="L590" t="str">
        <f t="shared" si="18"/>
        <v/>
      </c>
      <c r="M590" t="str">
        <f t="shared" si="19"/>
        <v/>
      </c>
    </row>
    <row r="591" spans="2:13" hidden="1" x14ac:dyDescent="0.2">
      <c r="C591" t="s">
        <v>294</v>
      </c>
      <c r="F591" t="s">
        <v>296</v>
      </c>
      <c r="L591" t="str">
        <f t="shared" si="18"/>
        <v/>
      </c>
      <c r="M591" t="str">
        <f t="shared" si="19"/>
        <v>t.c</v>
      </c>
    </row>
    <row r="592" spans="2:13" x14ac:dyDescent="0.2">
      <c r="E592" t="s">
        <v>306</v>
      </c>
      <c r="F592" t="s">
        <v>1702</v>
      </c>
      <c r="L592" t="str">
        <f t="shared" si="18"/>
        <v xml:space="preserve"> 7</v>
      </c>
      <c r="M592" t="str">
        <f t="shared" si="19"/>
        <v>LSC</v>
      </c>
    </row>
    <row r="593" spans="2:13" hidden="1" x14ac:dyDescent="0.2">
      <c r="F593" t="s">
        <v>1703</v>
      </c>
      <c r="L593" t="str">
        <f t="shared" si="18"/>
        <v/>
      </c>
      <c r="M593" t="str">
        <f t="shared" si="19"/>
        <v>AGU</v>
      </c>
    </row>
    <row r="594" spans="2:13" hidden="1" x14ac:dyDescent="0.2">
      <c r="F594" t="s">
        <v>297</v>
      </c>
      <c r="L594" t="str">
        <f t="shared" si="18"/>
        <v/>
      </c>
      <c r="M594" t="str">
        <f t="shared" si="19"/>
        <v>pti</v>
      </c>
    </row>
    <row r="595" spans="2:13" hidden="1" x14ac:dyDescent="0.2">
      <c r="L595" t="str">
        <f t="shared" si="18"/>
        <v/>
      </c>
      <c r="M595" t="str">
        <f t="shared" si="19"/>
        <v/>
      </c>
    </row>
    <row r="596" spans="2:13" hidden="1" x14ac:dyDescent="0.2">
      <c r="B596" t="s">
        <v>294</v>
      </c>
      <c r="L596" t="str">
        <f t="shared" si="18"/>
        <v/>
      </c>
      <c r="M596" t="str">
        <f t="shared" si="19"/>
        <v/>
      </c>
    </row>
    <row r="597" spans="2:13" hidden="1" x14ac:dyDescent="0.2">
      <c r="C597" t="s">
        <v>294</v>
      </c>
      <c r="E597" t="s">
        <v>298</v>
      </c>
      <c r="L597" t="str">
        <f t="shared" si="18"/>
        <v/>
      </c>
      <c r="M597" t="str">
        <f t="shared" si="19"/>
        <v/>
      </c>
    </row>
    <row r="598" spans="2:13" hidden="1" x14ac:dyDescent="0.2">
      <c r="C598" t="s">
        <v>294</v>
      </c>
      <c r="F598" t="s">
        <v>296</v>
      </c>
      <c r="L598" t="str">
        <f t="shared" si="18"/>
        <v/>
      </c>
      <c r="M598" t="str">
        <f t="shared" si="19"/>
        <v>t.c</v>
      </c>
    </row>
    <row r="599" spans="2:13" x14ac:dyDescent="0.2">
      <c r="E599" t="s">
        <v>306</v>
      </c>
      <c r="F599" t="s">
        <v>1704</v>
      </c>
      <c r="L599" t="str">
        <f t="shared" si="18"/>
        <v xml:space="preserve"> 7</v>
      </c>
      <c r="M599" t="str">
        <f t="shared" si="19"/>
        <v>MAT</v>
      </c>
    </row>
    <row r="600" spans="2:13" hidden="1" x14ac:dyDescent="0.2">
      <c r="F600" t="s">
        <v>1705</v>
      </c>
      <c r="L600" t="str">
        <f t="shared" si="18"/>
        <v/>
      </c>
      <c r="M600" t="str">
        <f t="shared" si="19"/>
        <v>ATA</v>
      </c>
    </row>
    <row r="601" spans="2:13" hidden="1" x14ac:dyDescent="0.2">
      <c r="F601" t="s">
        <v>297</v>
      </c>
      <c r="L601" t="str">
        <f t="shared" si="18"/>
        <v/>
      </c>
      <c r="M601" t="str">
        <f t="shared" si="19"/>
        <v>pti</v>
      </c>
    </row>
    <row r="602" spans="2:13" hidden="1" x14ac:dyDescent="0.2">
      <c r="L602" t="str">
        <f t="shared" si="18"/>
        <v/>
      </c>
      <c r="M602" t="str">
        <f t="shared" si="19"/>
        <v/>
      </c>
    </row>
    <row r="603" spans="2:13" hidden="1" x14ac:dyDescent="0.2">
      <c r="B603" t="s">
        <v>294</v>
      </c>
      <c r="L603" t="str">
        <f t="shared" si="18"/>
        <v/>
      </c>
      <c r="M603" t="str">
        <f t="shared" si="19"/>
        <v/>
      </c>
    </row>
    <row r="604" spans="2:13" hidden="1" x14ac:dyDescent="0.2">
      <c r="C604" t="s">
        <v>294</v>
      </c>
      <c r="E604" t="s">
        <v>298</v>
      </c>
      <c r="L604" t="str">
        <f t="shared" si="18"/>
        <v/>
      </c>
      <c r="M604" t="str">
        <f t="shared" si="19"/>
        <v/>
      </c>
    </row>
    <row r="605" spans="2:13" hidden="1" x14ac:dyDescent="0.2">
      <c r="C605" t="s">
        <v>294</v>
      </c>
      <c r="F605" t="s">
        <v>296</v>
      </c>
      <c r="L605" t="str">
        <f t="shared" si="18"/>
        <v/>
      </c>
      <c r="M605" t="str">
        <f t="shared" si="19"/>
        <v>t.c</v>
      </c>
    </row>
    <row r="606" spans="2:13" x14ac:dyDescent="0.2">
      <c r="E606" t="s">
        <v>306</v>
      </c>
      <c r="F606" t="s">
        <v>1706</v>
      </c>
      <c r="L606" t="str">
        <f t="shared" si="18"/>
        <v xml:space="preserve"> 7</v>
      </c>
      <c r="M606" t="str">
        <f t="shared" si="19"/>
        <v>MAY</v>
      </c>
    </row>
    <row r="607" spans="2:13" hidden="1" x14ac:dyDescent="0.2">
      <c r="F607" t="s">
        <v>1707</v>
      </c>
      <c r="L607" t="str">
        <f t="shared" si="18"/>
        <v/>
      </c>
      <c r="M607" t="str">
        <f t="shared" si="19"/>
        <v>AYR</v>
      </c>
    </row>
    <row r="608" spans="2:13" hidden="1" x14ac:dyDescent="0.2">
      <c r="F608" t="s">
        <v>297</v>
      </c>
      <c r="L608" t="str">
        <f t="shared" si="18"/>
        <v/>
      </c>
      <c r="M608" t="str">
        <f t="shared" si="19"/>
        <v>pti</v>
      </c>
    </row>
    <row r="609" spans="2:13" hidden="1" x14ac:dyDescent="0.2">
      <c r="L609" t="str">
        <f t="shared" si="18"/>
        <v/>
      </c>
      <c r="M609" t="str">
        <f t="shared" si="19"/>
        <v/>
      </c>
    </row>
    <row r="610" spans="2:13" hidden="1" x14ac:dyDescent="0.2">
      <c r="B610" t="s">
        <v>294</v>
      </c>
      <c r="L610" t="str">
        <f t="shared" si="18"/>
        <v/>
      </c>
      <c r="M610" t="str">
        <f t="shared" si="19"/>
        <v/>
      </c>
    </row>
    <row r="611" spans="2:13" hidden="1" x14ac:dyDescent="0.2">
      <c r="C611" t="s">
        <v>294</v>
      </c>
      <c r="E611" t="s">
        <v>298</v>
      </c>
      <c r="L611" t="str">
        <f t="shared" si="18"/>
        <v/>
      </c>
      <c r="M611" t="str">
        <f t="shared" si="19"/>
        <v/>
      </c>
    </row>
    <row r="612" spans="2:13" hidden="1" x14ac:dyDescent="0.2">
      <c r="C612" t="s">
        <v>294</v>
      </c>
      <c r="F612" t="s">
        <v>296</v>
      </c>
      <c r="L612" t="str">
        <f t="shared" si="18"/>
        <v/>
      </c>
      <c r="M612" t="str">
        <f t="shared" si="19"/>
        <v>t.c</v>
      </c>
    </row>
    <row r="613" spans="2:13" x14ac:dyDescent="0.2">
      <c r="E613" t="s">
        <v>306</v>
      </c>
      <c r="F613" t="s">
        <v>1708</v>
      </c>
      <c r="L613" t="str">
        <f t="shared" si="18"/>
        <v xml:space="preserve"> 7</v>
      </c>
      <c r="M613" t="str">
        <f t="shared" si="19"/>
        <v>PLA</v>
      </c>
    </row>
    <row r="614" spans="2:13" hidden="1" x14ac:dyDescent="0.2">
      <c r="F614" t="s">
        <v>1709</v>
      </c>
      <c r="L614" t="str">
        <f t="shared" si="18"/>
        <v/>
      </c>
      <c r="M614" t="str">
        <f t="shared" si="19"/>
        <v>AIL</v>
      </c>
    </row>
    <row r="615" spans="2:13" hidden="1" x14ac:dyDescent="0.2">
      <c r="F615" t="s">
        <v>297</v>
      </c>
      <c r="L615" t="str">
        <f t="shared" si="18"/>
        <v/>
      </c>
      <c r="M615" t="str">
        <f t="shared" si="19"/>
        <v>pti</v>
      </c>
    </row>
    <row r="616" spans="2:13" hidden="1" x14ac:dyDescent="0.2">
      <c r="L616" t="str">
        <f t="shared" si="18"/>
        <v/>
      </c>
      <c r="M616" t="str">
        <f t="shared" si="19"/>
        <v/>
      </c>
    </row>
    <row r="617" spans="2:13" hidden="1" x14ac:dyDescent="0.2">
      <c r="B617" t="s">
        <v>294</v>
      </c>
      <c r="L617" t="str">
        <f t="shared" si="18"/>
        <v/>
      </c>
      <c r="M617" t="str">
        <f t="shared" si="19"/>
        <v/>
      </c>
    </row>
    <row r="618" spans="2:13" hidden="1" x14ac:dyDescent="0.2">
      <c r="C618" t="s">
        <v>294</v>
      </c>
      <c r="E618" t="s">
        <v>298</v>
      </c>
      <c r="L618" t="str">
        <f t="shared" si="18"/>
        <v/>
      </c>
      <c r="M618" t="str">
        <f t="shared" si="19"/>
        <v/>
      </c>
    </row>
    <row r="619" spans="2:13" hidden="1" x14ac:dyDescent="0.2">
      <c r="C619" t="s">
        <v>294</v>
      </c>
      <c r="F619" t="s">
        <v>296</v>
      </c>
      <c r="L619" t="str">
        <f t="shared" si="18"/>
        <v/>
      </c>
      <c r="M619" t="str">
        <f t="shared" si="19"/>
        <v>t.c</v>
      </c>
    </row>
    <row r="620" spans="2:13" x14ac:dyDescent="0.2">
      <c r="E620" t="s">
        <v>306</v>
      </c>
      <c r="F620" t="s">
        <v>1710</v>
      </c>
      <c r="L620" t="str">
        <f t="shared" si="18"/>
        <v xml:space="preserve"> 7</v>
      </c>
      <c r="M620" t="str">
        <f t="shared" si="19"/>
        <v>PRA</v>
      </c>
    </row>
    <row r="621" spans="2:13" hidden="1" x14ac:dyDescent="0.2">
      <c r="F621" t="s">
        <v>1711</v>
      </c>
      <c r="L621" t="str">
        <f t="shared" si="18"/>
        <v/>
      </c>
      <c r="M621" t="str">
        <f t="shared" si="19"/>
        <v>ARR</v>
      </c>
    </row>
    <row r="622" spans="2:13" hidden="1" x14ac:dyDescent="0.2">
      <c r="F622" t="s">
        <v>297</v>
      </c>
      <c r="L622" t="str">
        <f t="shared" si="18"/>
        <v/>
      </c>
      <c r="M622" t="str">
        <f t="shared" si="19"/>
        <v>pti</v>
      </c>
    </row>
    <row r="623" spans="2:13" hidden="1" x14ac:dyDescent="0.2">
      <c r="L623" t="str">
        <f t="shared" si="18"/>
        <v/>
      </c>
      <c r="M623" t="str">
        <f t="shared" si="19"/>
        <v/>
      </c>
    </row>
    <row r="624" spans="2:13" hidden="1" x14ac:dyDescent="0.2">
      <c r="B624" t="s">
        <v>294</v>
      </c>
      <c r="L624" t="str">
        <f t="shared" si="18"/>
        <v/>
      </c>
      <c r="M624" t="str">
        <f t="shared" si="19"/>
        <v/>
      </c>
    </row>
    <row r="625" spans="2:13" hidden="1" x14ac:dyDescent="0.2">
      <c r="C625" t="s">
        <v>294</v>
      </c>
      <c r="E625" t="s">
        <v>298</v>
      </c>
      <c r="L625" t="str">
        <f t="shared" si="18"/>
        <v/>
      </c>
      <c r="M625" t="str">
        <f t="shared" si="19"/>
        <v/>
      </c>
    </row>
    <row r="626" spans="2:13" hidden="1" x14ac:dyDescent="0.2">
      <c r="C626" t="s">
        <v>294</v>
      </c>
      <c r="F626" t="s">
        <v>296</v>
      </c>
      <c r="L626" t="str">
        <f t="shared" si="18"/>
        <v/>
      </c>
      <c r="M626" t="str">
        <f t="shared" si="19"/>
        <v>t.c</v>
      </c>
    </row>
    <row r="627" spans="2:13" x14ac:dyDescent="0.2">
      <c r="E627" t="s">
        <v>306</v>
      </c>
      <c r="F627" t="s">
        <v>1712</v>
      </c>
      <c r="L627" t="str">
        <f t="shared" si="18"/>
        <v xml:space="preserve"> 7</v>
      </c>
      <c r="M627" t="str">
        <f t="shared" si="19"/>
        <v>PSA</v>
      </c>
    </row>
    <row r="628" spans="2:13" hidden="1" x14ac:dyDescent="0.2">
      <c r="F628" t="s">
        <v>1713</v>
      </c>
      <c r="L628" t="str">
        <f t="shared" si="18"/>
        <v/>
      </c>
      <c r="M628" t="str">
        <f t="shared" si="19"/>
        <v>ASO</v>
      </c>
    </row>
    <row r="629" spans="2:13" hidden="1" x14ac:dyDescent="0.2">
      <c r="F629" t="s">
        <v>297</v>
      </c>
      <c r="L629" t="str">
        <f t="shared" si="18"/>
        <v/>
      </c>
      <c r="M629" t="str">
        <f t="shared" si="19"/>
        <v>pti</v>
      </c>
    </row>
    <row r="630" spans="2:13" hidden="1" x14ac:dyDescent="0.2">
      <c r="L630" t="str">
        <f t="shared" si="18"/>
        <v/>
      </c>
      <c r="M630" t="str">
        <f t="shared" si="19"/>
        <v/>
      </c>
    </row>
    <row r="631" spans="2:13" hidden="1" x14ac:dyDescent="0.2">
      <c r="B631" t="s">
        <v>294</v>
      </c>
      <c r="L631" t="str">
        <f t="shared" si="18"/>
        <v/>
      </c>
      <c r="M631" t="str">
        <f t="shared" si="19"/>
        <v/>
      </c>
    </row>
    <row r="632" spans="2:13" hidden="1" x14ac:dyDescent="0.2">
      <c r="C632" t="s">
        <v>294</v>
      </c>
      <c r="E632" t="s">
        <v>298</v>
      </c>
      <c r="L632" t="str">
        <f t="shared" si="18"/>
        <v/>
      </c>
      <c r="M632" t="str">
        <f t="shared" si="19"/>
        <v/>
      </c>
    </row>
    <row r="633" spans="2:13" hidden="1" x14ac:dyDescent="0.2">
      <c r="C633" t="s">
        <v>294</v>
      </c>
      <c r="F633" t="s">
        <v>296</v>
      </c>
      <c r="L633" t="str">
        <f t="shared" si="18"/>
        <v/>
      </c>
      <c r="M633" t="str">
        <f t="shared" si="19"/>
        <v>t.c</v>
      </c>
    </row>
    <row r="634" spans="2:13" x14ac:dyDescent="0.2">
      <c r="E634" t="s">
        <v>306</v>
      </c>
      <c r="F634" t="s">
        <v>1714</v>
      </c>
      <c r="L634" t="str">
        <f t="shared" si="18"/>
        <v xml:space="preserve"> 7</v>
      </c>
      <c r="M634" t="str">
        <f t="shared" si="19"/>
        <v>SPD</v>
      </c>
    </row>
    <row r="635" spans="2:13" hidden="1" x14ac:dyDescent="0.2">
      <c r="F635" t="s">
        <v>1715</v>
      </c>
      <c r="L635" t="str">
        <f t="shared" si="18"/>
        <v/>
      </c>
      <c r="M635" t="str">
        <f t="shared" si="19"/>
        <v xml:space="preserve">AN </v>
      </c>
    </row>
    <row r="636" spans="2:13" hidden="1" x14ac:dyDescent="0.2">
      <c r="F636" t="s">
        <v>297</v>
      </c>
      <c r="L636" t="str">
        <f t="shared" si="18"/>
        <v/>
      </c>
      <c r="M636" t="str">
        <f t="shared" si="19"/>
        <v>pti</v>
      </c>
    </row>
    <row r="637" spans="2:13" hidden="1" x14ac:dyDescent="0.2">
      <c r="L637" t="str">
        <f t="shared" si="18"/>
        <v/>
      </c>
      <c r="M637" t="str">
        <f t="shared" si="19"/>
        <v/>
      </c>
    </row>
    <row r="638" spans="2:13" hidden="1" x14ac:dyDescent="0.2">
      <c r="B638" t="s">
        <v>294</v>
      </c>
      <c r="L638" t="str">
        <f t="shared" si="18"/>
        <v/>
      </c>
      <c r="M638" t="str">
        <f t="shared" si="19"/>
        <v/>
      </c>
    </row>
    <row r="639" spans="2:13" hidden="1" x14ac:dyDescent="0.2">
      <c r="C639" t="s">
        <v>294</v>
      </c>
      <c r="E639" t="s">
        <v>298</v>
      </c>
      <c r="L639" t="str">
        <f t="shared" si="18"/>
        <v/>
      </c>
      <c r="M639" t="str">
        <f t="shared" si="19"/>
        <v/>
      </c>
    </row>
    <row r="640" spans="2:13" hidden="1" x14ac:dyDescent="0.2">
      <c r="C640" t="s">
        <v>294</v>
      </c>
      <c r="F640" t="s">
        <v>296</v>
      </c>
      <c r="L640" t="str">
        <f t="shared" si="18"/>
        <v/>
      </c>
      <c r="M640" t="str">
        <f t="shared" si="19"/>
        <v>t.c</v>
      </c>
    </row>
    <row r="641" spans="2:13" x14ac:dyDescent="0.2">
      <c r="E641" t="s">
        <v>306</v>
      </c>
      <c r="F641" t="s">
        <v>1716</v>
      </c>
      <c r="L641" t="str">
        <f t="shared" si="18"/>
        <v xml:space="preserve"> 7</v>
      </c>
      <c r="M641" t="str">
        <f t="shared" si="19"/>
        <v>TRR</v>
      </c>
    </row>
    <row r="642" spans="2:13" hidden="1" x14ac:dyDescent="0.2">
      <c r="F642" t="s">
        <v>1717</v>
      </c>
      <c r="L642" t="str">
        <f t="shared" si="18"/>
        <v/>
      </c>
      <c r="M642" t="str">
        <f t="shared" si="19"/>
        <v>ORR</v>
      </c>
    </row>
    <row r="643" spans="2:13" hidden="1" x14ac:dyDescent="0.2">
      <c r="F643" t="s">
        <v>297</v>
      </c>
      <c r="L643" t="str">
        <f t="shared" si="18"/>
        <v/>
      </c>
      <c r="M643" t="str">
        <f t="shared" si="19"/>
        <v>pti</v>
      </c>
    </row>
    <row r="644" spans="2:13" hidden="1" x14ac:dyDescent="0.2">
      <c r="L644" t="str">
        <f t="shared" si="18"/>
        <v/>
      </c>
      <c r="M644" t="str">
        <f t="shared" si="19"/>
        <v/>
      </c>
    </row>
    <row r="645" spans="2:13" hidden="1" x14ac:dyDescent="0.2">
      <c r="B645" t="s">
        <v>294</v>
      </c>
      <c r="L645" t="str">
        <f t="shared" ref="L645:L708" si="20">MID(E645,10,2)</f>
        <v/>
      </c>
      <c r="M645" t="str">
        <f t="shared" ref="M645:M708" si="21">MID(F645,24,3)</f>
        <v/>
      </c>
    </row>
    <row r="646" spans="2:13" hidden="1" x14ac:dyDescent="0.2">
      <c r="C646" t="s">
        <v>294</v>
      </c>
      <c r="E646" t="s">
        <v>298</v>
      </c>
      <c r="L646" t="str">
        <f t="shared" si="20"/>
        <v/>
      </c>
      <c r="M646" t="str">
        <f t="shared" si="21"/>
        <v/>
      </c>
    </row>
    <row r="647" spans="2:13" hidden="1" x14ac:dyDescent="0.2">
      <c r="C647" t="s">
        <v>294</v>
      </c>
      <c r="F647" t="s">
        <v>296</v>
      </c>
      <c r="L647" t="str">
        <f t="shared" si="20"/>
        <v/>
      </c>
      <c r="M647" t="str">
        <f t="shared" si="21"/>
        <v>t.c</v>
      </c>
    </row>
    <row r="648" spans="2:13" x14ac:dyDescent="0.2">
      <c r="E648" t="s">
        <v>306</v>
      </c>
      <c r="F648" t="s">
        <v>1718</v>
      </c>
      <c r="L648" t="str">
        <f t="shared" si="20"/>
        <v xml:space="preserve"> 7</v>
      </c>
      <c r="M648" t="str">
        <f t="shared" si="21"/>
        <v>TOT</v>
      </c>
    </row>
    <row r="649" spans="2:13" hidden="1" x14ac:dyDescent="0.2">
      <c r="F649" t="s">
        <v>1719</v>
      </c>
      <c r="L649" t="str">
        <f t="shared" si="20"/>
        <v/>
      </c>
      <c r="M649" t="str">
        <f t="shared" si="21"/>
        <v>ORR</v>
      </c>
    </row>
    <row r="650" spans="2:13" hidden="1" x14ac:dyDescent="0.2">
      <c r="F650" t="s">
        <v>297</v>
      </c>
      <c r="L650" t="str">
        <f t="shared" si="20"/>
        <v/>
      </c>
      <c r="M650" t="str">
        <f t="shared" si="21"/>
        <v>pti</v>
      </c>
    </row>
    <row r="651" spans="2:13" hidden="1" x14ac:dyDescent="0.2">
      <c r="L651" t="str">
        <f t="shared" si="20"/>
        <v/>
      </c>
      <c r="M651" t="str">
        <f t="shared" si="21"/>
        <v/>
      </c>
    </row>
    <row r="652" spans="2:13" hidden="1" x14ac:dyDescent="0.2">
      <c r="B652" t="s">
        <v>294</v>
      </c>
      <c r="L652" t="str">
        <f t="shared" si="20"/>
        <v/>
      </c>
      <c r="M652" t="str">
        <f t="shared" si="21"/>
        <v/>
      </c>
    </row>
    <row r="653" spans="2:13" hidden="1" x14ac:dyDescent="0.2">
      <c r="C653" t="s">
        <v>294</v>
      </c>
      <c r="E653" t="s">
        <v>298</v>
      </c>
      <c r="L653" t="str">
        <f t="shared" si="20"/>
        <v/>
      </c>
      <c r="M653" t="str">
        <f t="shared" si="21"/>
        <v/>
      </c>
    </row>
    <row r="654" spans="2:13" hidden="1" x14ac:dyDescent="0.2">
      <c r="C654" t="s">
        <v>294</v>
      </c>
      <c r="F654" t="s">
        <v>296</v>
      </c>
      <c r="L654" t="str">
        <f t="shared" si="20"/>
        <v/>
      </c>
      <c r="M654" t="str">
        <f t="shared" si="21"/>
        <v>t.c</v>
      </c>
    </row>
    <row r="655" spans="2:13" x14ac:dyDescent="0.2">
      <c r="E655" t="s">
        <v>306</v>
      </c>
      <c r="F655" t="s">
        <v>1720</v>
      </c>
      <c r="L655" t="str">
        <f t="shared" si="20"/>
        <v xml:space="preserve"> 7</v>
      </c>
      <c r="M655" t="str">
        <f t="shared" si="21"/>
        <v>TMA</v>
      </c>
    </row>
    <row r="656" spans="2:13" hidden="1" x14ac:dyDescent="0.2">
      <c r="F656" t="s">
        <v>1721</v>
      </c>
      <c r="L656" t="str">
        <f t="shared" si="20"/>
        <v/>
      </c>
      <c r="M656" t="str">
        <f t="shared" si="21"/>
        <v>RES</v>
      </c>
    </row>
    <row r="657" spans="2:13" hidden="1" x14ac:dyDescent="0.2">
      <c r="F657" t="s">
        <v>297</v>
      </c>
      <c r="L657" t="str">
        <f t="shared" si="20"/>
        <v/>
      </c>
      <c r="M657" t="str">
        <f t="shared" si="21"/>
        <v>pti</v>
      </c>
    </row>
    <row r="658" spans="2:13" hidden="1" x14ac:dyDescent="0.2">
      <c r="L658" t="str">
        <f t="shared" si="20"/>
        <v/>
      </c>
      <c r="M658" t="str">
        <f t="shared" si="21"/>
        <v/>
      </c>
    </row>
    <row r="659" spans="2:13" hidden="1" x14ac:dyDescent="0.2">
      <c r="B659" t="s">
        <v>294</v>
      </c>
      <c r="L659" t="str">
        <f t="shared" si="20"/>
        <v/>
      </c>
      <c r="M659" t="str">
        <f t="shared" si="21"/>
        <v/>
      </c>
    </row>
    <row r="660" spans="2:13" hidden="1" x14ac:dyDescent="0.2">
      <c r="C660" t="s">
        <v>294</v>
      </c>
      <c r="E660" t="s">
        <v>298</v>
      </c>
      <c r="L660" t="str">
        <f t="shared" si="20"/>
        <v/>
      </c>
      <c r="M660" t="str">
        <f t="shared" si="21"/>
        <v/>
      </c>
    </row>
    <row r="661" spans="2:13" hidden="1" x14ac:dyDescent="0.2">
      <c r="C661" t="s">
        <v>294</v>
      </c>
      <c r="F661" t="s">
        <v>296</v>
      </c>
      <c r="L661" t="str">
        <f t="shared" si="20"/>
        <v/>
      </c>
      <c r="M661" t="str">
        <f t="shared" si="21"/>
        <v>t.c</v>
      </c>
    </row>
    <row r="662" spans="2:13" x14ac:dyDescent="0.2">
      <c r="E662" t="s">
        <v>306</v>
      </c>
      <c r="F662" t="s">
        <v>1722</v>
      </c>
      <c r="L662" t="str">
        <f t="shared" si="20"/>
        <v xml:space="preserve"> 7</v>
      </c>
      <c r="M662" t="str">
        <f t="shared" si="21"/>
        <v>VAE</v>
      </c>
    </row>
    <row r="663" spans="2:13" hidden="1" x14ac:dyDescent="0.2">
      <c r="F663" t="s">
        <v>1723</v>
      </c>
      <c r="L663" t="str">
        <f t="shared" si="20"/>
        <v/>
      </c>
      <c r="M663" t="str">
        <f t="shared" si="21"/>
        <v>ALL</v>
      </c>
    </row>
    <row r="664" spans="2:13" hidden="1" x14ac:dyDescent="0.2">
      <c r="F664" t="s">
        <v>297</v>
      </c>
      <c r="L664" t="str">
        <f t="shared" si="20"/>
        <v/>
      </c>
      <c r="M664" t="str">
        <f t="shared" si="21"/>
        <v>pti</v>
      </c>
    </row>
    <row r="665" spans="2:13" hidden="1" x14ac:dyDescent="0.2">
      <c r="L665" t="str">
        <f t="shared" si="20"/>
        <v/>
      </c>
      <c r="M665" t="str">
        <f t="shared" si="21"/>
        <v/>
      </c>
    </row>
    <row r="666" spans="2:13" hidden="1" x14ac:dyDescent="0.2">
      <c r="B666" t="s">
        <v>294</v>
      </c>
      <c r="L666" t="str">
        <f t="shared" si="20"/>
        <v/>
      </c>
      <c r="M666" t="str">
        <f t="shared" si="21"/>
        <v/>
      </c>
    </row>
    <row r="667" spans="2:13" hidden="1" x14ac:dyDescent="0.2">
      <c r="C667" t="s">
        <v>294</v>
      </c>
      <c r="E667" t="s">
        <v>298</v>
      </c>
      <c r="L667" t="str">
        <f t="shared" si="20"/>
        <v/>
      </c>
      <c r="M667" t="str">
        <f t="shared" si="21"/>
        <v/>
      </c>
    </row>
    <row r="668" spans="2:13" hidden="1" x14ac:dyDescent="0.2">
      <c r="C668" t="s">
        <v>294</v>
      </c>
      <c r="F668" t="s">
        <v>296</v>
      </c>
      <c r="L668" t="str">
        <f t="shared" si="20"/>
        <v/>
      </c>
      <c r="M668" t="str">
        <f t="shared" si="21"/>
        <v>t.c</v>
      </c>
    </row>
    <row r="669" spans="2:13" x14ac:dyDescent="0.2">
      <c r="E669" t="s">
        <v>307</v>
      </c>
      <c r="F669" t="s">
        <v>1724</v>
      </c>
      <c r="L669" t="str">
        <f t="shared" si="20"/>
        <v xml:space="preserve"> 8</v>
      </c>
      <c r="M669" t="str">
        <f t="shared" si="21"/>
        <v>ALV</v>
      </c>
    </row>
    <row r="670" spans="2:13" hidden="1" x14ac:dyDescent="0.2">
      <c r="F670" t="s">
        <v>1725</v>
      </c>
      <c r="L670" t="str">
        <f t="shared" si="20"/>
        <v/>
      </c>
      <c r="M670" t="str">
        <f t="shared" si="21"/>
        <v>LTA</v>
      </c>
    </row>
    <row r="671" spans="2:13" hidden="1" x14ac:dyDescent="0.2">
      <c r="F671" t="s">
        <v>297</v>
      </c>
      <c r="L671" t="str">
        <f t="shared" si="20"/>
        <v/>
      </c>
      <c r="M671" t="str">
        <f t="shared" si="21"/>
        <v>pti</v>
      </c>
    </row>
    <row r="672" spans="2:13" hidden="1" x14ac:dyDescent="0.2">
      <c r="L672" t="str">
        <f t="shared" si="20"/>
        <v/>
      </c>
      <c r="M672" t="str">
        <f t="shared" si="21"/>
        <v/>
      </c>
    </row>
    <row r="673" spans="2:13" hidden="1" x14ac:dyDescent="0.2">
      <c r="B673" t="s">
        <v>294</v>
      </c>
      <c r="L673" t="str">
        <f t="shared" si="20"/>
        <v/>
      </c>
      <c r="M673" t="str">
        <f t="shared" si="21"/>
        <v/>
      </c>
    </row>
    <row r="674" spans="2:13" hidden="1" x14ac:dyDescent="0.2">
      <c r="C674" t="s">
        <v>294</v>
      </c>
      <c r="E674" t="s">
        <v>298</v>
      </c>
      <c r="L674" t="str">
        <f t="shared" si="20"/>
        <v/>
      </c>
      <c r="M674" t="str">
        <f t="shared" si="21"/>
        <v/>
      </c>
    </row>
    <row r="675" spans="2:13" hidden="1" x14ac:dyDescent="0.2">
      <c r="C675" t="s">
        <v>294</v>
      </c>
      <c r="F675" t="s">
        <v>296</v>
      </c>
      <c r="L675" t="str">
        <f t="shared" si="20"/>
        <v/>
      </c>
      <c r="M675" t="str">
        <f t="shared" si="21"/>
        <v>t.c</v>
      </c>
    </row>
    <row r="676" spans="2:13" x14ac:dyDescent="0.2">
      <c r="E676" t="s">
        <v>307</v>
      </c>
      <c r="F676" t="s">
        <v>1726</v>
      </c>
      <c r="L676" t="str">
        <f t="shared" si="20"/>
        <v xml:space="preserve"> 8</v>
      </c>
      <c r="M676" t="str">
        <f t="shared" si="21"/>
        <v>BLV</v>
      </c>
    </row>
    <row r="677" spans="2:13" hidden="1" x14ac:dyDescent="0.2">
      <c r="F677" t="s">
        <v>1727</v>
      </c>
      <c r="L677" t="str">
        <f t="shared" si="20"/>
        <v/>
      </c>
      <c r="M677" t="str">
        <f t="shared" si="21"/>
        <v>OLI</v>
      </c>
    </row>
    <row r="678" spans="2:13" hidden="1" x14ac:dyDescent="0.2">
      <c r="F678" t="s">
        <v>297</v>
      </c>
      <c r="L678" t="str">
        <f t="shared" si="20"/>
        <v/>
      </c>
      <c r="M678" t="str">
        <f t="shared" si="21"/>
        <v>pti</v>
      </c>
    </row>
    <row r="679" spans="2:13" hidden="1" x14ac:dyDescent="0.2">
      <c r="L679" t="str">
        <f t="shared" si="20"/>
        <v/>
      </c>
      <c r="M679" t="str">
        <f t="shared" si="21"/>
        <v/>
      </c>
    </row>
    <row r="680" spans="2:13" hidden="1" x14ac:dyDescent="0.2">
      <c r="B680" t="s">
        <v>294</v>
      </c>
      <c r="L680" t="str">
        <f t="shared" si="20"/>
        <v/>
      </c>
      <c r="M680" t="str">
        <f t="shared" si="21"/>
        <v/>
      </c>
    </row>
    <row r="681" spans="2:13" hidden="1" x14ac:dyDescent="0.2">
      <c r="C681" t="s">
        <v>294</v>
      </c>
      <c r="E681" t="s">
        <v>298</v>
      </c>
      <c r="L681" t="str">
        <f t="shared" si="20"/>
        <v/>
      </c>
      <c r="M681" t="str">
        <f t="shared" si="21"/>
        <v/>
      </c>
    </row>
    <row r="682" spans="2:13" hidden="1" x14ac:dyDescent="0.2">
      <c r="C682" t="s">
        <v>294</v>
      </c>
      <c r="F682" t="s">
        <v>296</v>
      </c>
      <c r="L682" t="str">
        <f t="shared" si="20"/>
        <v/>
      </c>
      <c r="M682" t="str">
        <f t="shared" si="21"/>
        <v>t.c</v>
      </c>
    </row>
    <row r="683" spans="2:13" x14ac:dyDescent="0.2">
      <c r="E683" t="s">
        <v>307</v>
      </c>
      <c r="F683" t="s">
        <v>1728</v>
      </c>
      <c r="L683" t="str">
        <f t="shared" si="20"/>
        <v xml:space="preserve"> 8</v>
      </c>
      <c r="M683" t="str">
        <f t="shared" si="21"/>
        <v>CAT</v>
      </c>
    </row>
    <row r="684" spans="2:13" hidden="1" x14ac:dyDescent="0.2">
      <c r="F684" t="s">
        <v>1729</v>
      </c>
      <c r="L684" t="str">
        <f t="shared" si="20"/>
        <v/>
      </c>
      <c r="M684" t="str">
        <f t="shared" si="21"/>
        <v>ATE</v>
      </c>
    </row>
    <row r="685" spans="2:13" hidden="1" x14ac:dyDescent="0.2">
      <c r="F685" t="s">
        <v>297</v>
      </c>
      <c r="L685" t="str">
        <f t="shared" si="20"/>
        <v/>
      </c>
      <c r="M685" t="str">
        <f t="shared" si="21"/>
        <v>pti</v>
      </c>
    </row>
    <row r="686" spans="2:13" hidden="1" x14ac:dyDescent="0.2">
      <c r="L686" t="str">
        <f t="shared" si="20"/>
        <v/>
      </c>
      <c r="M686" t="str">
        <f t="shared" si="21"/>
        <v/>
      </c>
    </row>
    <row r="687" spans="2:13" hidden="1" x14ac:dyDescent="0.2">
      <c r="B687" t="s">
        <v>294</v>
      </c>
      <c r="L687" t="str">
        <f t="shared" si="20"/>
        <v/>
      </c>
      <c r="M687" t="str">
        <f t="shared" si="21"/>
        <v/>
      </c>
    </row>
    <row r="688" spans="2:13" hidden="1" x14ac:dyDescent="0.2">
      <c r="C688" t="s">
        <v>294</v>
      </c>
      <c r="E688" t="s">
        <v>298</v>
      </c>
      <c r="L688" t="str">
        <f t="shared" si="20"/>
        <v/>
      </c>
      <c r="M688" t="str">
        <f t="shared" si="21"/>
        <v/>
      </c>
    </row>
    <row r="689" spans="2:13" hidden="1" x14ac:dyDescent="0.2">
      <c r="C689" t="s">
        <v>294</v>
      </c>
      <c r="F689" t="s">
        <v>296</v>
      </c>
      <c r="L689" t="str">
        <f t="shared" si="20"/>
        <v/>
      </c>
      <c r="M689" t="str">
        <f t="shared" si="21"/>
        <v>t.c</v>
      </c>
    </row>
    <row r="690" spans="2:13" x14ac:dyDescent="0.2">
      <c r="E690" t="s">
        <v>307</v>
      </c>
      <c r="F690" t="s">
        <v>1730</v>
      </c>
      <c r="L690" t="str">
        <f t="shared" si="20"/>
        <v xml:space="preserve"> 8</v>
      </c>
      <c r="M690" t="str">
        <f t="shared" si="21"/>
        <v>CMB</v>
      </c>
    </row>
    <row r="691" spans="2:13" hidden="1" x14ac:dyDescent="0.2">
      <c r="F691" t="s">
        <v>1731</v>
      </c>
      <c r="L691" t="str">
        <f t="shared" si="20"/>
        <v/>
      </c>
      <c r="M691" t="str">
        <f t="shared" si="21"/>
        <v>UAD</v>
      </c>
    </row>
    <row r="692" spans="2:13" hidden="1" x14ac:dyDescent="0.2">
      <c r="F692" t="s">
        <v>297</v>
      </c>
      <c r="L692" t="str">
        <f t="shared" si="20"/>
        <v/>
      </c>
      <c r="M692" t="str">
        <f t="shared" si="21"/>
        <v>pti</v>
      </c>
    </row>
    <row r="693" spans="2:13" hidden="1" x14ac:dyDescent="0.2">
      <c r="L693" t="str">
        <f t="shared" si="20"/>
        <v/>
      </c>
      <c r="M693" t="str">
        <f t="shared" si="21"/>
        <v/>
      </c>
    </row>
    <row r="694" spans="2:13" hidden="1" x14ac:dyDescent="0.2">
      <c r="B694" t="s">
        <v>294</v>
      </c>
      <c r="L694" t="str">
        <f t="shared" si="20"/>
        <v/>
      </c>
      <c r="M694" t="str">
        <f t="shared" si="21"/>
        <v/>
      </c>
    </row>
    <row r="695" spans="2:13" hidden="1" x14ac:dyDescent="0.2">
      <c r="C695" t="s">
        <v>294</v>
      </c>
      <c r="E695" t="s">
        <v>298</v>
      </c>
      <c r="L695" t="str">
        <f t="shared" si="20"/>
        <v/>
      </c>
      <c r="M695" t="str">
        <f t="shared" si="21"/>
        <v/>
      </c>
    </row>
    <row r="696" spans="2:13" hidden="1" x14ac:dyDescent="0.2">
      <c r="C696" t="s">
        <v>294</v>
      </c>
      <c r="F696" t="s">
        <v>296</v>
      </c>
      <c r="L696" t="str">
        <f t="shared" si="20"/>
        <v/>
      </c>
      <c r="M696" t="str">
        <f t="shared" si="21"/>
        <v>t.c</v>
      </c>
    </row>
    <row r="697" spans="2:13" x14ac:dyDescent="0.2">
      <c r="E697" t="s">
        <v>307</v>
      </c>
      <c r="F697" t="s">
        <v>1732</v>
      </c>
      <c r="L697" t="str">
        <f t="shared" si="20"/>
        <v xml:space="preserve"> 8</v>
      </c>
      <c r="M697" t="str">
        <f t="shared" si="21"/>
        <v>CMF</v>
      </c>
    </row>
    <row r="698" spans="2:13" hidden="1" x14ac:dyDescent="0.2">
      <c r="F698" t="s">
        <v>1733</v>
      </c>
      <c r="L698" t="str">
        <f t="shared" si="20"/>
        <v/>
      </c>
      <c r="M698" t="str">
        <f t="shared" si="21"/>
        <v>UAD</v>
      </c>
    </row>
    <row r="699" spans="2:13" hidden="1" x14ac:dyDescent="0.2">
      <c r="F699" t="s">
        <v>297</v>
      </c>
      <c r="L699" t="str">
        <f t="shared" si="20"/>
        <v/>
      </c>
      <c r="M699" t="str">
        <f t="shared" si="21"/>
        <v>pti</v>
      </c>
    </row>
    <row r="700" spans="2:13" hidden="1" x14ac:dyDescent="0.2">
      <c r="L700" t="str">
        <f t="shared" si="20"/>
        <v/>
      </c>
      <c r="M700" t="str">
        <f t="shared" si="21"/>
        <v/>
      </c>
    </row>
    <row r="701" spans="2:13" hidden="1" x14ac:dyDescent="0.2">
      <c r="B701" t="s">
        <v>294</v>
      </c>
      <c r="L701" t="str">
        <f t="shared" si="20"/>
        <v/>
      </c>
      <c r="M701" t="str">
        <f t="shared" si="21"/>
        <v/>
      </c>
    </row>
    <row r="702" spans="2:13" hidden="1" x14ac:dyDescent="0.2">
      <c r="C702" t="s">
        <v>294</v>
      </c>
      <c r="E702" t="s">
        <v>298</v>
      </c>
      <c r="L702" t="str">
        <f t="shared" si="20"/>
        <v/>
      </c>
      <c r="M702" t="str">
        <f t="shared" si="21"/>
        <v/>
      </c>
    </row>
    <row r="703" spans="2:13" hidden="1" x14ac:dyDescent="0.2">
      <c r="C703" t="s">
        <v>294</v>
      </c>
      <c r="F703" t="s">
        <v>296</v>
      </c>
      <c r="L703" t="str">
        <f t="shared" si="20"/>
        <v/>
      </c>
      <c r="M703" t="str">
        <f t="shared" si="21"/>
        <v>t.c</v>
      </c>
    </row>
    <row r="704" spans="2:13" x14ac:dyDescent="0.2">
      <c r="E704" t="s">
        <v>307</v>
      </c>
      <c r="F704" t="s">
        <v>1734</v>
      </c>
      <c r="L704" t="str">
        <f t="shared" si="20"/>
        <v xml:space="preserve"> 8</v>
      </c>
      <c r="M704" t="str">
        <f t="shared" si="21"/>
        <v>GCH</v>
      </c>
    </row>
    <row r="705" spans="2:13" hidden="1" x14ac:dyDescent="0.2">
      <c r="F705" t="s">
        <v>1735</v>
      </c>
      <c r="L705" t="str">
        <f t="shared" si="20"/>
        <v/>
      </c>
      <c r="M705" t="str">
        <f t="shared" si="21"/>
        <v>UAC</v>
      </c>
    </row>
    <row r="706" spans="2:13" hidden="1" x14ac:dyDescent="0.2">
      <c r="F706" t="s">
        <v>297</v>
      </c>
      <c r="L706" t="str">
        <f t="shared" si="20"/>
        <v/>
      </c>
      <c r="M706" t="str">
        <f t="shared" si="21"/>
        <v>pti</v>
      </c>
    </row>
    <row r="707" spans="2:13" hidden="1" x14ac:dyDescent="0.2">
      <c r="L707" t="str">
        <f t="shared" si="20"/>
        <v/>
      </c>
      <c r="M707" t="str">
        <f t="shared" si="21"/>
        <v/>
      </c>
    </row>
    <row r="708" spans="2:13" hidden="1" x14ac:dyDescent="0.2">
      <c r="B708" t="s">
        <v>294</v>
      </c>
      <c r="L708" t="str">
        <f t="shared" si="20"/>
        <v/>
      </c>
      <c r="M708" t="str">
        <f t="shared" si="21"/>
        <v/>
      </c>
    </row>
    <row r="709" spans="2:13" hidden="1" x14ac:dyDescent="0.2">
      <c r="C709" t="s">
        <v>294</v>
      </c>
      <c r="E709" t="s">
        <v>298</v>
      </c>
      <c r="L709" t="str">
        <f t="shared" ref="L709:L772" si="22">MID(E709,10,2)</f>
        <v/>
      </c>
      <c r="M709" t="str">
        <f t="shared" ref="M709:M772" si="23">MID(F709,24,3)</f>
        <v/>
      </c>
    </row>
    <row r="710" spans="2:13" hidden="1" x14ac:dyDescent="0.2">
      <c r="C710" t="s">
        <v>294</v>
      </c>
      <c r="F710" t="s">
        <v>296</v>
      </c>
      <c r="L710" t="str">
        <f t="shared" si="22"/>
        <v/>
      </c>
      <c r="M710" t="str">
        <f t="shared" si="23"/>
        <v>t.c</v>
      </c>
    </row>
    <row r="711" spans="2:13" x14ac:dyDescent="0.2">
      <c r="E711" t="s">
        <v>307</v>
      </c>
      <c r="F711" t="s">
        <v>1736</v>
      </c>
      <c r="L711" t="str">
        <f t="shared" si="22"/>
        <v xml:space="preserve"> 8</v>
      </c>
      <c r="M711" t="str">
        <f t="shared" si="23"/>
        <v>JEZ</v>
      </c>
    </row>
    <row r="712" spans="2:13" hidden="1" x14ac:dyDescent="0.2">
      <c r="F712" t="s">
        <v>1737</v>
      </c>
      <c r="L712" t="str">
        <f t="shared" si="22"/>
        <v/>
      </c>
      <c r="M712" t="str">
        <f t="shared" si="23"/>
        <v>IME</v>
      </c>
    </row>
    <row r="713" spans="2:13" hidden="1" x14ac:dyDescent="0.2">
      <c r="F713" t="s">
        <v>297</v>
      </c>
      <c r="L713" t="str">
        <f t="shared" si="22"/>
        <v/>
      </c>
      <c r="M713" t="str">
        <f t="shared" si="23"/>
        <v>pti</v>
      </c>
    </row>
    <row r="714" spans="2:13" hidden="1" x14ac:dyDescent="0.2">
      <c r="L714" t="str">
        <f t="shared" si="22"/>
        <v/>
      </c>
      <c r="M714" t="str">
        <f t="shared" si="23"/>
        <v/>
      </c>
    </row>
    <row r="715" spans="2:13" hidden="1" x14ac:dyDescent="0.2">
      <c r="B715" t="s">
        <v>294</v>
      </c>
      <c r="L715" t="str">
        <f t="shared" si="22"/>
        <v/>
      </c>
      <c r="M715" t="str">
        <f t="shared" si="23"/>
        <v/>
      </c>
    </row>
    <row r="716" spans="2:13" hidden="1" x14ac:dyDescent="0.2">
      <c r="C716" t="s">
        <v>294</v>
      </c>
      <c r="E716" t="s">
        <v>298</v>
      </c>
      <c r="L716" t="str">
        <f t="shared" si="22"/>
        <v/>
      </c>
      <c r="M716" t="str">
        <f t="shared" si="23"/>
        <v/>
      </c>
    </row>
    <row r="717" spans="2:13" hidden="1" x14ac:dyDescent="0.2">
      <c r="C717" t="s">
        <v>294</v>
      </c>
      <c r="F717" t="s">
        <v>296</v>
      </c>
      <c r="L717" t="str">
        <f t="shared" si="22"/>
        <v/>
      </c>
      <c r="M717" t="str">
        <f t="shared" si="23"/>
        <v>t.c</v>
      </c>
    </row>
    <row r="718" spans="2:13" x14ac:dyDescent="0.2">
      <c r="E718" t="s">
        <v>307</v>
      </c>
      <c r="F718" t="s">
        <v>1738</v>
      </c>
      <c r="L718" t="str">
        <f t="shared" si="22"/>
        <v xml:space="preserve"> 8</v>
      </c>
      <c r="M718" t="str">
        <f t="shared" si="23"/>
        <v>PAR</v>
      </c>
    </row>
    <row r="719" spans="2:13" hidden="1" x14ac:dyDescent="0.2">
      <c r="F719" t="s">
        <v>1739</v>
      </c>
      <c r="L719" t="str">
        <f t="shared" si="22"/>
        <v/>
      </c>
      <c r="M719" t="str">
        <f t="shared" si="23"/>
        <v>ARR</v>
      </c>
    </row>
    <row r="720" spans="2:13" hidden="1" x14ac:dyDescent="0.2">
      <c r="F720" t="s">
        <v>297</v>
      </c>
      <c r="L720" t="str">
        <f t="shared" si="22"/>
        <v/>
      </c>
      <c r="M720" t="str">
        <f t="shared" si="23"/>
        <v>pti</v>
      </c>
    </row>
    <row r="721" spans="2:13" hidden="1" x14ac:dyDescent="0.2">
      <c r="L721" t="str">
        <f t="shared" si="22"/>
        <v/>
      </c>
      <c r="M721" t="str">
        <f t="shared" si="23"/>
        <v/>
      </c>
    </row>
    <row r="722" spans="2:13" hidden="1" x14ac:dyDescent="0.2">
      <c r="B722" t="s">
        <v>294</v>
      </c>
      <c r="L722" t="str">
        <f t="shared" si="22"/>
        <v/>
      </c>
      <c r="M722" t="str">
        <f t="shared" si="23"/>
        <v/>
      </c>
    </row>
    <row r="723" spans="2:13" hidden="1" x14ac:dyDescent="0.2">
      <c r="C723" t="s">
        <v>294</v>
      </c>
      <c r="E723" t="s">
        <v>298</v>
      </c>
      <c r="L723" t="str">
        <f t="shared" si="22"/>
        <v/>
      </c>
      <c r="M723" t="str">
        <f t="shared" si="23"/>
        <v/>
      </c>
    </row>
    <row r="724" spans="2:13" hidden="1" x14ac:dyDescent="0.2">
      <c r="C724" t="s">
        <v>294</v>
      </c>
      <c r="F724" t="s">
        <v>296</v>
      </c>
      <c r="L724" t="str">
        <f t="shared" si="22"/>
        <v/>
      </c>
      <c r="M724" t="str">
        <f t="shared" si="23"/>
        <v>t.c</v>
      </c>
    </row>
    <row r="725" spans="2:13" x14ac:dyDescent="0.2">
      <c r="E725" t="s">
        <v>307</v>
      </c>
      <c r="F725" t="s">
        <v>1740</v>
      </c>
      <c r="L725" t="str">
        <f t="shared" si="22"/>
        <v xml:space="preserve"> 8</v>
      </c>
      <c r="M725" t="str">
        <f t="shared" si="23"/>
        <v>PTJ</v>
      </c>
    </row>
    <row r="726" spans="2:13" hidden="1" x14ac:dyDescent="0.2">
      <c r="F726" t="s">
        <v>1741</v>
      </c>
      <c r="L726" t="str">
        <f t="shared" si="22"/>
        <v/>
      </c>
      <c r="M726" t="str">
        <f t="shared" si="23"/>
        <v>UER</v>
      </c>
    </row>
    <row r="727" spans="2:13" hidden="1" x14ac:dyDescent="0.2">
      <c r="F727" t="s">
        <v>297</v>
      </c>
      <c r="L727" t="str">
        <f t="shared" si="22"/>
        <v/>
      </c>
      <c r="M727" t="str">
        <f t="shared" si="23"/>
        <v>pti</v>
      </c>
    </row>
    <row r="728" spans="2:13" hidden="1" x14ac:dyDescent="0.2">
      <c r="L728" t="str">
        <f t="shared" si="22"/>
        <v/>
      </c>
      <c r="M728" t="str">
        <f t="shared" si="23"/>
        <v/>
      </c>
    </row>
    <row r="729" spans="2:13" hidden="1" x14ac:dyDescent="0.2">
      <c r="B729" t="s">
        <v>294</v>
      </c>
      <c r="L729" t="str">
        <f t="shared" si="22"/>
        <v/>
      </c>
      <c r="M729" t="str">
        <f t="shared" si="23"/>
        <v/>
      </c>
    </row>
    <row r="730" spans="2:13" hidden="1" x14ac:dyDescent="0.2">
      <c r="C730" t="s">
        <v>294</v>
      </c>
      <c r="E730" t="s">
        <v>298</v>
      </c>
      <c r="L730" t="str">
        <f t="shared" si="22"/>
        <v/>
      </c>
      <c r="M730" t="str">
        <f t="shared" si="23"/>
        <v/>
      </c>
    </row>
    <row r="731" spans="2:13" hidden="1" x14ac:dyDescent="0.2">
      <c r="C731" t="s">
        <v>294</v>
      </c>
      <c r="F731" t="s">
        <v>296</v>
      </c>
      <c r="L731" t="str">
        <f t="shared" si="22"/>
        <v/>
      </c>
      <c r="M731" t="str">
        <f t="shared" si="23"/>
        <v>t.c</v>
      </c>
    </row>
    <row r="732" spans="2:13" x14ac:dyDescent="0.2">
      <c r="E732" t="s">
        <v>307</v>
      </c>
      <c r="F732" t="s">
        <v>1742</v>
      </c>
      <c r="L732" t="str">
        <f t="shared" si="22"/>
        <v xml:space="preserve"> 8</v>
      </c>
      <c r="M732" t="str">
        <f t="shared" si="23"/>
        <v>RIF</v>
      </c>
    </row>
    <row r="733" spans="2:13" hidden="1" x14ac:dyDescent="0.2">
      <c r="F733" t="s">
        <v>1743</v>
      </c>
      <c r="L733" t="str">
        <f t="shared" si="22"/>
        <v/>
      </c>
      <c r="M733" t="str">
        <f t="shared" si="23"/>
        <v xml:space="preserve">IO </v>
      </c>
    </row>
    <row r="734" spans="2:13" hidden="1" x14ac:dyDescent="0.2">
      <c r="F734" t="s">
        <v>297</v>
      </c>
      <c r="L734" t="str">
        <f t="shared" si="22"/>
        <v/>
      </c>
      <c r="M734" t="str">
        <f t="shared" si="23"/>
        <v>pti</v>
      </c>
    </row>
    <row r="735" spans="2:13" hidden="1" x14ac:dyDescent="0.2">
      <c r="L735" t="str">
        <f t="shared" si="22"/>
        <v/>
      </c>
      <c r="M735" t="str">
        <f t="shared" si="23"/>
        <v/>
      </c>
    </row>
    <row r="736" spans="2:13" hidden="1" x14ac:dyDescent="0.2">
      <c r="B736" t="s">
        <v>294</v>
      </c>
      <c r="L736" t="str">
        <f t="shared" si="22"/>
        <v/>
      </c>
      <c r="M736" t="str">
        <f t="shared" si="23"/>
        <v/>
      </c>
    </row>
    <row r="737" spans="2:13" hidden="1" x14ac:dyDescent="0.2">
      <c r="C737" t="s">
        <v>294</v>
      </c>
      <c r="E737" t="s">
        <v>298</v>
      </c>
      <c r="L737" t="str">
        <f t="shared" si="22"/>
        <v/>
      </c>
      <c r="M737" t="str">
        <f t="shared" si="23"/>
        <v/>
      </c>
    </row>
    <row r="738" spans="2:13" hidden="1" x14ac:dyDescent="0.2">
      <c r="C738" t="s">
        <v>294</v>
      </c>
      <c r="F738" t="s">
        <v>296</v>
      </c>
      <c r="L738" t="str">
        <f t="shared" si="22"/>
        <v/>
      </c>
      <c r="M738" t="str">
        <f t="shared" si="23"/>
        <v>t.c</v>
      </c>
    </row>
    <row r="739" spans="2:13" x14ac:dyDescent="0.2">
      <c r="E739" t="s">
        <v>307</v>
      </c>
      <c r="F739" t="s">
        <v>1744</v>
      </c>
      <c r="L739" t="str">
        <f t="shared" si="22"/>
        <v xml:space="preserve"> 8</v>
      </c>
      <c r="M739" t="str">
        <f t="shared" si="23"/>
        <v>SMO</v>
      </c>
    </row>
    <row r="740" spans="2:13" hidden="1" x14ac:dyDescent="0.2">
      <c r="F740" t="s">
        <v>1745</v>
      </c>
      <c r="L740" t="str">
        <f t="shared" si="22"/>
        <v/>
      </c>
      <c r="M740" t="str">
        <f t="shared" si="23"/>
        <v>ANT</v>
      </c>
    </row>
    <row r="741" spans="2:13" hidden="1" x14ac:dyDescent="0.2">
      <c r="F741" t="s">
        <v>297</v>
      </c>
      <c r="L741" t="str">
        <f t="shared" si="22"/>
        <v/>
      </c>
      <c r="M741" t="str">
        <f t="shared" si="23"/>
        <v>pti</v>
      </c>
    </row>
    <row r="742" spans="2:13" hidden="1" x14ac:dyDescent="0.2">
      <c r="L742" t="str">
        <f t="shared" si="22"/>
        <v/>
      </c>
      <c r="M742" t="str">
        <f t="shared" si="23"/>
        <v/>
      </c>
    </row>
    <row r="743" spans="2:13" hidden="1" x14ac:dyDescent="0.2">
      <c r="B743" t="s">
        <v>294</v>
      </c>
      <c r="L743" t="str">
        <f t="shared" si="22"/>
        <v/>
      </c>
      <c r="M743" t="str">
        <f t="shared" si="23"/>
        <v/>
      </c>
    </row>
    <row r="744" spans="2:13" hidden="1" x14ac:dyDescent="0.2">
      <c r="C744" t="s">
        <v>294</v>
      </c>
      <c r="E744" t="s">
        <v>298</v>
      </c>
      <c r="L744" t="str">
        <f t="shared" si="22"/>
        <v/>
      </c>
      <c r="M744" t="str">
        <f t="shared" si="23"/>
        <v/>
      </c>
    </row>
    <row r="745" spans="2:13" hidden="1" x14ac:dyDescent="0.2">
      <c r="C745" t="s">
        <v>294</v>
      </c>
      <c r="F745" t="s">
        <v>296</v>
      </c>
      <c r="L745" t="str">
        <f t="shared" si="22"/>
        <v/>
      </c>
      <c r="M745" t="str">
        <f t="shared" si="23"/>
        <v>t.c</v>
      </c>
    </row>
    <row r="746" spans="2:13" x14ac:dyDescent="0.2">
      <c r="E746" t="s">
        <v>307</v>
      </c>
      <c r="F746" t="s">
        <v>1746</v>
      </c>
      <c r="L746" t="str">
        <f t="shared" si="22"/>
        <v xml:space="preserve"> 8</v>
      </c>
      <c r="M746" t="str">
        <f t="shared" si="23"/>
        <v>SGU</v>
      </c>
    </row>
    <row r="747" spans="2:13" hidden="1" x14ac:dyDescent="0.2">
      <c r="F747" t="s">
        <v>1747</v>
      </c>
      <c r="L747" t="str">
        <f t="shared" si="22"/>
        <v/>
      </c>
      <c r="M747" t="str">
        <f t="shared" si="23"/>
        <v>ANT</v>
      </c>
    </row>
    <row r="748" spans="2:13" hidden="1" x14ac:dyDescent="0.2">
      <c r="F748" t="s">
        <v>297</v>
      </c>
      <c r="L748" t="str">
        <f t="shared" si="22"/>
        <v/>
      </c>
      <c r="M748" t="str">
        <f t="shared" si="23"/>
        <v>pti</v>
      </c>
    </row>
    <row r="749" spans="2:13" hidden="1" x14ac:dyDescent="0.2">
      <c r="L749" t="str">
        <f t="shared" si="22"/>
        <v/>
      </c>
      <c r="M749" t="str">
        <f t="shared" si="23"/>
        <v/>
      </c>
    </row>
    <row r="750" spans="2:13" hidden="1" x14ac:dyDescent="0.2">
      <c r="B750" t="s">
        <v>294</v>
      </c>
      <c r="L750" t="str">
        <f t="shared" si="22"/>
        <v/>
      </c>
      <c r="M750" t="str">
        <f t="shared" si="23"/>
        <v/>
      </c>
    </row>
    <row r="751" spans="2:13" hidden="1" x14ac:dyDescent="0.2">
      <c r="C751" t="s">
        <v>294</v>
      </c>
      <c r="E751" t="s">
        <v>298</v>
      </c>
      <c r="L751" t="str">
        <f t="shared" si="22"/>
        <v/>
      </c>
      <c r="M751" t="str">
        <f t="shared" si="23"/>
        <v/>
      </c>
    </row>
    <row r="752" spans="2:13" hidden="1" x14ac:dyDescent="0.2">
      <c r="C752" t="s">
        <v>294</v>
      </c>
      <c r="F752" t="s">
        <v>296</v>
      </c>
      <c r="L752" t="str">
        <f t="shared" si="22"/>
        <v/>
      </c>
      <c r="M752" t="str">
        <f t="shared" si="23"/>
        <v>t.c</v>
      </c>
    </row>
    <row r="753" spans="2:13" x14ac:dyDescent="0.2">
      <c r="E753" t="s">
        <v>308</v>
      </c>
      <c r="F753" t="s">
        <v>1748</v>
      </c>
      <c r="L753" t="str">
        <f t="shared" si="22"/>
        <v xml:space="preserve"> 9</v>
      </c>
      <c r="M753" t="str">
        <f t="shared" si="23"/>
        <v>ABG</v>
      </c>
    </row>
    <row r="754" spans="2:13" hidden="1" x14ac:dyDescent="0.2">
      <c r="F754" t="s">
        <v>1749</v>
      </c>
      <c r="L754" t="str">
        <f t="shared" si="22"/>
        <v/>
      </c>
      <c r="M754" t="str">
        <f t="shared" si="23"/>
        <v>BRA</v>
      </c>
    </row>
    <row r="755" spans="2:13" hidden="1" x14ac:dyDescent="0.2">
      <c r="F755" t="s">
        <v>297</v>
      </c>
      <c r="L755" t="str">
        <f t="shared" si="22"/>
        <v/>
      </c>
      <c r="M755" t="str">
        <f t="shared" si="23"/>
        <v>pti</v>
      </c>
    </row>
    <row r="756" spans="2:13" hidden="1" x14ac:dyDescent="0.2">
      <c r="L756" t="str">
        <f t="shared" si="22"/>
        <v/>
      </c>
      <c r="M756" t="str">
        <f t="shared" si="23"/>
        <v/>
      </c>
    </row>
    <row r="757" spans="2:13" hidden="1" x14ac:dyDescent="0.2">
      <c r="B757" t="s">
        <v>294</v>
      </c>
      <c r="L757" t="str">
        <f t="shared" si="22"/>
        <v/>
      </c>
      <c r="M757" t="str">
        <f t="shared" si="23"/>
        <v/>
      </c>
    </row>
    <row r="758" spans="2:13" hidden="1" x14ac:dyDescent="0.2">
      <c r="C758" t="s">
        <v>294</v>
      </c>
      <c r="E758" t="s">
        <v>298</v>
      </c>
      <c r="L758" t="str">
        <f t="shared" si="22"/>
        <v/>
      </c>
      <c r="M758" t="str">
        <f t="shared" si="23"/>
        <v/>
      </c>
    </row>
    <row r="759" spans="2:13" hidden="1" x14ac:dyDescent="0.2">
      <c r="C759" t="s">
        <v>294</v>
      </c>
      <c r="F759" t="s">
        <v>296</v>
      </c>
      <c r="L759" t="str">
        <f t="shared" si="22"/>
        <v/>
      </c>
      <c r="M759" t="str">
        <f t="shared" si="23"/>
        <v>t.c</v>
      </c>
    </row>
    <row r="760" spans="2:13" x14ac:dyDescent="0.2">
      <c r="E760" t="s">
        <v>308</v>
      </c>
      <c r="F760" t="s">
        <v>1750</v>
      </c>
      <c r="L760" t="str">
        <f t="shared" si="22"/>
        <v xml:space="preserve"> 9</v>
      </c>
      <c r="M760" t="str">
        <f t="shared" si="23"/>
        <v>ARM</v>
      </c>
    </row>
    <row r="761" spans="2:13" hidden="1" x14ac:dyDescent="0.2">
      <c r="F761" t="s">
        <v>1751</v>
      </c>
      <c r="L761" t="str">
        <f t="shared" si="22"/>
        <v/>
      </c>
      <c r="M761" t="str">
        <f t="shared" si="23"/>
        <v>RME</v>
      </c>
    </row>
    <row r="762" spans="2:13" hidden="1" x14ac:dyDescent="0.2">
      <c r="F762" t="s">
        <v>297</v>
      </c>
      <c r="L762" t="str">
        <f t="shared" si="22"/>
        <v/>
      </c>
      <c r="M762" t="str">
        <f t="shared" si="23"/>
        <v>pti</v>
      </c>
    </row>
    <row r="763" spans="2:13" hidden="1" x14ac:dyDescent="0.2">
      <c r="L763" t="str">
        <f t="shared" si="22"/>
        <v/>
      </c>
      <c r="M763" t="str">
        <f t="shared" si="23"/>
        <v/>
      </c>
    </row>
    <row r="764" spans="2:13" hidden="1" x14ac:dyDescent="0.2">
      <c r="B764" t="s">
        <v>294</v>
      </c>
      <c r="L764" t="str">
        <f t="shared" si="22"/>
        <v/>
      </c>
      <c r="M764" t="str">
        <f t="shared" si="23"/>
        <v/>
      </c>
    </row>
    <row r="765" spans="2:13" hidden="1" x14ac:dyDescent="0.2">
      <c r="C765" t="s">
        <v>294</v>
      </c>
      <c r="E765" t="s">
        <v>298</v>
      </c>
      <c r="L765" t="str">
        <f t="shared" si="22"/>
        <v/>
      </c>
      <c r="M765" t="str">
        <f t="shared" si="23"/>
        <v/>
      </c>
    </row>
    <row r="766" spans="2:13" hidden="1" x14ac:dyDescent="0.2">
      <c r="C766" t="s">
        <v>294</v>
      </c>
      <c r="F766" t="s">
        <v>296</v>
      </c>
      <c r="L766" t="str">
        <f t="shared" si="22"/>
        <v/>
      </c>
      <c r="M766" t="str">
        <f t="shared" si="23"/>
        <v>t.c</v>
      </c>
    </row>
    <row r="767" spans="2:13" x14ac:dyDescent="0.2">
      <c r="E767" t="s">
        <v>308</v>
      </c>
      <c r="F767" t="s">
        <v>1752</v>
      </c>
      <c r="L767" t="str">
        <f t="shared" si="22"/>
        <v xml:space="preserve"> 9</v>
      </c>
      <c r="M767" t="str">
        <f t="shared" si="23"/>
        <v>BOQ</v>
      </c>
    </row>
    <row r="768" spans="2:13" hidden="1" x14ac:dyDescent="0.2">
      <c r="F768" t="s">
        <v>1753</v>
      </c>
      <c r="L768" t="str">
        <f t="shared" si="22"/>
        <v/>
      </c>
      <c r="M768" t="str">
        <f t="shared" si="23"/>
        <v>OQU</v>
      </c>
    </row>
    <row r="769" spans="2:13" hidden="1" x14ac:dyDescent="0.2">
      <c r="F769" t="s">
        <v>297</v>
      </c>
      <c r="L769" t="str">
        <f t="shared" si="22"/>
        <v/>
      </c>
      <c r="M769" t="str">
        <f t="shared" si="23"/>
        <v>pti</v>
      </c>
    </row>
    <row r="770" spans="2:13" hidden="1" x14ac:dyDescent="0.2">
      <c r="L770" t="str">
        <f t="shared" si="22"/>
        <v/>
      </c>
      <c r="M770" t="str">
        <f t="shared" si="23"/>
        <v/>
      </c>
    </row>
    <row r="771" spans="2:13" hidden="1" x14ac:dyDescent="0.2">
      <c r="B771" t="s">
        <v>294</v>
      </c>
      <c r="L771" t="str">
        <f t="shared" si="22"/>
        <v/>
      </c>
      <c r="M771" t="str">
        <f t="shared" si="23"/>
        <v/>
      </c>
    </row>
    <row r="772" spans="2:13" hidden="1" x14ac:dyDescent="0.2">
      <c r="C772" t="s">
        <v>294</v>
      </c>
      <c r="E772" t="s">
        <v>298</v>
      </c>
      <c r="L772" t="str">
        <f t="shared" si="22"/>
        <v/>
      </c>
      <c r="M772" t="str">
        <f t="shared" si="23"/>
        <v/>
      </c>
    </row>
    <row r="773" spans="2:13" hidden="1" x14ac:dyDescent="0.2">
      <c r="C773" t="s">
        <v>294</v>
      </c>
      <c r="F773" t="s">
        <v>296</v>
      </c>
      <c r="L773" t="str">
        <f t="shared" ref="L773:L836" si="24">MID(E773,10,2)</f>
        <v/>
      </c>
      <c r="M773" t="str">
        <f t="shared" ref="M773:M836" si="25">MID(F773,24,3)</f>
        <v>t.c</v>
      </c>
    </row>
    <row r="774" spans="2:13" x14ac:dyDescent="0.2">
      <c r="E774" t="s">
        <v>308</v>
      </c>
      <c r="F774" t="s">
        <v>1754</v>
      </c>
      <c r="L774" t="str">
        <f t="shared" si="24"/>
        <v xml:space="preserve"> 9</v>
      </c>
      <c r="M774" t="str">
        <f t="shared" si="25"/>
        <v>CGU</v>
      </c>
    </row>
    <row r="775" spans="2:13" hidden="1" x14ac:dyDescent="0.2">
      <c r="F775" t="s">
        <v>1755</v>
      </c>
      <c r="L775" t="str">
        <f t="shared" si="24"/>
        <v/>
      </c>
      <c r="M775" t="str">
        <f t="shared" si="25"/>
        <v>AMA</v>
      </c>
    </row>
    <row r="776" spans="2:13" hidden="1" x14ac:dyDescent="0.2">
      <c r="F776" t="s">
        <v>297</v>
      </c>
      <c r="L776" t="str">
        <f t="shared" si="24"/>
        <v/>
      </c>
      <c r="M776" t="str">
        <f t="shared" si="25"/>
        <v>pti</v>
      </c>
    </row>
    <row r="777" spans="2:13" hidden="1" x14ac:dyDescent="0.2">
      <c r="L777" t="str">
        <f t="shared" si="24"/>
        <v/>
      </c>
      <c r="M777" t="str">
        <f t="shared" si="25"/>
        <v/>
      </c>
    </row>
    <row r="778" spans="2:13" hidden="1" x14ac:dyDescent="0.2">
      <c r="B778" t="s">
        <v>294</v>
      </c>
      <c r="L778" t="str">
        <f t="shared" si="24"/>
        <v/>
      </c>
      <c r="M778" t="str">
        <f t="shared" si="25"/>
        <v/>
      </c>
    </row>
    <row r="779" spans="2:13" hidden="1" x14ac:dyDescent="0.2">
      <c r="C779" t="s">
        <v>294</v>
      </c>
      <c r="E779" t="s">
        <v>298</v>
      </c>
      <c r="L779" t="str">
        <f t="shared" si="24"/>
        <v/>
      </c>
      <c r="M779" t="str">
        <f t="shared" si="25"/>
        <v/>
      </c>
    </row>
    <row r="780" spans="2:13" hidden="1" x14ac:dyDescent="0.2">
      <c r="C780" t="s">
        <v>294</v>
      </c>
      <c r="F780" t="s">
        <v>296</v>
      </c>
      <c r="L780" t="str">
        <f t="shared" si="24"/>
        <v/>
      </c>
      <c r="M780" t="str">
        <f t="shared" si="25"/>
        <v>t.c</v>
      </c>
    </row>
    <row r="781" spans="2:13" x14ac:dyDescent="0.2">
      <c r="E781" t="s">
        <v>308</v>
      </c>
      <c r="F781" t="s">
        <v>1756</v>
      </c>
      <c r="L781" t="str">
        <f t="shared" si="24"/>
        <v xml:space="preserve"> 9</v>
      </c>
      <c r="M781" t="str">
        <f t="shared" si="25"/>
        <v>DLS</v>
      </c>
    </row>
    <row r="782" spans="2:13" hidden="1" x14ac:dyDescent="0.2">
      <c r="F782" t="s">
        <v>1757</v>
      </c>
      <c r="L782" t="str">
        <f t="shared" si="24"/>
        <v/>
      </c>
      <c r="M782" t="str">
        <f t="shared" si="25"/>
        <v>ELI</v>
      </c>
    </row>
    <row r="783" spans="2:13" hidden="1" x14ac:dyDescent="0.2">
      <c r="F783" t="s">
        <v>297</v>
      </c>
      <c r="L783" t="str">
        <f t="shared" si="24"/>
        <v/>
      </c>
      <c r="M783" t="str">
        <f t="shared" si="25"/>
        <v>pti</v>
      </c>
    </row>
    <row r="784" spans="2:13" hidden="1" x14ac:dyDescent="0.2">
      <c r="L784" t="str">
        <f t="shared" si="24"/>
        <v/>
      </c>
      <c r="M784" t="str">
        <f t="shared" si="25"/>
        <v/>
      </c>
    </row>
    <row r="785" spans="2:13" hidden="1" x14ac:dyDescent="0.2">
      <c r="B785" t="s">
        <v>294</v>
      </c>
      <c r="L785" t="str">
        <f t="shared" si="24"/>
        <v/>
      </c>
      <c r="M785" t="str">
        <f t="shared" si="25"/>
        <v/>
      </c>
    </row>
    <row r="786" spans="2:13" hidden="1" x14ac:dyDescent="0.2">
      <c r="C786" t="s">
        <v>294</v>
      </c>
      <c r="E786" t="s">
        <v>298</v>
      </c>
      <c r="L786" t="str">
        <f t="shared" si="24"/>
        <v/>
      </c>
      <c r="M786" t="str">
        <f t="shared" si="25"/>
        <v/>
      </c>
    </row>
    <row r="787" spans="2:13" hidden="1" x14ac:dyDescent="0.2">
      <c r="C787" t="s">
        <v>294</v>
      </c>
      <c r="F787" t="s">
        <v>296</v>
      </c>
      <c r="L787" t="str">
        <f t="shared" si="24"/>
        <v/>
      </c>
      <c r="M787" t="str">
        <f t="shared" si="25"/>
        <v>t.c</v>
      </c>
    </row>
    <row r="788" spans="2:13" x14ac:dyDescent="0.2">
      <c r="E788" t="s">
        <v>308</v>
      </c>
      <c r="F788" t="s">
        <v>1758</v>
      </c>
      <c r="L788" t="str">
        <f t="shared" si="24"/>
        <v xml:space="preserve"> 9</v>
      </c>
      <c r="M788" t="str">
        <f t="shared" si="25"/>
        <v>DLD</v>
      </c>
    </row>
    <row r="789" spans="2:13" hidden="1" x14ac:dyDescent="0.2">
      <c r="F789" t="s">
        <v>1759</v>
      </c>
      <c r="L789" t="str">
        <f t="shared" si="24"/>
        <v/>
      </c>
      <c r="M789" t="str">
        <f t="shared" si="25"/>
        <v>ELI</v>
      </c>
    </row>
    <row r="790" spans="2:13" hidden="1" x14ac:dyDescent="0.2">
      <c r="F790" t="s">
        <v>297</v>
      </c>
      <c r="L790" t="str">
        <f t="shared" si="24"/>
        <v/>
      </c>
      <c r="M790" t="str">
        <f t="shared" si="25"/>
        <v>pti</v>
      </c>
    </row>
    <row r="791" spans="2:13" hidden="1" x14ac:dyDescent="0.2">
      <c r="L791" t="str">
        <f t="shared" si="24"/>
        <v/>
      </c>
      <c r="M791" t="str">
        <f t="shared" si="25"/>
        <v/>
      </c>
    </row>
    <row r="792" spans="2:13" hidden="1" x14ac:dyDescent="0.2">
      <c r="B792" t="s">
        <v>294</v>
      </c>
      <c r="L792" t="str">
        <f t="shared" si="24"/>
        <v/>
      </c>
      <c r="M792" t="str">
        <f t="shared" si="25"/>
        <v/>
      </c>
    </row>
    <row r="793" spans="2:13" hidden="1" x14ac:dyDescent="0.2">
      <c r="C793" t="s">
        <v>294</v>
      </c>
      <c r="E793" t="s">
        <v>298</v>
      </c>
      <c r="L793" t="str">
        <f t="shared" si="24"/>
        <v/>
      </c>
      <c r="M793" t="str">
        <f t="shared" si="25"/>
        <v/>
      </c>
    </row>
    <row r="794" spans="2:13" hidden="1" x14ac:dyDescent="0.2">
      <c r="C794" t="s">
        <v>294</v>
      </c>
      <c r="F794" t="s">
        <v>296</v>
      </c>
      <c r="L794" t="str">
        <f t="shared" si="24"/>
        <v/>
      </c>
      <c r="M794" t="str">
        <f t="shared" si="25"/>
        <v>t.c</v>
      </c>
    </row>
    <row r="795" spans="2:13" x14ac:dyDescent="0.2">
      <c r="E795" t="s">
        <v>308</v>
      </c>
      <c r="F795" t="s">
        <v>1760</v>
      </c>
      <c r="L795" t="str">
        <f t="shared" si="24"/>
        <v xml:space="preserve"> 9</v>
      </c>
      <c r="M795" t="str">
        <f t="shared" si="25"/>
        <v>FVL</v>
      </c>
    </row>
    <row r="796" spans="2:13" hidden="1" x14ac:dyDescent="0.2">
      <c r="F796" t="s">
        <v>1761</v>
      </c>
      <c r="L796" t="str">
        <f t="shared" si="24"/>
        <v/>
      </c>
      <c r="M796" t="str">
        <f t="shared" si="25"/>
        <v>RAN</v>
      </c>
    </row>
    <row r="797" spans="2:13" hidden="1" x14ac:dyDescent="0.2">
      <c r="F797" t="s">
        <v>297</v>
      </c>
      <c r="L797" t="str">
        <f t="shared" si="24"/>
        <v/>
      </c>
      <c r="M797" t="str">
        <f t="shared" si="25"/>
        <v>pti</v>
      </c>
    </row>
    <row r="798" spans="2:13" hidden="1" x14ac:dyDescent="0.2">
      <c r="L798" t="str">
        <f t="shared" si="24"/>
        <v/>
      </c>
      <c r="M798" t="str">
        <f t="shared" si="25"/>
        <v/>
      </c>
    </row>
    <row r="799" spans="2:13" hidden="1" x14ac:dyDescent="0.2">
      <c r="B799" t="s">
        <v>294</v>
      </c>
      <c r="L799" t="str">
        <f t="shared" si="24"/>
        <v/>
      </c>
      <c r="M799" t="str">
        <f t="shared" si="25"/>
        <v/>
      </c>
    </row>
    <row r="800" spans="2:13" hidden="1" x14ac:dyDescent="0.2">
      <c r="C800" t="s">
        <v>294</v>
      </c>
      <c r="E800" t="s">
        <v>298</v>
      </c>
      <c r="L800" t="str">
        <f t="shared" si="24"/>
        <v/>
      </c>
      <c r="M800" t="str">
        <f t="shared" si="25"/>
        <v/>
      </c>
    </row>
    <row r="801" spans="2:13" hidden="1" x14ac:dyDescent="0.2">
      <c r="C801" t="s">
        <v>294</v>
      </c>
      <c r="F801" t="s">
        <v>296</v>
      </c>
      <c r="L801" t="str">
        <f t="shared" si="24"/>
        <v/>
      </c>
      <c r="M801" t="str">
        <f t="shared" si="25"/>
        <v>t.c</v>
      </c>
    </row>
    <row r="802" spans="2:13" x14ac:dyDescent="0.2">
      <c r="E802" t="s">
        <v>308</v>
      </c>
      <c r="F802" t="s">
        <v>1762</v>
      </c>
      <c r="L802" t="str">
        <f t="shared" si="24"/>
        <v xml:space="preserve"> 9</v>
      </c>
      <c r="M802" t="str">
        <f t="shared" si="25"/>
        <v>KOO</v>
      </c>
    </row>
    <row r="803" spans="2:13" hidden="1" x14ac:dyDescent="0.2">
      <c r="F803" t="s">
        <v>1763</v>
      </c>
      <c r="L803" t="str">
        <f t="shared" si="24"/>
        <v/>
      </c>
      <c r="M803" t="str">
        <f t="shared" si="25"/>
        <v>ILO</v>
      </c>
    </row>
    <row r="804" spans="2:13" hidden="1" x14ac:dyDescent="0.2">
      <c r="F804" t="s">
        <v>297</v>
      </c>
      <c r="L804" t="str">
        <f t="shared" si="24"/>
        <v/>
      </c>
      <c r="M804" t="str">
        <f t="shared" si="25"/>
        <v>pti</v>
      </c>
    </row>
    <row r="805" spans="2:13" hidden="1" x14ac:dyDescent="0.2">
      <c r="L805" t="str">
        <f t="shared" si="24"/>
        <v/>
      </c>
      <c r="M805" t="str">
        <f t="shared" si="25"/>
        <v/>
      </c>
    </row>
    <row r="806" spans="2:13" hidden="1" x14ac:dyDescent="0.2">
      <c r="B806" t="s">
        <v>294</v>
      </c>
      <c r="L806" t="str">
        <f t="shared" si="24"/>
        <v/>
      </c>
      <c r="M806" t="str">
        <f t="shared" si="25"/>
        <v/>
      </c>
    </row>
    <row r="807" spans="2:13" hidden="1" x14ac:dyDescent="0.2">
      <c r="C807" t="s">
        <v>294</v>
      </c>
      <c r="E807" t="s">
        <v>298</v>
      </c>
      <c r="L807" t="str">
        <f t="shared" si="24"/>
        <v/>
      </c>
      <c r="M807" t="str">
        <f t="shared" si="25"/>
        <v/>
      </c>
    </row>
    <row r="808" spans="2:13" hidden="1" x14ac:dyDescent="0.2">
      <c r="C808" t="s">
        <v>294</v>
      </c>
      <c r="F808" t="s">
        <v>296</v>
      </c>
      <c r="L808" t="str">
        <f t="shared" si="24"/>
        <v/>
      </c>
      <c r="M808" t="str">
        <f t="shared" si="25"/>
        <v>t.c</v>
      </c>
    </row>
    <row r="809" spans="2:13" x14ac:dyDescent="0.2">
      <c r="E809" t="s">
        <v>308</v>
      </c>
      <c r="F809" t="s">
        <v>1764</v>
      </c>
      <c r="L809" t="str">
        <f t="shared" si="24"/>
        <v xml:space="preserve"> 9</v>
      </c>
      <c r="M809" t="str">
        <f t="shared" si="25"/>
        <v>LCS</v>
      </c>
    </row>
    <row r="810" spans="2:13" hidden="1" x14ac:dyDescent="0.2">
      <c r="F810" t="s">
        <v>1765</v>
      </c>
      <c r="L810" t="str">
        <f t="shared" si="24"/>
        <v/>
      </c>
      <c r="M810" t="str">
        <f t="shared" si="25"/>
        <v>AZA</v>
      </c>
    </row>
    <row r="811" spans="2:13" hidden="1" x14ac:dyDescent="0.2">
      <c r="F811" t="s">
        <v>297</v>
      </c>
      <c r="L811" t="str">
        <f t="shared" si="24"/>
        <v/>
      </c>
      <c r="M811" t="str">
        <f t="shared" si="25"/>
        <v>pti</v>
      </c>
    </row>
    <row r="812" spans="2:13" hidden="1" x14ac:dyDescent="0.2">
      <c r="L812" t="str">
        <f t="shared" si="24"/>
        <v/>
      </c>
      <c r="M812" t="str">
        <f t="shared" si="25"/>
        <v/>
      </c>
    </row>
    <row r="813" spans="2:13" hidden="1" x14ac:dyDescent="0.2">
      <c r="B813" t="s">
        <v>294</v>
      </c>
      <c r="L813" t="str">
        <f t="shared" si="24"/>
        <v/>
      </c>
      <c r="M813" t="str">
        <f t="shared" si="25"/>
        <v/>
      </c>
    </row>
    <row r="814" spans="2:13" hidden="1" x14ac:dyDescent="0.2">
      <c r="C814" t="s">
        <v>294</v>
      </c>
      <c r="E814" t="s">
        <v>298</v>
      </c>
      <c r="L814" t="str">
        <f t="shared" si="24"/>
        <v/>
      </c>
      <c r="M814" t="str">
        <f t="shared" si="25"/>
        <v/>
      </c>
    </row>
    <row r="815" spans="2:13" hidden="1" x14ac:dyDescent="0.2">
      <c r="C815" t="s">
        <v>294</v>
      </c>
      <c r="F815" t="s">
        <v>296</v>
      </c>
      <c r="L815" t="str">
        <f t="shared" si="24"/>
        <v/>
      </c>
      <c r="M815" t="str">
        <f t="shared" si="25"/>
        <v>t.c</v>
      </c>
    </row>
    <row r="816" spans="2:13" x14ac:dyDescent="0.2">
      <c r="E816" t="s">
        <v>308</v>
      </c>
      <c r="F816" t="s">
        <v>1766</v>
      </c>
      <c r="L816" t="str">
        <f t="shared" si="24"/>
        <v xml:space="preserve"> 9</v>
      </c>
      <c r="M816" t="str">
        <f t="shared" si="25"/>
        <v>MOQ</v>
      </c>
    </row>
    <row r="817" spans="2:13" hidden="1" x14ac:dyDescent="0.2">
      <c r="F817" t="s">
        <v>1767</v>
      </c>
      <c r="L817" t="str">
        <f t="shared" si="24"/>
        <v/>
      </c>
      <c r="M817" t="str">
        <f t="shared" si="25"/>
        <v>EOQ</v>
      </c>
    </row>
    <row r="818" spans="2:13" hidden="1" x14ac:dyDescent="0.2">
      <c r="F818" t="s">
        <v>297</v>
      </c>
      <c r="L818" t="str">
        <f t="shared" si="24"/>
        <v/>
      </c>
      <c r="M818" t="str">
        <f t="shared" si="25"/>
        <v>pti</v>
      </c>
    </row>
    <row r="819" spans="2:13" hidden="1" x14ac:dyDescent="0.2">
      <c r="L819" t="str">
        <f t="shared" si="24"/>
        <v/>
      </c>
      <c r="M819" t="str">
        <f t="shared" si="25"/>
        <v/>
      </c>
    </row>
    <row r="820" spans="2:13" hidden="1" x14ac:dyDescent="0.2">
      <c r="B820" t="s">
        <v>294</v>
      </c>
      <c r="L820" t="str">
        <f t="shared" si="24"/>
        <v/>
      </c>
      <c r="M820" t="str">
        <f t="shared" si="25"/>
        <v/>
      </c>
    </row>
    <row r="821" spans="2:13" hidden="1" x14ac:dyDescent="0.2">
      <c r="C821" t="s">
        <v>294</v>
      </c>
      <c r="E821" t="s">
        <v>298</v>
      </c>
      <c r="L821" t="str">
        <f t="shared" si="24"/>
        <v/>
      </c>
      <c r="M821" t="str">
        <f t="shared" si="25"/>
        <v/>
      </c>
    </row>
    <row r="822" spans="2:13" hidden="1" x14ac:dyDescent="0.2">
      <c r="C822" t="s">
        <v>294</v>
      </c>
      <c r="F822" t="s">
        <v>296</v>
      </c>
      <c r="L822" t="str">
        <f t="shared" si="24"/>
        <v/>
      </c>
      <c r="M822" t="str">
        <f t="shared" si="25"/>
        <v>t.c</v>
      </c>
    </row>
    <row r="823" spans="2:13" x14ac:dyDescent="0.2">
      <c r="E823" t="s">
        <v>308</v>
      </c>
      <c r="F823" t="s">
        <v>1768</v>
      </c>
      <c r="L823" t="str">
        <f t="shared" si="24"/>
        <v xml:space="preserve"> 9</v>
      </c>
      <c r="M823" t="str">
        <f t="shared" si="25"/>
        <v>NAC</v>
      </c>
    </row>
    <row r="824" spans="2:13" hidden="1" x14ac:dyDescent="0.2">
      <c r="F824" t="s">
        <v>1769</v>
      </c>
      <c r="L824" t="str">
        <f t="shared" si="24"/>
        <v/>
      </c>
      <c r="M824" t="str">
        <f t="shared" si="25"/>
        <v>AIC</v>
      </c>
    </row>
    <row r="825" spans="2:13" hidden="1" x14ac:dyDescent="0.2">
      <c r="F825" t="s">
        <v>297</v>
      </c>
      <c r="L825" t="str">
        <f t="shared" si="24"/>
        <v/>
      </c>
      <c r="M825" t="str">
        <f t="shared" si="25"/>
        <v>pti</v>
      </c>
    </row>
    <row r="826" spans="2:13" hidden="1" x14ac:dyDescent="0.2">
      <c r="L826" t="str">
        <f t="shared" si="24"/>
        <v/>
      </c>
      <c r="M826" t="str">
        <f t="shared" si="25"/>
        <v/>
      </c>
    </row>
    <row r="827" spans="2:13" hidden="1" x14ac:dyDescent="0.2">
      <c r="B827" t="s">
        <v>294</v>
      </c>
      <c r="L827" t="str">
        <f t="shared" si="24"/>
        <v/>
      </c>
      <c r="M827" t="str">
        <f t="shared" si="25"/>
        <v/>
      </c>
    </row>
    <row r="828" spans="2:13" hidden="1" x14ac:dyDescent="0.2">
      <c r="C828" t="s">
        <v>294</v>
      </c>
      <c r="E828" t="s">
        <v>298</v>
      </c>
      <c r="L828" t="str">
        <f t="shared" si="24"/>
        <v/>
      </c>
      <c r="M828" t="str">
        <f t="shared" si="25"/>
        <v/>
      </c>
    </row>
    <row r="829" spans="2:13" hidden="1" x14ac:dyDescent="0.2">
      <c r="C829" t="s">
        <v>294</v>
      </c>
      <c r="F829" t="s">
        <v>296</v>
      </c>
      <c r="L829" t="str">
        <f t="shared" si="24"/>
        <v/>
      </c>
      <c r="M829" t="str">
        <f t="shared" si="25"/>
        <v>t.c</v>
      </c>
    </row>
    <row r="830" spans="2:13" x14ac:dyDescent="0.2">
      <c r="E830" t="s">
        <v>1770</v>
      </c>
      <c r="F830" t="s">
        <v>1771</v>
      </c>
      <c r="L830">
        <v>10</v>
      </c>
      <c r="M830" t="str">
        <f t="shared" si="25"/>
        <v>AMA</v>
      </c>
    </row>
    <row r="831" spans="2:13" hidden="1" x14ac:dyDescent="0.2">
      <c r="F831" t="s">
        <v>1772</v>
      </c>
      <c r="L831" t="str">
        <f t="shared" si="24"/>
        <v/>
      </c>
      <c r="M831" t="str">
        <f t="shared" si="25"/>
        <v>LDA</v>
      </c>
    </row>
    <row r="832" spans="2:13" hidden="1" x14ac:dyDescent="0.2">
      <c r="F832" t="s">
        <v>297</v>
      </c>
      <c r="L832" t="str">
        <f t="shared" si="24"/>
        <v/>
      </c>
      <c r="M832" t="str">
        <f t="shared" si="25"/>
        <v>pti</v>
      </c>
    </row>
    <row r="833" spans="2:13" hidden="1" x14ac:dyDescent="0.2">
      <c r="L833" t="str">
        <f t="shared" si="24"/>
        <v/>
      </c>
      <c r="M833" t="str">
        <f t="shared" si="25"/>
        <v/>
      </c>
    </row>
    <row r="834" spans="2:13" hidden="1" x14ac:dyDescent="0.2">
      <c r="B834" t="s">
        <v>294</v>
      </c>
      <c r="L834" t="str">
        <f t="shared" si="24"/>
        <v/>
      </c>
      <c r="M834" t="str">
        <f t="shared" si="25"/>
        <v/>
      </c>
    </row>
    <row r="835" spans="2:13" hidden="1" x14ac:dyDescent="0.2">
      <c r="C835" t="s">
        <v>294</v>
      </c>
      <c r="E835" t="s">
        <v>298</v>
      </c>
      <c r="L835" t="str">
        <f t="shared" si="24"/>
        <v/>
      </c>
      <c r="M835" t="str">
        <f t="shared" si="25"/>
        <v/>
      </c>
    </row>
    <row r="836" spans="2:13" hidden="1" x14ac:dyDescent="0.2">
      <c r="C836" t="s">
        <v>294</v>
      </c>
      <c r="F836" t="s">
        <v>296</v>
      </c>
      <c r="L836" t="str">
        <f t="shared" si="24"/>
        <v/>
      </c>
      <c r="M836" t="str">
        <f t="shared" si="25"/>
        <v>t.c</v>
      </c>
    </row>
    <row r="837" spans="2:13" x14ac:dyDescent="0.2">
      <c r="E837" t="s">
        <v>1770</v>
      </c>
      <c r="F837" t="s">
        <v>1773</v>
      </c>
      <c r="L837">
        <v>10</v>
      </c>
      <c r="M837" t="str">
        <f t="shared" ref="M837:M900" si="26">MID(F837,24,3)</f>
        <v>AMR</v>
      </c>
    </row>
    <row r="838" spans="2:13" hidden="1" x14ac:dyDescent="0.2">
      <c r="F838" t="s">
        <v>1774</v>
      </c>
      <c r="L838" t="str">
        <f t="shared" ref="L838:L899" si="27">MID(E838,10,2)</f>
        <v/>
      </c>
      <c r="M838" t="str">
        <f t="shared" si="26"/>
        <v>MER</v>
      </c>
    </row>
    <row r="839" spans="2:13" hidden="1" x14ac:dyDescent="0.2">
      <c r="F839" t="s">
        <v>297</v>
      </c>
      <c r="L839" t="str">
        <f t="shared" si="27"/>
        <v/>
      </c>
      <c r="M839" t="str">
        <f t="shared" si="26"/>
        <v>pti</v>
      </c>
    </row>
    <row r="840" spans="2:13" hidden="1" x14ac:dyDescent="0.2">
      <c r="L840" t="str">
        <f t="shared" si="27"/>
        <v/>
      </c>
      <c r="M840" t="str">
        <f t="shared" si="26"/>
        <v/>
      </c>
    </row>
    <row r="841" spans="2:13" hidden="1" x14ac:dyDescent="0.2">
      <c r="B841" t="s">
        <v>294</v>
      </c>
      <c r="L841" t="str">
        <f t="shared" si="27"/>
        <v/>
      </c>
      <c r="M841" t="str">
        <f t="shared" si="26"/>
        <v/>
      </c>
    </row>
    <row r="842" spans="2:13" hidden="1" x14ac:dyDescent="0.2">
      <c r="C842" t="s">
        <v>294</v>
      </c>
      <c r="E842" t="s">
        <v>298</v>
      </c>
      <c r="L842" t="str">
        <f t="shared" si="27"/>
        <v/>
      </c>
      <c r="M842" t="str">
        <f t="shared" si="26"/>
        <v/>
      </c>
    </row>
    <row r="843" spans="2:13" hidden="1" x14ac:dyDescent="0.2">
      <c r="C843" t="s">
        <v>294</v>
      </c>
      <c r="F843" t="s">
        <v>296</v>
      </c>
      <c r="L843" t="str">
        <f t="shared" si="27"/>
        <v/>
      </c>
      <c r="M843" t="str">
        <f t="shared" si="26"/>
        <v>t.c</v>
      </c>
    </row>
    <row r="844" spans="2:13" x14ac:dyDescent="0.2">
      <c r="E844" t="s">
        <v>1770</v>
      </c>
      <c r="F844" t="s">
        <v>1775</v>
      </c>
      <c r="L844">
        <v>10</v>
      </c>
      <c r="M844" t="str">
        <f t="shared" si="26"/>
        <v>CUN</v>
      </c>
    </row>
    <row r="845" spans="2:13" hidden="1" x14ac:dyDescent="0.2">
      <c r="F845" t="s">
        <v>1776</v>
      </c>
      <c r="L845" t="str">
        <f t="shared" si="27"/>
        <v/>
      </c>
      <c r="M845" t="str">
        <f t="shared" si="26"/>
        <v>HIH</v>
      </c>
    </row>
    <row r="846" spans="2:13" hidden="1" x14ac:dyDescent="0.2">
      <c r="F846" t="s">
        <v>297</v>
      </c>
      <c r="L846" t="str">
        <f t="shared" si="27"/>
        <v/>
      </c>
      <c r="M846" t="str">
        <f t="shared" si="26"/>
        <v>pti</v>
      </c>
    </row>
    <row r="847" spans="2:13" hidden="1" x14ac:dyDescent="0.2">
      <c r="L847" t="str">
        <f t="shared" si="27"/>
        <v/>
      </c>
      <c r="M847" t="str">
        <f t="shared" si="26"/>
        <v/>
      </c>
    </row>
    <row r="848" spans="2:13" hidden="1" x14ac:dyDescent="0.2">
      <c r="B848" t="s">
        <v>294</v>
      </c>
      <c r="L848" t="str">
        <f t="shared" si="27"/>
        <v/>
      </c>
      <c r="M848" t="str">
        <f t="shared" si="26"/>
        <v/>
      </c>
    </row>
    <row r="849" spans="2:13" hidden="1" x14ac:dyDescent="0.2">
      <c r="C849" t="s">
        <v>294</v>
      </c>
      <c r="E849" t="s">
        <v>298</v>
      </c>
      <c r="L849" t="str">
        <f t="shared" si="27"/>
        <v/>
      </c>
      <c r="M849" t="str">
        <f t="shared" si="26"/>
        <v/>
      </c>
    </row>
    <row r="850" spans="2:13" hidden="1" x14ac:dyDescent="0.2">
      <c r="C850" t="s">
        <v>294</v>
      </c>
      <c r="F850" t="s">
        <v>296</v>
      </c>
      <c r="L850" t="str">
        <f t="shared" si="27"/>
        <v/>
      </c>
      <c r="M850" t="str">
        <f t="shared" si="26"/>
        <v>t.c</v>
      </c>
    </row>
    <row r="851" spans="2:13" x14ac:dyDescent="0.2">
      <c r="E851" t="s">
        <v>1770</v>
      </c>
      <c r="F851" t="s">
        <v>1777</v>
      </c>
      <c r="L851">
        <v>10</v>
      </c>
      <c r="M851" t="str">
        <f t="shared" si="26"/>
        <v>CUP</v>
      </c>
    </row>
    <row r="852" spans="2:13" hidden="1" x14ac:dyDescent="0.2">
      <c r="F852" t="s">
        <v>1778</v>
      </c>
      <c r="L852" t="str">
        <f t="shared" si="27"/>
        <v/>
      </c>
      <c r="M852" t="str">
        <f t="shared" si="26"/>
        <v>HIH</v>
      </c>
    </row>
    <row r="853" spans="2:13" hidden="1" x14ac:dyDescent="0.2">
      <c r="F853" t="s">
        <v>297</v>
      </c>
      <c r="L853" t="str">
        <f t="shared" si="27"/>
        <v/>
      </c>
      <c r="M853" t="str">
        <f t="shared" si="26"/>
        <v>pti</v>
      </c>
    </row>
    <row r="854" spans="2:13" hidden="1" x14ac:dyDescent="0.2">
      <c r="L854" t="str">
        <f t="shared" si="27"/>
        <v/>
      </c>
      <c r="M854" t="str">
        <f t="shared" si="26"/>
        <v/>
      </c>
    </row>
    <row r="855" spans="2:13" hidden="1" x14ac:dyDescent="0.2">
      <c r="B855" t="s">
        <v>294</v>
      </c>
      <c r="L855" t="str">
        <f t="shared" si="27"/>
        <v/>
      </c>
      <c r="M855" t="str">
        <f t="shared" si="26"/>
        <v/>
      </c>
    </row>
    <row r="856" spans="2:13" hidden="1" x14ac:dyDescent="0.2">
      <c r="C856" t="s">
        <v>294</v>
      </c>
      <c r="E856" t="s">
        <v>298</v>
      </c>
      <c r="L856" t="str">
        <f t="shared" si="27"/>
        <v/>
      </c>
      <c r="M856" t="str">
        <f t="shared" si="26"/>
        <v/>
      </c>
    </row>
    <row r="857" spans="2:13" hidden="1" x14ac:dyDescent="0.2">
      <c r="C857" t="s">
        <v>294</v>
      </c>
      <c r="F857" t="s">
        <v>296</v>
      </c>
      <c r="L857" t="str">
        <f t="shared" si="27"/>
        <v/>
      </c>
      <c r="M857" t="str">
        <f t="shared" si="26"/>
        <v>t.c</v>
      </c>
    </row>
    <row r="858" spans="2:13" x14ac:dyDescent="0.2">
      <c r="E858" t="s">
        <v>1770</v>
      </c>
      <c r="F858" t="s">
        <v>1779</v>
      </c>
      <c r="L858">
        <v>10</v>
      </c>
      <c r="M858" t="str">
        <f t="shared" si="26"/>
        <v>CPN</v>
      </c>
    </row>
    <row r="859" spans="2:13" hidden="1" x14ac:dyDescent="0.2">
      <c r="F859" t="s">
        <v>1780</v>
      </c>
      <c r="L859" t="str">
        <f t="shared" si="27"/>
        <v/>
      </c>
      <c r="M859" t="str">
        <f t="shared" si="26"/>
        <v>HIH</v>
      </c>
    </row>
    <row r="860" spans="2:13" hidden="1" x14ac:dyDescent="0.2">
      <c r="F860" t="s">
        <v>297</v>
      </c>
      <c r="L860" t="str">
        <f t="shared" si="27"/>
        <v/>
      </c>
      <c r="M860" t="str">
        <f t="shared" si="26"/>
        <v>pti</v>
      </c>
    </row>
    <row r="861" spans="2:13" hidden="1" x14ac:dyDescent="0.2">
      <c r="L861" t="str">
        <f t="shared" si="27"/>
        <v/>
      </c>
      <c r="M861" t="str">
        <f t="shared" si="26"/>
        <v/>
      </c>
    </row>
    <row r="862" spans="2:13" hidden="1" x14ac:dyDescent="0.2">
      <c r="B862" t="s">
        <v>294</v>
      </c>
      <c r="L862" t="str">
        <f t="shared" si="27"/>
        <v/>
      </c>
      <c r="M862" t="str">
        <f t="shared" si="26"/>
        <v/>
      </c>
    </row>
    <row r="863" spans="2:13" hidden="1" x14ac:dyDescent="0.2">
      <c r="C863" t="s">
        <v>294</v>
      </c>
      <c r="E863" t="s">
        <v>298</v>
      </c>
      <c r="L863" t="str">
        <f t="shared" si="27"/>
        <v/>
      </c>
      <c r="M863" t="str">
        <f t="shared" si="26"/>
        <v/>
      </c>
    </row>
    <row r="864" spans="2:13" hidden="1" x14ac:dyDescent="0.2">
      <c r="C864" t="s">
        <v>294</v>
      </c>
      <c r="F864" t="s">
        <v>296</v>
      </c>
      <c r="L864" t="str">
        <f t="shared" si="27"/>
        <v/>
      </c>
      <c r="M864" t="str">
        <f t="shared" si="26"/>
        <v>t.c</v>
      </c>
    </row>
    <row r="865" spans="2:13" x14ac:dyDescent="0.2">
      <c r="E865" t="s">
        <v>1770</v>
      </c>
      <c r="F865" t="s">
        <v>1781</v>
      </c>
      <c r="L865">
        <v>10</v>
      </c>
      <c r="M865" t="str">
        <f t="shared" si="26"/>
        <v>CIN</v>
      </c>
    </row>
    <row r="866" spans="2:13" hidden="1" x14ac:dyDescent="0.2">
      <c r="F866" t="s">
        <v>1782</v>
      </c>
      <c r="L866" t="str">
        <f t="shared" si="27"/>
        <v/>
      </c>
      <c r="M866" t="str">
        <f t="shared" si="26"/>
        <v>OMP</v>
      </c>
    </row>
    <row r="867" spans="2:13" hidden="1" x14ac:dyDescent="0.2">
      <c r="F867" t="s">
        <v>297</v>
      </c>
      <c r="L867" t="str">
        <f t="shared" si="27"/>
        <v/>
      </c>
      <c r="M867" t="str">
        <f t="shared" si="26"/>
        <v>pti</v>
      </c>
    </row>
    <row r="868" spans="2:13" hidden="1" x14ac:dyDescent="0.2">
      <c r="L868" t="str">
        <f t="shared" si="27"/>
        <v/>
      </c>
      <c r="M868" t="str">
        <f t="shared" si="26"/>
        <v/>
      </c>
    </row>
    <row r="869" spans="2:13" hidden="1" x14ac:dyDescent="0.2">
      <c r="B869" t="s">
        <v>294</v>
      </c>
      <c r="L869" t="str">
        <f t="shared" si="27"/>
        <v/>
      </c>
      <c r="M869" t="str">
        <f t="shared" si="26"/>
        <v/>
      </c>
    </row>
    <row r="870" spans="2:13" hidden="1" x14ac:dyDescent="0.2">
      <c r="C870" t="s">
        <v>294</v>
      </c>
      <c r="E870" t="s">
        <v>298</v>
      </c>
      <c r="L870" t="str">
        <f t="shared" si="27"/>
        <v/>
      </c>
      <c r="M870" t="str">
        <f t="shared" si="26"/>
        <v/>
      </c>
    </row>
    <row r="871" spans="2:13" hidden="1" x14ac:dyDescent="0.2">
      <c r="C871" t="s">
        <v>294</v>
      </c>
      <c r="F871" t="s">
        <v>296</v>
      </c>
      <c r="L871" t="str">
        <f t="shared" si="27"/>
        <v/>
      </c>
      <c r="M871" t="str">
        <f t="shared" si="26"/>
        <v>t.c</v>
      </c>
    </row>
    <row r="872" spans="2:13" x14ac:dyDescent="0.2">
      <c r="E872" t="s">
        <v>1770</v>
      </c>
      <c r="F872" t="s">
        <v>1783</v>
      </c>
      <c r="L872">
        <v>10</v>
      </c>
      <c r="M872" t="str">
        <f t="shared" si="26"/>
        <v>CCD</v>
      </c>
    </row>
    <row r="873" spans="2:13" hidden="1" x14ac:dyDescent="0.2">
      <c r="F873" t="s">
        <v>1784</v>
      </c>
      <c r="L873" t="str">
        <f t="shared" si="27"/>
        <v/>
      </c>
      <c r="M873" t="str">
        <f t="shared" si="26"/>
        <v>ONC</v>
      </c>
    </row>
    <row r="874" spans="2:13" hidden="1" x14ac:dyDescent="0.2">
      <c r="F874" t="s">
        <v>297</v>
      </c>
      <c r="L874" t="str">
        <f t="shared" si="27"/>
        <v/>
      </c>
      <c r="M874" t="str">
        <f t="shared" si="26"/>
        <v>pti</v>
      </c>
    </row>
    <row r="875" spans="2:13" hidden="1" x14ac:dyDescent="0.2">
      <c r="L875" t="str">
        <f t="shared" si="27"/>
        <v/>
      </c>
      <c r="M875" t="str">
        <f t="shared" si="26"/>
        <v/>
      </c>
    </row>
    <row r="876" spans="2:13" hidden="1" x14ac:dyDescent="0.2">
      <c r="B876" t="s">
        <v>294</v>
      </c>
      <c r="L876" t="str">
        <f t="shared" si="27"/>
        <v/>
      </c>
      <c r="M876" t="str">
        <f t="shared" si="26"/>
        <v/>
      </c>
    </row>
    <row r="877" spans="2:13" hidden="1" x14ac:dyDescent="0.2">
      <c r="C877" t="s">
        <v>294</v>
      </c>
      <c r="E877" t="s">
        <v>298</v>
      </c>
      <c r="L877" t="str">
        <f t="shared" si="27"/>
        <v/>
      </c>
      <c r="M877" t="str">
        <f t="shared" si="26"/>
        <v/>
      </c>
    </row>
    <row r="878" spans="2:13" hidden="1" x14ac:dyDescent="0.2">
      <c r="C878" t="s">
        <v>294</v>
      </c>
      <c r="F878" t="s">
        <v>296</v>
      </c>
      <c r="L878" t="str">
        <f t="shared" si="27"/>
        <v/>
      </c>
      <c r="M878" t="str">
        <f t="shared" si="26"/>
        <v>t.c</v>
      </c>
    </row>
    <row r="879" spans="2:13" x14ac:dyDescent="0.2">
      <c r="E879" t="s">
        <v>1770</v>
      </c>
      <c r="F879" t="s">
        <v>1785</v>
      </c>
      <c r="L879">
        <v>10</v>
      </c>
      <c r="M879" t="str">
        <f t="shared" si="26"/>
        <v>ESZ</v>
      </c>
    </row>
    <row r="880" spans="2:13" hidden="1" x14ac:dyDescent="0.2">
      <c r="F880" t="s">
        <v>1786</v>
      </c>
      <c r="L880" t="str">
        <f t="shared" si="27"/>
        <v/>
      </c>
      <c r="M880" t="str">
        <f t="shared" si="26"/>
        <v>L S</v>
      </c>
    </row>
    <row r="881" spans="2:13" hidden="1" x14ac:dyDescent="0.2">
      <c r="F881" t="s">
        <v>297</v>
      </c>
      <c r="L881" t="str">
        <f t="shared" si="27"/>
        <v/>
      </c>
      <c r="M881" t="str">
        <f t="shared" si="26"/>
        <v>pti</v>
      </c>
    </row>
    <row r="882" spans="2:13" hidden="1" x14ac:dyDescent="0.2">
      <c r="L882" t="str">
        <f t="shared" si="27"/>
        <v/>
      </c>
      <c r="M882" t="str">
        <f t="shared" si="26"/>
        <v/>
      </c>
    </row>
    <row r="883" spans="2:13" hidden="1" x14ac:dyDescent="0.2">
      <c r="B883" t="s">
        <v>294</v>
      </c>
      <c r="L883" t="str">
        <f t="shared" si="27"/>
        <v/>
      </c>
      <c r="M883" t="str">
        <f t="shared" si="26"/>
        <v/>
      </c>
    </row>
    <row r="884" spans="2:13" hidden="1" x14ac:dyDescent="0.2">
      <c r="C884" t="s">
        <v>294</v>
      </c>
      <c r="E884" t="s">
        <v>298</v>
      </c>
      <c r="L884" t="str">
        <f t="shared" si="27"/>
        <v/>
      </c>
      <c r="M884" t="str">
        <f t="shared" si="26"/>
        <v/>
      </c>
    </row>
    <row r="885" spans="2:13" hidden="1" x14ac:dyDescent="0.2">
      <c r="C885" t="s">
        <v>294</v>
      </c>
      <c r="F885" t="s">
        <v>296</v>
      </c>
      <c r="L885" t="str">
        <f t="shared" si="27"/>
        <v/>
      </c>
      <c r="M885" t="str">
        <f t="shared" si="26"/>
        <v>t.c</v>
      </c>
    </row>
    <row r="886" spans="2:13" x14ac:dyDescent="0.2">
      <c r="E886" t="s">
        <v>1770</v>
      </c>
      <c r="F886" t="s">
        <v>1787</v>
      </c>
      <c r="L886">
        <v>10</v>
      </c>
      <c r="M886" t="str">
        <f t="shared" si="26"/>
        <v>FMR</v>
      </c>
    </row>
    <row r="887" spans="2:13" hidden="1" x14ac:dyDescent="0.2">
      <c r="F887" t="s">
        <v>1788</v>
      </c>
      <c r="L887" t="str">
        <f t="shared" si="27"/>
        <v/>
      </c>
      <c r="M887" t="str">
        <f t="shared" si="26"/>
        <v>UEN</v>
      </c>
    </row>
    <row r="888" spans="2:13" hidden="1" x14ac:dyDescent="0.2">
      <c r="F888" t="s">
        <v>297</v>
      </c>
      <c r="L888" t="str">
        <f t="shared" si="27"/>
        <v/>
      </c>
      <c r="M888" t="str">
        <f t="shared" si="26"/>
        <v>pti</v>
      </c>
    </row>
    <row r="889" spans="2:13" hidden="1" x14ac:dyDescent="0.2">
      <c r="L889" t="str">
        <f t="shared" si="27"/>
        <v/>
      </c>
      <c r="M889" t="str">
        <f t="shared" si="26"/>
        <v/>
      </c>
    </row>
    <row r="890" spans="2:13" hidden="1" x14ac:dyDescent="0.2">
      <c r="B890" t="s">
        <v>294</v>
      </c>
      <c r="L890" t="str">
        <f t="shared" si="27"/>
        <v/>
      </c>
      <c r="M890" t="str">
        <f t="shared" si="26"/>
        <v/>
      </c>
    </row>
    <row r="891" spans="2:13" hidden="1" x14ac:dyDescent="0.2">
      <c r="C891" t="s">
        <v>294</v>
      </c>
      <c r="E891" t="s">
        <v>298</v>
      </c>
      <c r="L891" t="str">
        <f t="shared" si="27"/>
        <v/>
      </c>
      <c r="M891" t="str">
        <f t="shared" si="26"/>
        <v/>
      </c>
    </row>
    <row r="892" spans="2:13" hidden="1" x14ac:dyDescent="0.2">
      <c r="C892" t="s">
        <v>294</v>
      </c>
      <c r="F892" t="s">
        <v>296</v>
      </c>
      <c r="L892" t="str">
        <f t="shared" si="27"/>
        <v/>
      </c>
      <c r="M892" t="str">
        <f t="shared" si="26"/>
        <v>t.c</v>
      </c>
    </row>
    <row r="893" spans="2:13" x14ac:dyDescent="0.2">
      <c r="E893" t="s">
        <v>1770</v>
      </c>
      <c r="F893" t="s">
        <v>1789</v>
      </c>
      <c r="L893">
        <v>10</v>
      </c>
      <c r="M893" t="str">
        <f t="shared" si="26"/>
        <v>GTR</v>
      </c>
    </row>
    <row r="894" spans="2:13" hidden="1" x14ac:dyDescent="0.2">
      <c r="F894" t="s">
        <v>1790</v>
      </c>
      <c r="L894" t="str">
        <f t="shared" si="27"/>
        <v/>
      </c>
      <c r="M894" t="str">
        <f t="shared" si="26"/>
        <v>ENE</v>
      </c>
    </row>
    <row r="895" spans="2:13" hidden="1" x14ac:dyDescent="0.2">
      <c r="F895" t="s">
        <v>297</v>
      </c>
      <c r="L895" t="str">
        <f t="shared" si="27"/>
        <v/>
      </c>
      <c r="M895" t="str">
        <f t="shared" si="26"/>
        <v>pti</v>
      </c>
    </row>
    <row r="896" spans="2:13" hidden="1" x14ac:dyDescent="0.2">
      <c r="L896" t="str">
        <f t="shared" si="27"/>
        <v/>
      </c>
      <c r="M896" t="str">
        <f t="shared" si="26"/>
        <v/>
      </c>
    </row>
    <row r="897" spans="2:13" hidden="1" x14ac:dyDescent="0.2">
      <c r="B897" t="s">
        <v>294</v>
      </c>
      <c r="L897" t="str">
        <f t="shared" si="27"/>
        <v/>
      </c>
      <c r="M897" t="str">
        <f t="shared" si="26"/>
        <v/>
      </c>
    </row>
    <row r="898" spans="2:13" hidden="1" x14ac:dyDescent="0.2">
      <c r="C898" t="s">
        <v>294</v>
      </c>
      <c r="E898" t="s">
        <v>298</v>
      </c>
      <c r="L898" t="str">
        <f t="shared" si="27"/>
        <v/>
      </c>
      <c r="M898" t="str">
        <f t="shared" si="26"/>
        <v/>
      </c>
    </row>
    <row r="899" spans="2:13" hidden="1" x14ac:dyDescent="0.2">
      <c r="C899" t="s">
        <v>294</v>
      </c>
      <c r="F899" t="s">
        <v>296</v>
      </c>
      <c r="L899" t="str">
        <f t="shared" si="27"/>
        <v/>
      </c>
      <c r="M899" t="str">
        <f t="shared" si="26"/>
        <v>t.c</v>
      </c>
    </row>
    <row r="900" spans="2:13" x14ac:dyDescent="0.2">
      <c r="E900" t="s">
        <v>1770</v>
      </c>
      <c r="F900" t="s">
        <v>1791</v>
      </c>
      <c r="L900">
        <v>10</v>
      </c>
      <c r="M900" t="str">
        <f t="shared" si="26"/>
        <v>HDS</v>
      </c>
    </row>
    <row r="901" spans="2:13" hidden="1" x14ac:dyDescent="0.2">
      <c r="F901" t="s">
        <v>1792</v>
      </c>
      <c r="L901" t="str">
        <f t="shared" ref="L901:L964" si="28">MID(E901,10,2)</f>
        <v/>
      </c>
      <c r="M901" t="str">
        <f t="shared" ref="M901:M964" si="29">MID(F901,24,3)</f>
        <v>ACI</v>
      </c>
    </row>
    <row r="902" spans="2:13" hidden="1" x14ac:dyDescent="0.2">
      <c r="F902" t="s">
        <v>297</v>
      </c>
      <c r="L902" t="str">
        <f t="shared" si="28"/>
        <v/>
      </c>
      <c r="M902" t="str">
        <f t="shared" si="29"/>
        <v>pti</v>
      </c>
    </row>
    <row r="903" spans="2:13" hidden="1" x14ac:dyDescent="0.2">
      <c r="L903" t="str">
        <f t="shared" si="28"/>
        <v/>
      </c>
      <c r="M903" t="str">
        <f t="shared" si="29"/>
        <v/>
      </c>
    </row>
    <row r="904" spans="2:13" hidden="1" x14ac:dyDescent="0.2">
      <c r="B904" t="s">
        <v>294</v>
      </c>
      <c r="L904" t="str">
        <f t="shared" si="28"/>
        <v/>
      </c>
      <c r="M904" t="str">
        <f t="shared" si="29"/>
        <v/>
      </c>
    </row>
    <row r="905" spans="2:13" hidden="1" x14ac:dyDescent="0.2">
      <c r="C905" t="s">
        <v>294</v>
      </c>
      <c r="E905" t="s">
        <v>298</v>
      </c>
      <c r="L905" t="str">
        <f t="shared" si="28"/>
        <v/>
      </c>
      <c r="M905" t="str">
        <f t="shared" si="29"/>
        <v/>
      </c>
    </row>
    <row r="906" spans="2:13" hidden="1" x14ac:dyDescent="0.2">
      <c r="C906" t="s">
        <v>294</v>
      </c>
      <c r="F906" t="s">
        <v>296</v>
      </c>
      <c r="L906" t="str">
        <f t="shared" si="28"/>
        <v/>
      </c>
      <c r="M906" t="str">
        <f t="shared" si="29"/>
        <v>t.c</v>
      </c>
    </row>
    <row r="907" spans="2:13" x14ac:dyDescent="0.2">
      <c r="E907" t="s">
        <v>1770</v>
      </c>
      <c r="F907" t="s">
        <v>1793</v>
      </c>
      <c r="L907">
        <v>10</v>
      </c>
      <c r="M907" t="str">
        <f t="shared" si="29"/>
        <v>NDD</v>
      </c>
    </row>
    <row r="908" spans="2:13" hidden="1" x14ac:dyDescent="0.2">
      <c r="F908" t="s">
        <v>1794</v>
      </c>
      <c r="L908" t="str">
        <f t="shared" si="28"/>
        <v/>
      </c>
      <c r="M908" t="str">
        <f t="shared" si="29"/>
        <v>OMB</v>
      </c>
    </row>
    <row r="909" spans="2:13" hidden="1" x14ac:dyDescent="0.2">
      <c r="F909" t="s">
        <v>297</v>
      </c>
      <c r="L909" t="str">
        <f t="shared" si="28"/>
        <v/>
      </c>
      <c r="M909" t="str">
        <f t="shared" si="29"/>
        <v>pti</v>
      </c>
    </row>
    <row r="910" spans="2:13" hidden="1" x14ac:dyDescent="0.2">
      <c r="L910" t="str">
        <f t="shared" si="28"/>
        <v/>
      </c>
      <c r="M910" t="str">
        <f t="shared" si="29"/>
        <v/>
      </c>
    </row>
    <row r="911" spans="2:13" hidden="1" x14ac:dyDescent="0.2">
      <c r="B911" t="s">
        <v>294</v>
      </c>
      <c r="L911" t="str">
        <f t="shared" si="28"/>
        <v/>
      </c>
      <c r="M911" t="str">
        <f t="shared" si="29"/>
        <v/>
      </c>
    </row>
    <row r="912" spans="2:13" hidden="1" x14ac:dyDescent="0.2">
      <c r="C912" t="s">
        <v>294</v>
      </c>
      <c r="E912" t="s">
        <v>298</v>
      </c>
      <c r="L912" t="str">
        <f t="shared" si="28"/>
        <v/>
      </c>
      <c r="M912" t="str">
        <f t="shared" si="29"/>
        <v/>
      </c>
    </row>
    <row r="913" spans="2:13" hidden="1" x14ac:dyDescent="0.2">
      <c r="C913" t="s">
        <v>294</v>
      </c>
      <c r="F913" t="s">
        <v>296</v>
      </c>
      <c r="L913" t="str">
        <f t="shared" si="28"/>
        <v/>
      </c>
      <c r="M913" t="str">
        <f t="shared" si="29"/>
        <v>t.c</v>
      </c>
    </row>
    <row r="914" spans="2:13" x14ac:dyDescent="0.2">
      <c r="E914" t="s">
        <v>1770</v>
      </c>
      <c r="F914" t="s">
        <v>1795</v>
      </c>
      <c r="L914">
        <v>10</v>
      </c>
      <c r="M914" t="str">
        <f t="shared" si="29"/>
        <v>NHO</v>
      </c>
    </row>
    <row r="915" spans="2:13" hidden="1" x14ac:dyDescent="0.2">
      <c r="F915" t="s">
        <v>1796</v>
      </c>
      <c r="L915" t="str">
        <f t="shared" si="28"/>
        <v/>
      </c>
      <c r="M915" t="str">
        <f t="shared" si="29"/>
        <v>UEV</v>
      </c>
    </row>
    <row r="916" spans="2:13" hidden="1" x14ac:dyDescent="0.2">
      <c r="F916" t="s">
        <v>297</v>
      </c>
      <c r="L916" t="str">
        <f t="shared" si="28"/>
        <v/>
      </c>
      <c r="M916" t="str">
        <f t="shared" si="29"/>
        <v>pti</v>
      </c>
    </row>
    <row r="917" spans="2:13" hidden="1" x14ac:dyDescent="0.2">
      <c r="L917" t="str">
        <f t="shared" si="28"/>
        <v/>
      </c>
      <c r="M917" t="str">
        <f t="shared" si="29"/>
        <v/>
      </c>
    </row>
    <row r="918" spans="2:13" hidden="1" x14ac:dyDescent="0.2">
      <c r="B918" t="s">
        <v>294</v>
      </c>
      <c r="L918" t="str">
        <f t="shared" si="28"/>
        <v/>
      </c>
      <c r="M918" t="str">
        <f t="shared" si="29"/>
        <v/>
      </c>
    </row>
    <row r="919" spans="2:13" hidden="1" x14ac:dyDescent="0.2">
      <c r="C919" t="s">
        <v>294</v>
      </c>
      <c r="E919" t="s">
        <v>298</v>
      </c>
      <c r="L919" t="str">
        <f t="shared" si="28"/>
        <v/>
      </c>
      <c r="M919" t="str">
        <f t="shared" si="29"/>
        <v/>
      </c>
    </row>
    <row r="920" spans="2:13" hidden="1" x14ac:dyDescent="0.2">
      <c r="C920" t="s">
        <v>294</v>
      </c>
      <c r="F920" t="s">
        <v>296</v>
      </c>
      <c r="L920" t="str">
        <f t="shared" si="28"/>
        <v/>
      </c>
      <c r="M920" t="str">
        <f t="shared" si="29"/>
        <v>t.c</v>
      </c>
    </row>
    <row r="921" spans="2:13" x14ac:dyDescent="0.2">
      <c r="E921" t="s">
        <v>1770</v>
      </c>
      <c r="F921" t="s">
        <v>1797</v>
      </c>
      <c r="L921">
        <v>10</v>
      </c>
      <c r="M921" t="str">
        <f t="shared" si="29"/>
        <v>OAS</v>
      </c>
    </row>
    <row r="922" spans="2:13" hidden="1" x14ac:dyDescent="0.2">
      <c r="F922" t="s">
        <v>1798</v>
      </c>
      <c r="L922" t="str">
        <f t="shared" si="28"/>
        <v/>
      </c>
      <c r="M922" t="str">
        <f t="shared" si="29"/>
        <v>ASI</v>
      </c>
    </row>
    <row r="923" spans="2:13" hidden="1" x14ac:dyDescent="0.2">
      <c r="F923" t="s">
        <v>297</v>
      </c>
      <c r="L923" t="str">
        <f t="shared" si="28"/>
        <v/>
      </c>
      <c r="M923" t="str">
        <f t="shared" si="29"/>
        <v>pti</v>
      </c>
    </row>
    <row r="924" spans="2:13" hidden="1" x14ac:dyDescent="0.2">
      <c r="L924" t="str">
        <f t="shared" si="28"/>
        <v/>
      </c>
      <c r="M924" t="str">
        <f t="shared" si="29"/>
        <v/>
      </c>
    </row>
    <row r="925" spans="2:13" hidden="1" x14ac:dyDescent="0.2">
      <c r="B925" t="s">
        <v>294</v>
      </c>
      <c r="L925" t="str">
        <f t="shared" si="28"/>
        <v/>
      </c>
      <c r="M925" t="str">
        <f t="shared" si="29"/>
        <v/>
      </c>
    </row>
    <row r="926" spans="2:13" hidden="1" x14ac:dyDescent="0.2">
      <c r="C926" t="s">
        <v>294</v>
      </c>
      <c r="E926" t="s">
        <v>298</v>
      </c>
      <c r="L926" t="str">
        <f t="shared" si="28"/>
        <v/>
      </c>
      <c r="M926" t="str">
        <f t="shared" si="29"/>
        <v/>
      </c>
    </row>
    <row r="927" spans="2:13" hidden="1" x14ac:dyDescent="0.2">
      <c r="C927" t="s">
        <v>294</v>
      </c>
      <c r="F927" t="s">
        <v>296</v>
      </c>
      <c r="L927" t="str">
        <f t="shared" si="28"/>
        <v/>
      </c>
      <c r="M927" t="str">
        <f t="shared" si="29"/>
        <v>t.c</v>
      </c>
    </row>
    <row r="928" spans="2:13" x14ac:dyDescent="0.2">
      <c r="E928" t="s">
        <v>1770</v>
      </c>
      <c r="F928" t="s">
        <v>1799</v>
      </c>
      <c r="L928">
        <v>10</v>
      </c>
      <c r="M928" t="str">
        <f t="shared" si="29"/>
        <v>OCP</v>
      </c>
    </row>
    <row r="929" spans="2:13" hidden="1" x14ac:dyDescent="0.2">
      <c r="F929" t="s">
        <v>1800</v>
      </c>
      <c r="L929" t="str">
        <f t="shared" si="28"/>
        <v/>
      </c>
      <c r="M929" t="str">
        <f t="shared" si="29"/>
        <v>CAM</v>
      </c>
    </row>
    <row r="930" spans="2:13" hidden="1" x14ac:dyDescent="0.2">
      <c r="F930" t="s">
        <v>297</v>
      </c>
      <c r="L930" t="str">
        <f t="shared" si="28"/>
        <v/>
      </c>
      <c r="M930" t="str">
        <f t="shared" si="29"/>
        <v>pti</v>
      </c>
    </row>
    <row r="931" spans="2:13" hidden="1" x14ac:dyDescent="0.2">
      <c r="L931" t="str">
        <f t="shared" si="28"/>
        <v/>
      </c>
      <c r="M931" t="str">
        <f t="shared" si="29"/>
        <v/>
      </c>
    </row>
    <row r="932" spans="2:13" hidden="1" x14ac:dyDescent="0.2">
      <c r="B932" t="s">
        <v>294</v>
      </c>
      <c r="L932" t="str">
        <f t="shared" si="28"/>
        <v/>
      </c>
      <c r="M932" t="str">
        <f t="shared" si="29"/>
        <v/>
      </c>
    </row>
    <row r="933" spans="2:13" hidden="1" x14ac:dyDescent="0.2">
      <c r="C933" t="s">
        <v>294</v>
      </c>
      <c r="E933" t="s">
        <v>298</v>
      </c>
      <c r="L933" t="str">
        <f t="shared" si="28"/>
        <v/>
      </c>
      <c r="M933" t="str">
        <f t="shared" si="29"/>
        <v/>
      </c>
    </row>
    <row r="934" spans="2:13" hidden="1" x14ac:dyDescent="0.2">
      <c r="C934" t="s">
        <v>294</v>
      </c>
      <c r="F934" t="s">
        <v>296</v>
      </c>
      <c r="L934" t="str">
        <f t="shared" si="28"/>
        <v/>
      </c>
      <c r="M934" t="str">
        <f t="shared" si="29"/>
        <v>t.c</v>
      </c>
    </row>
    <row r="935" spans="2:13" x14ac:dyDescent="0.2">
      <c r="E935" t="s">
        <v>1770</v>
      </c>
      <c r="F935" t="s">
        <v>1801</v>
      </c>
      <c r="L935">
        <v>10</v>
      </c>
      <c r="M935" t="str">
        <f t="shared" si="29"/>
        <v>OJI</v>
      </c>
    </row>
    <row r="936" spans="2:13" hidden="1" x14ac:dyDescent="0.2">
      <c r="F936" t="s">
        <v>1802</v>
      </c>
      <c r="L936" t="str">
        <f t="shared" si="28"/>
        <v/>
      </c>
      <c r="M936" t="str">
        <f t="shared" si="29"/>
        <v>JIN</v>
      </c>
    </row>
    <row r="937" spans="2:13" hidden="1" x14ac:dyDescent="0.2">
      <c r="F937" t="s">
        <v>297</v>
      </c>
      <c r="L937" t="str">
        <f t="shared" si="28"/>
        <v/>
      </c>
      <c r="M937" t="str">
        <f t="shared" si="29"/>
        <v>pti</v>
      </c>
    </row>
    <row r="938" spans="2:13" hidden="1" x14ac:dyDescent="0.2">
      <c r="L938" t="str">
        <f t="shared" si="28"/>
        <v/>
      </c>
      <c r="M938" t="str">
        <f t="shared" si="29"/>
        <v/>
      </c>
    </row>
    <row r="939" spans="2:13" hidden="1" x14ac:dyDescent="0.2">
      <c r="B939" t="s">
        <v>294</v>
      </c>
      <c r="L939" t="str">
        <f t="shared" si="28"/>
        <v/>
      </c>
      <c r="M939" t="str">
        <f t="shared" si="29"/>
        <v/>
      </c>
    </row>
    <row r="940" spans="2:13" hidden="1" x14ac:dyDescent="0.2">
      <c r="C940" t="s">
        <v>294</v>
      </c>
      <c r="E940" t="s">
        <v>298</v>
      </c>
      <c r="L940" t="str">
        <f t="shared" si="28"/>
        <v/>
      </c>
      <c r="M940" t="str">
        <f t="shared" si="29"/>
        <v/>
      </c>
    </row>
    <row r="941" spans="2:13" hidden="1" x14ac:dyDescent="0.2">
      <c r="C941" t="s">
        <v>294</v>
      </c>
      <c r="F941" t="s">
        <v>296</v>
      </c>
      <c r="L941" t="str">
        <f t="shared" si="28"/>
        <v/>
      </c>
      <c r="M941" t="str">
        <f t="shared" si="29"/>
        <v>t.c</v>
      </c>
    </row>
    <row r="942" spans="2:13" x14ac:dyDescent="0.2">
      <c r="E942" t="s">
        <v>1770</v>
      </c>
      <c r="F942" t="s">
        <v>1803</v>
      </c>
      <c r="L942">
        <v>10</v>
      </c>
      <c r="M942" t="str">
        <f t="shared" si="29"/>
        <v>PMR</v>
      </c>
    </row>
    <row r="943" spans="2:13" hidden="1" x14ac:dyDescent="0.2">
      <c r="F943" t="s">
        <v>1804</v>
      </c>
      <c r="L943" t="str">
        <f t="shared" si="28"/>
        <v/>
      </c>
      <c r="M943" t="str">
        <f t="shared" si="29"/>
        <v>ALO</v>
      </c>
    </row>
    <row r="944" spans="2:13" hidden="1" x14ac:dyDescent="0.2">
      <c r="F944" t="s">
        <v>297</v>
      </c>
      <c r="L944" t="str">
        <f t="shared" si="28"/>
        <v/>
      </c>
      <c r="M944" t="str">
        <f t="shared" si="29"/>
        <v>pti</v>
      </c>
    </row>
    <row r="945" spans="2:13" hidden="1" x14ac:dyDescent="0.2">
      <c r="L945" t="str">
        <f t="shared" si="28"/>
        <v/>
      </c>
      <c r="M945" t="str">
        <f t="shared" si="29"/>
        <v/>
      </c>
    </row>
    <row r="946" spans="2:13" hidden="1" x14ac:dyDescent="0.2">
      <c r="B946" t="s">
        <v>294</v>
      </c>
      <c r="L946" t="str">
        <f t="shared" si="28"/>
        <v/>
      </c>
      <c r="M946" t="str">
        <f t="shared" si="29"/>
        <v/>
      </c>
    </row>
    <row r="947" spans="2:13" hidden="1" x14ac:dyDescent="0.2">
      <c r="C947" t="s">
        <v>294</v>
      </c>
      <c r="E947" t="s">
        <v>298</v>
      </c>
      <c r="L947" t="str">
        <f t="shared" si="28"/>
        <v/>
      </c>
      <c r="M947" t="str">
        <f t="shared" si="29"/>
        <v/>
      </c>
    </row>
    <row r="948" spans="2:13" hidden="1" x14ac:dyDescent="0.2">
      <c r="C948" t="s">
        <v>294</v>
      </c>
      <c r="F948" t="s">
        <v>296</v>
      </c>
      <c r="L948" t="str">
        <f t="shared" si="28"/>
        <v/>
      </c>
      <c r="M948" t="str">
        <f t="shared" si="29"/>
        <v>t.c</v>
      </c>
    </row>
    <row r="949" spans="2:13" x14ac:dyDescent="0.2">
      <c r="E949" t="s">
        <v>1770</v>
      </c>
      <c r="F949" t="s">
        <v>1805</v>
      </c>
      <c r="L949">
        <v>10</v>
      </c>
      <c r="M949" t="str">
        <f t="shared" si="29"/>
        <v>RNN</v>
      </c>
    </row>
    <row r="950" spans="2:13" hidden="1" x14ac:dyDescent="0.2">
      <c r="F950" t="s">
        <v>1806</v>
      </c>
      <c r="L950" t="str">
        <f t="shared" si="28"/>
        <v/>
      </c>
      <c r="M950" t="str">
        <f t="shared" si="29"/>
        <v>OBI</v>
      </c>
    </row>
    <row r="951" spans="2:13" hidden="1" x14ac:dyDescent="0.2">
      <c r="F951" t="s">
        <v>297</v>
      </c>
      <c r="L951" t="str">
        <f t="shared" si="28"/>
        <v/>
      </c>
      <c r="M951" t="str">
        <f t="shared" si="29"/>
        <v>pti</v>
      </c>
    </row>
    <row r="952" spans="2:13" hidden="1" x14ac:dyDescent="0.2">
      <c r="L952" t="str">
        <f t="shared" si="28"/>
        <v/>
      </c>
      <c r="M952" t="str">
        <f t="shared" si="29"/>
        <v/>
      </c>
    </row>
    <row r="953" spans="2:13" hidden="1" x14ac:dyDescent="0.2">
      <c r="B953" t="s">
        <v>294</v>
      </c>
      <c r="L953" t="str">
        <f t="shared" si="28"/>
        <v/>
      </c>
      <c r="M953" t="str">
        <f t="shared" si="29"/>
        <v/>
      </c>
    </row>
    <row r="954" spans="2:13" hidden="1" x14ac:dyDescent="0.2">
      <c r="C954" t="s">
        <v>294</v>
      </c>
      <c r="E954" t="s">
        <v>298</v>
      </c>
      <c r="L954" t="str">
        <f t="shared" si="28"/>
        <v/>
      </c>
      <c r="M954" t="str">
        <f t="shared" si="29"/>
        <v/>
      </c>
    </row>
    <row r="955" spans="2:13" hidden="1" x14ac:dyDescent="0.2">
      <c r="C955" t="s">
        <v>294</v>
      </c>
      <c r="F955" t="s">
        <v>296</v>
      </c>
      <c r="L955" t="str">
        <f t="shared" si="28"/>
        <v/>
      </c>
      <c r="M955" t="str">
        <f t="shared" si="29"/>
        <v>t.c</v>
      </c>
    </row>
    <row r="956" spans="2:13" x14ac:dyDescent="0.2">
      <c r="E956" t="s">
        <v>1770</v>
      </c>
      <c r="F956" t="s">
        <v>759</v>
      </c>
      <c r="L956">
        <v>10</v>
      </c>
      <c r="M956" t="str">
        <f t="shared" si="29"/>
        <v>TBL</v>
      </c>
    </row>
    <row r="957" spans="2:13" hidden="1" x14ac:dyDescent="0.2">
      <c r="F957" t="s">
        <v>1807</v>
      </c>
      <c r="L957" t="str">
        <f t="shared" si="28"/>
        <v/>
      </c>
      <c r="M957" t="str">
        <f t="shared" si="29"/>
        <v>ABA</v>
      </c>
    </row>
    <row r="958" spans="2:13" hidden="1" x14ac:dyDescent="0.2">
      <c r="F958" t="s">
        <v>297</v>
      </c>
      <c r="L958" t="str">
        <f t="shared" si="28"/>
        <v/>
      </c>
      <c r="M958" t="str">
        <f t="shared" si="29"/>
        <v>pti</v>
      </c>
    </row>
    <row r="959" spans="2:13" hidden="1" x14ac:dyDescent="0.2">
      <c r="L959" t="str">
        <f t="shared" si="28"/>
        <v/>
      </c>
      <c r="M959" t="str">
        <f t="shared" si="29"/>
        <v/>
      </c>
    </row>
    <row r="960" spans="2:13" hidden="1" x14ac:dyDescent="0.2">
      <c r="B960" t="s">
        <v>294</v>
      </c>
      <c r="L960" t="str">
        <f t="shared" si="28"/>
        <v/>
      </c>
      <c r="M960" t="str">
        <f t="shared" si="29"/>
        <v/>
      </c>
    </row>
    <row r="961" spans="2:13" hidden="1" x14ac:dyDescent="0.2">
      <c r="C961" t="s">
        <v>294</v>
      </c>
      <c r="E961" t="s">
        <v>298</v>
      </c>
      <c r="L961" t="str">
        <f t="shared" si="28"/>
        <v/>
      </c>
      <c r="M961" t="str">
        <f t="shared" si="29"/>
        <v/>
      </c>
    </row>
    <row r="962" spans="2:13" hidden="1" x14ac:dyDescent="0.2">
      <c r="C962" t="s">
        <v>294</v>
      </c>
      <c r="F962" t="s">
        <v>296</v>
      </c>
      <c r="L962" t="str">
        <f t="shared" si="28"/>
        <v/>
      </c>
      <c r="M962" t="str">
        <f t="shared" si="29"/>
        <v>t.c</v>
      </c>
    </row>
    <row r="963" spans="2:13" x14ac:dyDescent="0.2">
      <c r="E963" t="s">
        <v>1770</v>
      </c>
      <c r="F963" t="s">
        <v>1808</v>
      </c>
      <c r="L963">
        <v>10</v>
      </c>
      <c r="M963" t="str">
        <f t="shared" si="29"/>
        <v>THS</v>
      </c>
    </row>
    <row r="964" spans="2:13" hidden="1" x14ac:dyDescent="0.2">
      <c r="F964" t="s">
        <v>1809</v>
      </c>
      <c r="L964" t="str">
        <f t="shared" si="28"/>
        <v/>
      </c>
      <c r="M964" t="str">
        <f t="shared" si="29"/>
        <v>RES</v>
      </c>
    </row>
    <row r="965" spans="2:13" hidden="1" x14ac:dyDescent="0.2">
      <c r="F965" t="s">
        <v>297</v>
      </c>
      <c r="L965" t="str">
        <f t="shared" ref="L965:L1028" si="30">MID(E965,10,2)</f>
        <v/>
      </c>
      <c r="M965" t="str">
        <f t="shared" ref="M965:M1028" si="31">MID(F965,24,3)</f>
        <v>pti</v>
      </c>
    </row>
    <row r="966" spans="2:13" hidden="1" x14ac:dyDescent="0.2">
      <c r="L966" t="str">
        <f t="shared" si="30"/>
        <v/>
      </c>
      <c r="M966" t="str">
        <f t="shared" si="31"/>
        <v/>
      </c>
    </row>
    <row r="967" spans="2:13" hidden="1" x14ac:dyDescent="0.2">
      <c r="B967" t="s">
        <v>294</v>
      </c>
      <c r="L967" t="str">
        <f t="shared" si="30"/>
        <v/>
      </c>
      <c r="M967" t="str">
        <f t="shared" si="31"/>
        <v/>
      </c>
    </row>
    <row r="968" spans="2:13" hidden="1" x14ac:dyDescent="0.2">
      <c r="E968" t="s">
        <v>298</v>
      </c>
      <c r="L968" t="str">
        <f t="shared" si="30"/>
        <v/>
      </c>
      <c r="M968" t="str">
        <f t="shared" si="31"/>
        <v/>
      </c>
    </row>
    <row r="969" spans="2:13" hidden="1" x14ac:dyDescent="0.2">
      <c r="L969" t="str">
        <f t="shared" si="30"/>
        <v/>
      </c>
      <c r="M969" t="str">
        <f t="shared" si="31"/>
        <v/>
      </c>
    </row>
    <row r="970" spans="2:13" hidden="1" x14ac:dyDescent="0.2">
      <c r="L970" t="str">
        <f t="shared" si="30"/>
        <v/>
      </c>
      <c r="M970" t="str">
        <f t="shared" si="31"/>
        <v/>
      </c>
    </row>
    <row r="971" spans="2:13" hidden="1" x14ac:dyDescent="0.2">
      <c r="L971" t="str">
        <f t="shared" si="30"/>
        <v/>
      </c>
      <c r="M971" t="str">
        <f t="shared" si="31"/>
        <v/>
      </c>
    </row>
    <row r="972" spans="2:13" hidden="1" x14ac:dyDescent="0.2">
      <c r="L972" t="str">
        <f t="shared" si="30"/>
        <v/>
      </c>
      <c r="M972" t="str">
        <f t="shared" si="31"/>
        <v/>
      </c>
    </row>
    <row r="973" spans="2:13" hidden="1" x14ac:dyDescent="0.2">
      <c r="L973" t="str">
        <f t="shared" si="30"/>
        <v/>
      </c>
      <c r="M973" t="str">
        <f t="shared" si="31"/>
        <v/>
      </c>
    </row>
    <row r="974" spans="2:13" hidden="1" x14ac:dyDescent="0.2">
      <c r="L974" t="str">
        <f t="shared" si="30"/>
        <v/>
      </c>
      <c r="M974" t="str">
        <f t="shared" si="31"/>
        <v/>
      </c>
    </row>
    <row r="975" spans="2:13" hidden="1" x14ac:dyDescent="0.2">
      <c r="L975" t="str">
        <f t="shared" si="30"/>
        <v/>
      </c>
      <c r="M975" t="str">
        <f t="shared" si="31"/>
        <v/>
      </c>
    </row>
    <row r="976" spans="2:13" hidden="1" x14ac:dyDescent="0.2">
      <c r="L976" t="str">
        <f t="shared" si="30"/>
        <v/>
      </c>
      <c r="M976" t="str">
        <f t="shared" si="31"/>
        <v/>
      </c>
    </row>
    <row r="977" spans="12:13" hidden="1" x14ac:dyDescent="0.2">
      <c r="L977" t="str">
        <f t="shared" si="30"/>
        <v/>
      </c>
      <c r="M977" t="str">
        <f t="shared" si="31"/>
        <v/>
      </c>
    </row>
    <row r="978" spans="12:13" hidden="1" x14ac:dyDescent="0.2">
      <c r="L978" t="str">
        <f t="shared" si="30"/>
        <v/>
      </c>
      <c r="M978" t="str">
        <f t="shared" si="31"/>
        <v/>
      </c>
    </row>
    <row r="979" spans="12:13" hidden="1" x14ac:dyDescent="0.2">
      <c r="L979" t="str">
        <f t="shared" si="30"/>
        <v/>
      </c>
      <c r="M979" t="str">
        <f t="shared" si="31"/>
        <v/>
      </c>
    </row>
    <row r="980" spans="12:13" hidden="1" x14ac:dyDescent="0.2">
      <c r="L980" t="str">
        <f t="shared" si="30"/>
        <v/>
      </c>
      <c r="M980" t="str">
        <f t="shared" si="31"/>
        <v/>
      </c>
    </row>
    <row r="981" spans="12:13" hidden="1" x14ac:dyDescent="0.2">
      <c r="L981" t="str">
        <f t="shared" si="30"/>
        <v/>
      </c>
      <c r="M981" t="str">
        <f t="shared" si="31"/>
        <v/>
      </c>
    </row>
    <row r="982" spans="12:13" hidden="1" x14ac:dyDescent="0.2">
      <c r="L982" t="str">
        <f t="shared" si="30"/>
        <v/>
      </c>
      <c r="M982" t="str">
        <f t="shared" si="31"/>
        <v/>
      </c>
    </row>
    <row r="983" spans="12:13" hidden="1" x14ac:dyDescent="0.2">
      <c r="L983" t="str">
        <f t="shared" si="30"/>
        <v/>
      </c>
      <c r="M983" t="str">
        <f t="shared" si="31"/>
        <v/>
      </c>
    </row>
    <row r="984" spans="12:13" hidden="1" x14ac:dyDescent="0.2">
      <c r="L984" t="str">
        <f t="shared" si="30"/>
        <v/>
      </c>
      <c r="M984" t="str">
        <f t="shared" si="31"/>
        <v/>
      </c>
    </row>
    <row r="985" spans="12:13" hidden="1" x14ac:dyDescent="0.2">
      <c r="L985" t="str">
        <f t="shared" si="30"/>
        <v/>
      </c>
      <c r="M985" t="str">
        <f t="shared" si="31"/>
        <v/>
      </c>
    </row>
    <row r="986" spans="12:13" hidden="1" x14ac:dyDescent="0.2">
      <c r="L986" t="str">
        <f t="shared" si="30"/>
        <v/>
      </c>
      <c r="M986" t="str">
        <f t="shared" si="31"/>
        <v/>
      </c>
    </row>
    <row r="987" spans="12:13" hidden="1" x14ac:dyDescent="0.2">
      <c r="L987" t="str">
        <f t="shared" si="30"/>
        <v/>
      </c>
      <c r="M987" t="str">
        <f t="shared" si="31"/>
        <v/>
      </c>
    </row>
    <row r="988" spans="12:13" hidden="1" x14ac:dyDescent="0.2">
      <c r="L988" t="str">
        <f t="shared" si="30"/>
        <v/>
      </c>
      <c r="M988" t="str">
        <f t="shared" si="31"/>
        <v/>
      </c>
    </row>
    <row r="989" spans="12:13" hidden="1" x14ac:dyDescent="0.2">
      <c r="L989" t="str">
        <f t="shared" si="30"/>
        <v/>
      </c>
      <c r="M989" t="str">
        <f t="shared" si="31"/>
        <v/>
      </c>
    </row>
    <row r="990" spans="12:13" hidden="1" x14ac:dyDescent="0.2">
      <c r="L990" t="str">
        <f t="shared" si="30"/>
        <v/>
      </c>
      <c r="M990" t="str">
        <f t="shared" si="31"/>
        <v/>
      </c>
    </row>
    <row r="991" spans="12:13" hidden="1" x14ac:dyDescent="0.2">
      <c r="L991" t="str">
        <f t="shared" si="30"/>
        <v/>
      </c>
      <c r="M991" t="str">
        <f t="shared" si="31"/>
        <v/>
      </c>
    </row>
    <row r="992" spans="12:13" hidden="1" x14ac:dyDescent="0.2">
      <c r="L992" t="str">
        <f t="shared" si="30"/>
        <v/>
      </c>
      <c r="M992" t="str">
        <f t="shared" si="31"/>
        <v/>
      </c>
    </row>
    <row r="993" spans="2:13" hidden="1" x14ac:dyDescent="0.2">
      <c r="L993" t="str">
        <f t="shared" si="30"/>
        <v/>
      </c>
      <c r="M993" t="str">
        <f t="shared" si="31"/>
        <v/>
      </c>
    </row>
    <row r="994" spans="2:13" hidden="1" x14ac:dyDescent="0.2">
      <c r="B994" t="s">
        <v>1810</v>
      </c>
      <c r="C994" t="s">
        <v>298</v>
      </c>
      <c r="L994" t="str">
        <f t="shared" si="30"/>
        <v/>
      </c>
      <c r="M994" t="str">
        <f t="shared" si="31"/>
        <v/>
      </c>
    </row>
    <row r="995" spans="2:13" hidden="1" x14ac:dyDescent="0.2">
      <c r="L995" t="str">
        <f t="shared" si="30"/>
        <v/>
      </c>
      <c r="M995" t="str">
        <f t="shared" si="31"/>
        <v/>
      </c>
    </row>
    <row r="996" spans="2:13" hidden="1" x14ac:dyDescent="0.2">
      <c r="B996" t="s">
        <v>1811</v>
      </c>
      <c r="L996" t="str">
        <f t="shared" si="30"/>
        <v/>
      </c>
      <c r="M996" t="str">
        <f t="shared" si="31"/>
        <v/>
      </c>
    </row>
    <row r="997" spans="2:13" hidden="1" x14ac:dyDescent="0.2">
      <c r="B997" t="s">
        <v>1812</v>
      </c>
      <c r="L997" t="str">
        <f t="shared" si="30"/>
        <v/>
      </c>
      <c r="M997" t="str">
        <f t="shared" si="31"/>
        <v/>
      </c>
    </row>
    <row r="998" spans="2:13" hidden="1" x14ac:dyDescent="0.2">
      <c r="L998" t="str">
        <f t="shared" si="30"/>
        <v/>
      </c>
      <c r="M998" t="str">
        <f t="shared" si="31"/>
        <v/>
      </c>
    </row>
    <row r="999" spans="2:13" hidden="1" x14ac:dyDescent="0.2">
      <c r="L999" t="str">
        <f t="shared" si="30"/>
        <v/>
      </c>
      <c r="M999" t="str">
        <f t="shared" si="31"/>
        <v/>
      </c>
    </row>
    <row r="1000" spans="2:13" hidden="1" x14ac:dyDescent="0.2">
      <c r="L1000" t="str">
        <f t="shared" si="30"/>
        <v/>
      </c>
      <c r="M1000" t="str">
        <f t="shared" si="31"/>
        <v/>
      </c>
    </row>
    <row r="1001" spans="2:13" hidden="1" x14ac:dyDescent="0.2">
      <c r="B1001" t="s">
        <v>1813</v>
      </c>
      <c r="L1001" t="str">
        <f t="shared" si="30"/>
        <v/>
      </c>
      <c r="M1001" t="str">
        <f t="shared" si="31"/>
        <v/>
      </c>
    </row>
    <row r="1002" spans="2:13" hidden="1" x14ac:dyDescent="0.2">
      <c r="B1002" t="s">
        <v>1814</v>
      </c>
      <c r="L1002" t="str">
        <f t="shared" si="30"/>
        <v/>
      </c>
      <c r="M1002" t="str">
        <f t="shared" si="31"/>
        <v/>
      </c>
    </row>
    <row r="1003" spans="2:13" hidden="1" x14ac:dyDescent="0.2">
      <c r="B1003" t="s">
        <v>1815</v>
      </c>
      <c r="L1003" t="str">
        <f t="shared" si="30"/>
        <v/>
      </c>
      <c r="M1003" t="str">
        <f t="shared" si="31"/>
        <v/>
      </c>
    </row>
    <row r="1004" spans="2:13" hidden="1" x14ac:dyDescent="0.2">
      <c r="B1004" t="s">
        <v>1810</v>
      </c>
      <c r="L1004" t="str">
        <f t="shared" si="30"/>
        <v/>
      </c>
      <c r="M1004" t="str">
        <f t="shared" si="31"/>
        <v/>
      </c>
    </row>
    <row r="1005" spans="2:13" hidden="1" x14ac:dyDescent="0.2">
      <c r="L1005" t="str">
        <f t="shared" si="30"/>
        <v/>
      </c>
      <c r="M1005" t="str">
        <f t="shared" si="31"/>
        <v/>
      </c>
    </row>
    <row r="1006" spans="2:13" hidden="1" x14ac:dyDescent="0.2">
      <c r="D1006" t="s">
        <v>1816</v>
      </c>
      <c r="L1006" t="str">
        <f t="shared" si="30"/>
        <v/>
      </c>
      <c r="M1006" t="str">
        <f t="shared" si="31"/>
        <v/>
      </c>
    </row>
    <row r="1007" spans="2:13" hidden="1" x14ac:dyDescent="0.2">
      <c r="L1007" t="str">
        <f t="shared" si="30"/>
        <v/>
      </c>
      <c r="M1007" t="str">
        <f t="shared" si="31"/>
        <v/>
      </c>
    </row>
    <row r="1008" spans="2:13" hidden="1" x14ac:dyDescent="0.2">
      <c r="C1008" t="s">
        <v>1817</v>
      </c>
      <c r="L1008" t="str">
        <f t="shared" si="30"/>
        <v/>
      </c>
      <c r="M1008" t="str">
        <f t="shared" si="31"/>
        <v/>
      </c>
    </row>
    <row r="1009" spans="3:13" hidden="1" x14ac:dyDescent="0.2">
      <c r="D1009" t="s">
        <v>296</v>
      </c>
      <c r="L1009" t="str">
        <f t="shared" si="30"/>
        <v/>
      </c>
      <c r="M1009" t="str">
        <f t="shared" si="31"/>
        <v/>
      </c>
    </row>
    <row r="1010" spans="3:13" hidden="1" x14ac:dyDescent="0.2">
      <c r="D1010" t="s">
        <v>1818</v>
      </c>
      <c r="L1010" t="str">
        <f t="shared" si="30"/>
        <v/>
      </c>
      <c r="M1010" t="str">
        <f t="shared" si="31"/>
        <v/>
      </c>
    </row>
    <row r="1011" spans="3:13" hidden="1" x14ac:dyDescent="0.2">
      <c r="D1011" t="s">
        <v>1819</v>
      </c>
      <c r="L1011" t="str">
        <f t="shared" si="30"/>
        <v/>
      </c>
      <c r="M1011" t="str">
        <f t="shared" si="31"/>
        <v/>
      </c>
    </row>
    <row r="1012" spans="3:13" hidden="1" x14ac:dyDescent="0.2">
      <c r="D1012" t="s">
        <v>1820</v>
      </c>
      <c r="L1012" t="str">
        <f t="shared" si="30"/>
        <v/>
      </c>
      <c r="M1012" t="str">
        <f t="shared" si="31"/>
        <v/>
      </c>
    </row>
    <row r="1013" spans="3:13" hidden="1" x14ac:dyDescent="0.2">
      <c r="C1013" t="s">
        <v>298</v>
      </c>
      <c r="L1013" t="str">
        <f t="shared" si="30"/>
        <v/>
      </c>
      <c r="M1013" t="str">
        <f t="shared" si="31"/>
        <v/>
      </c>
    </row>
    <row r="1014" spans="3:13" hidden="1" x14ac:dyDescent="0.2">
      <c r="L1014" t="str">
        <f t="shared" si="30"/>
        <v/>
      </c>
      <c r="M1014" t="str">
        <f t="shared" si="31"/>
        <v/>
      </c>
    </row>
    <row r="1015" spans="3:13" hidden="1" x14ac:dyDescent="0.2">
      <c r="C1015" t="s">
        <v>1817</v>
      </c>
      <c r="L1015" t="str">
        <f t="shared" si="30"/>
        <v/>
      </c>
      <c r="M1015" t="str">
        <f t="shared" si="31"/>
        <v/>
      </c>
    </row>
    <row r="1016" spans="3:13" hidden="1" x14ac:dyDescent="0.2">
      <c r="D1016" t="s">
        <v>296</v>
      </c>
      <c r="L1016" t="str">
        <f t="shared" si="30"/>
        <v/>
      </c>
      <c r="M1016" t="str">
        <f t="shared" si="31"/>
        <v/>
      </c>
    </row>
    <row r="1017" spans="3:13" hidden="1" x14ac:dyDescent="0.2">
      <c r="D1017" t="s">
        <v>1821</v>
      </c>
      <c r="L1017" t="str">
        <f t="shared" si="30"/>
        <v/>
      </c>
      <c r="M1017" t="str">
        <f t="shared" si="31"/>
        <v/>
      </c>
    </row>
    <row r="1018" spans="3:13" hidden="1" x14ac:dyDescent="0.2">
      <c r="D1018" t="s">
        <v>1822</v>
      </c>
      <c r="L1018" t="str">
        <f t="shared" si="30"/>
        <v/>
      </c>
      <c r="M1018" t="str">
        <f t="shared" si="31"/>
        <v/>
      </c>
    </row>
    <row r="1019" spans="3:13" hidden="1" x14ac:dyDescent="0.2">
      <c r="D1019" t="s">
        <v>1820</v>
      </c>
      <c r="L1019" t="str">
        <f t="shared" si="30"/>
        <v/>
      </c>
      <c r="M1019" t="str">
        <f t="shared" si="31"/>
        <v/>
      </c>
    </row>
    <row r="1020" spans="3:13" hidden="1" x14ac:dyDescent="0.2">
      <c r="C1020" t="s">
        <v>298</v>
      </c>
      <c r="L1020" t="str">
        <f t="shared" si="30"/>
        <v/>
      </c>
      <c r="M1020" t="str">
        <f t="shared" si="31"/>
        <v/>
      </c>
    </row>
    <row r="1021" spans="3:13" hidden="1" x14ac:dyDescent="0.2">
      <c r="L1021" t="str">
        <f t="shared" si="30"/>
        <v/>
      </c>
      <c r="M1021" t="str">
        <f t="shared" si="31"/>
        <v/>
      </c>
    </row>
    <row r="1022" spans="3:13" hidden="1" x14ac:dyDescent="0.2">
      <c r="C1022" t="s">
        <v>1817</v>
      </c>
      <c r="L1022" t="str">
        <f t="shared" si="30"/>
        <v/>
      </c>
      <c r="M1022" t="str">
        <f t="shared" si="31"/>
        <v/>
      </c>
    </row>
    <row r="1023" spans="3:13" hidden="1" x14ac:dyDescent="0.2">
      <c r="D1023" t="s">
        <v>296</v>
      </c>
      <c r="L1023" t="str">
        <f t="shared" si="30"/>
        <v/>
      </c>
      <c r="M1023" t="str">
        <f t="shared" si="31"/>
        <v/>
      </c>
    </row>
    <row r="1024" spans="3:13" hidden="1" x14ac:dyDescent="0.2">
      <c r="D1024" t="s">
        <v>1823</v>
      </c>
      <c r="L1024" t="str">
        <f t="shared" si="30"/>
        <v/>
      </c>
      <c r="M1024" t="str">
        <f t="shared" si="31"/>
        <v/>
      </c>
    </row>
    <row r="1025" spans="3:13" hidden="1" x14ac:dyDescent="0.2">
      <c r="D1025" t="s">
        <v>1824</v>
      </c>
      <c r="L1025" t="str">
        <f t="shared" si="30"/>
        <v/>
      </c>
      <c r="M1025" t="str">
        <f t="shared" si="31"/>
        <v/>
      </c>
    </row>
    <row r="1026" spans="3:13" hidden="1" x14ac:dyDescent="0.2">
      <c r="D1026" t="s">
        <v>1820</v>
      </c>
      <c r="L1026" t="str">
        <f t="shared" si="30"/>
        <v/>
      </c>
      <c r="M1026" t="str">
        <f t="shared" si="31"/>
        <v/>
      </c>
    </row>
    <row r="1027" spans="3:13" hidden="1" x14ac:dyDescent="0.2">
      <c r="C1027" t="s">
        <v>298</v>
      </c>
      <c r="L1027" t="str">
        <f t="shared" si="30"/>
        <v/>
      </c>
      <c r="M1027" t="str">
        <f t="shared" si="31"/>
        <v/>
      </c>
    </row>
    <row r="1028" spans="3:13" hidden="1" x14ac:dyDescent="0.2">
      <c r="L1028" t="str">
        <f t="shared" si="30"/>
        <v/>
      </c>
      <c r="M1028" t="str">
        <f t="shared" si="31"/>
        <v/>
      </c>
    </row>
    <row r="1029" spans="3:13" hidden="1" x14ac:dyDescent="0.2">
      <c r="C1029" t="s">
        <v>1817</v>
      </c>
      <c r="L1029" t="str">
        <f t="shared" ref="L1029:L1037" si="32">MID(E1029,10,2)</f>
        <v/>
      </c>
      <c r="M1029" t="str">
        <f t="shared" ref="M1029:M1037" si="33">MID(F1029,24,3)</f>
        <v/>
      </c>
    </row>
    <row r="1030" spans="3:13" hidden="1" x14ac:dyDescent="0.2">
      <c r="D1030" t="s">
        <v>296</v>
      </c>
      <c r="L1030" t="str">
        <f t="shared" si="32"/>
        <v/>
      </c>
      <c r="M1030" t="str">
        <f t="shared" si="33"/>
        <v/>
      </c>
    </row>
    <row r="1031" spans="3:13" hidden="1" x14ac:dyDescent="0.2">
      <c r="D1031" t="s">
        <v>1825</v>
      </c>
      <c r="L1031" t="str">
        <f t="shared" si="32"/>
        <v/>
      </c>
      <c r="M1031" t="str">
        <f t="shared" si="33"/>
        <v/>
      </c>
    </row>
    <row r="1032" spans="3:13" hidden="1" x14ac:dyDescent="0.2">
      <c r="D1032" t="s">
        <v>1826</v>
      </c>
      <c r="L1032" t="str">
        <f t="shared" si="32"/>
        <v/>
      </c>
      <c r="M1032" t="str">
        <f t="shared" si="33"/>
        <v/>
      </c>
    </row>
    <row r="1033" spans="3:13" hidden="1" x14ac:dyDescent="0.2">
      <c r="D1033" t="s">
        <v>1820</v>
      </c>
      <c r="L1033" t="str">
        <f t="shared" si="32"/>
        <v/>
      </c>
      <c r="M1033" t="str">
        <f t="shared" si="33"/>
        <v/>
      </c>
    </row>
    <row r="1034" spans="3:13" hidden="1" x14ac:dyDescent="0.2">
      <c r="C1034" t="s">
        <v>298</v>
      </c>
      <c r="L1034" t="str">
        <f t="shared" si="32"/>
        <v/>
      </c>
      <c r="M1034" t="str">
        <f t="shared" si="33"/>
        <v/>
      </c>
    </row>
    <row r="1035" spans="3:13" hidden="1" x14ac:dyDescent="0.2">
      <c r="L1035" t="str">
        <f t="shared" si="32"/>
        <v/>
      </c>
      <c r="M1035" t="str">
        <f t="shared" si="33"/>
        <v/>
      </c>
    </row>
    <row r="1036" spans="3:13" hidden="1" x14ac:dyDescent="0.2">
      <c r="C1036" t="s">
        <v>1817</v>
      </c>
      <c r="L1036" t="str">
        <f t="shared" si="32"/>
        <v/>
      </c>
      <c r="M1036" t="str">
        <f t="shared" si="33"/>
        <v/>
      </c>
    </row>
    <row r="1037" spans="3:13" hidden="1" x14ac:dyDescent="0.2">
      <c r="D1037" t="s">
        <v>296</v>
      </c>
      <c r="L1037" t="str">
        <f t="shared" si="32"/>
        <v/>
      </c>
      <c r="M1037" t="str">
        <f t="shared" si="33"/>
        <v/>
      </c>
    </row>
    <row r="1038" spans="3:13" hidden="1" x14ac:dyDescent="0.2">
      <c r="D1038" t="s">
        <v>1827</v>
      </c>
    </row>
    <row r="1039" spans="3:13" hidden="1" x14ac:dyDescent="0.2">
      <c r="D1039" t="s">
        <v>1828</v>
      </c>
    </row>
    <row r="1040" spans="3:13" hidden="1" x14ac:dyDescent="0.2">
      <c r="D1040" t="s">
        <v>1820</v>
      </c>
    </row>
    <row r="1041" spans="3:4" hidden="1" x14ac:dyDescent="0.2">
      <c r="C1041" t="s">
        <v>298</v>
      </c>
    </row>
    <row r="1042" spans="3:4" hidden="1" x14ac:dyDescent="0.2"/>
    <row r="1043" spans="3:4" hidden="1" x14ac:dyDescent="0.2">
      <c r="C1043" t="s">
        <v>1817</v>
      </c>
    </row>
    <row r="1044" spans="3:4" hidden="1" x14ac:dyDescent="0.2">
      <c r="D1044" t="s">
        <v>296</v>
      </c>
    </row>
    <row r="1045" spans="3:4" hidden="1" x14ac:dyDescent="0.2">
      <c r="D1045" t="s">
        <v>1829</v>
      </c>
    </row>
    <row r="1046" spans="3:4" hidden="1" x14ac:dyDescent="0.2">
      <c r="D1046" t="s">
        <v>1830</v>
      </c>
    </row>
    <row r="1047" spans="3:4" hidden="1" x14ac:dyDescent="0.2">
      <c r="D1047" t="s">
        <v>1820</v>
      </c>
    </row>
    <row r="1048" spans="3:4" hidden="1" x14ac:dyDescent="0.2">
      <c r="C1048" t="s">
        <v>298</v>
      </c>
    </row>
    <row r="1049" spans="3:4" hidden="1" x14ac:dyDescent="0.2"/>
    <row r="1050" spans="3:4" hidden="1" x14ac:dyDescent="0.2">
      <c r="C1050" t="s">
        <v>1817</v>
      </c>
    </row>
    <row r="1051" spans="3:4" hidden="1" x14ac:dyDescent="0.2">
      <c r="D1051" t="s">
        <v>296</v>
      </c>
    </row>
    <row r="1052" spans="3:4" hidden="1" x14ac:dyDescent="0.2">
      <c r="D1052" t="s">
        <v>1831</v>
      </c>
    </row>
    <row r="1053" spans="3:4" hidden="1" x14ac:dyDescent="0.2">
      <c r="D1053" t="s">
        <v>1832</v>
      </c>
    </row>
    <row r="1054" spans="3:4" hidden="1" x14ac:dyDescent="0.2">
      <c r="D1054" t="s">
        <v>1820</v>
      </c>
    </row>
    <row r="1055" spans="3:4" hidden="1" x14ac:dyDescent="0.2">
      <c r="C1055" t="s">
        <v>298</v>
      </c>
    </row>
    <row r="1056" spans="3:4" hidden="1" x14ac:dyDescent="0.2"/>
    <row r="1057" spans="3:4" hidden="1" x14ac:dyDescent="0.2">
      <c r="C1057" t="s">
        <v>1817</v>
      </c>
    </row>
    <row r="1058" spans="3:4" hidden="1" x14ac:dyDescent="0.2">
      <c r="D1058" t="s">
        <v>296</v>
      </c>
    </row>
    <row r="1059" spans="3:4" hidden="1" x14ac:dyDescent="0.2">
      <c r="D1059" t="s">
        <v>1833</v>
      </c>
    </row>
    <row r="1060" spans="3:4" hidden="1" x14ac:dyDescent="0.2">
      <c r="D1060" t="s">
        <v>1834</v>
      </c>
    </row>
    <row r="1061" spans="3:4" hidden="1" x14ac:dyDescent="0.2">
      <c r="D1061" t="s">
        <v>1820</v>
      </c>
    </row>
    <row r="1062" spans="3:4" hidden="1" x14ac:dyDescent="0.2">
      <c r="C1062" t="s">
        <v>298</v>
      </c>
    </row>
    <row r="1063" spans="3:4" hidden="1" x14ac:dyDescent="0.2"/>
    <row r="1064" spans="3:4" hidden="1" x14ac:dyDescent="0.2">
      <c r="C1064" t="s">
        <v>1817</v>
      </c>
    </row>
    <row r="1065" spans="3:4" hidden="1" x14ac:dyDescent="0.2">
      <c r="D1065" t="s">
        <v>296</v>
      </c>
    </row>
    <row r="1066" spans="3:4" hidden="1" x14ac:dyDescent="0.2">
      <c r="D1066" t="s">
        <v>1835</v>
      </c>
    </row>
    <row r="1067" spans="3:4" hidden="1" x14ac:dyDescent="0.2">
      <c r="D1067" t="s">
        <v>1836</v>
      </c>
    </row>
    <row r="1068" spans="3:4" hidden="1" x14ac:dyDescent="0.2">
      <c r="D1068" t="s">
        <v>1820</v>
      </c>
    </row>
    <row r="1069" spans="3:4" hidden="1" x14ac:dyDescent="0.2">
      <c r="C1069" t="s">
        <v>298</v>
      </c>
    </row>
    <row r="1070" spans="3:4" hidden="1" x14ac:dyDescent="0.2"/>
    <row r="1071" spans="3:4" hidden="1" x14ac:dyDescent="0.2">
      <c r="C1071" t="s">
        <v>1817</v>
      </c>
    </row>
    <row r="1072" spans="3:4" hidden="1" x14ac:dyDescent="0.2">
      <c r="D1072" t="s">
        <v>296</v>
      </c>
    </row>
    <row r="1073" spans="4:4" hidden="1" x14ac:dyDescent="0.2">
      <c r="D1073" t="s">
        <v>1837</v>
      </c>
    </row>
  </sheetData>
  <autoFilter ref="L1:M1073">
    <filterColumn colId="0">
      <customFilters>
        <customFilter operator="notEqual" val=" "/>
      </customFilters>
    </filterColumn>
  </autoFilter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config</vt:lpstr>
      <vt:lpstr>CONSULTA</vt:lpstr>
      <vt:lpstr>SUB</vt:lpstr>
      <vt:lpstr>FECHA</vt:lpstr>
      <vt:lpstr>Hoja8</vt:lpstr>
      <vt:lpstr>SOLOA1</vt:lpstr>
      <vt:lpstr>PROM EST 1</vt:lpstr>
      <vt:lpstr>GRA1</vt:lpstr>
      <vt:lpstr>ESTACIÓN 1</vt:lpstr>
      <vt:lpstr>SOLOA2</vt:lpstr>
      <vt:lpstr>PROM EST 2</vt:lpstr>
      <vt:lpstr>GRA2</vt:lpstr>
      <vt:lpstr>ESTACIÓN 2</vt:lpstr>
      <vt:lpstr>SOLOA3</vt:lpstr>
      <vt:lpstr>PROM EST 3</vt:lpstr>
      <vt:lpstr>GRA3</vt:lpstr>
      <vt:lpstr>ESTACIÓN 3</vt:lpstr>
      <vt:lpstr>SOLOA4</vt:lpstr>
      <vt:lpstr>PROM EST 4</vt:lpstr>
      <vt:lpstr>GRA4</vt:lpstr>
      <vt:lpstr>ESTACIÓN 4</vt:lpstr>
      <vt:lpstr>Total_se_por_gerencia</vt:lpstr>
      <vt:lpstr>Hoja1</vt:lpstr>
      <vt:lpstr>LISTA_DO</vt:lpstr>
    </vt:vector>
  </TitlesOfParts>
  <Company>COMISION FEDERAL DE ELECTRICIDAD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9DY8C</dc:creator>
  <cp:lastModifiedBy>ZHD DEHARA</cp:lastModifiedBy>
  <dcterms:created xsi:type="dcterms:W3CDTF">2014-07-25T22:08:19Z</dcterms:created>
  <dcterms:modified xsi:type="dcterms:W3CDTF">2016-04-13T22:01:48Z</dcterms:modified>
</cp:coreProperties>
</file>